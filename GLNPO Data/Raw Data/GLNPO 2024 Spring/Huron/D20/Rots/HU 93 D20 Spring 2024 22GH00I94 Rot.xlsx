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21B29B5F-1648-4A80-AF3C-6F1702D8FEC4}" xr6:coauthVersionLast="47" xr6:coauthVersionMax="47" xr10:uidLastSave="{00000000-0000-0000-0000-000000000000}"/>
  <bookViews>
    <workbookView xWindow="-120" yWindow="-120" windowWidth="29040" windowHeight="15720" xr2:uid="{5A656556-91AF-4C58-8227-6267421EEF7F}"/>
  </bookViews>
  <sheets>
    <sheet name="Sheet1" sheetId="1" r:id="rId1"/>
  </sheets>
  <calcPr calcId="191029"/>
  <pivotCaches>
    <pivotCache cacheId="100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<sst xmlns="http://schemas.openxmlformats.org/spreadsheetml/2006/main" count="358" uniqueCount="54">
  <si>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</si>
  <si>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</si>
  <si>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</si>
  <si>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</si>
  <si>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</si>
  <si>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</si>
  <si>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</si>
  <si>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</si>
  <si>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</si>
  <si>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</si>
  <si>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</si>
  <si>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</si>
  <si>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</si>
  <si>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</si>
  <si>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</si>
  <si>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</si>
  <si>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</si>
  <si>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</si>
  <si>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</si>
  <si>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</si>
  <si>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</si>
  <si>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</si>
  <si>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24GH00I94</t>
  </si>
  <si>
    <t>HU 93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</si>
  <si>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</si>
  <si>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</si>
  <si>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</si>
  <si>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</si>
  <si>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</si>
  <si>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</si>
  <si>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</si>
  <si>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</si>
  <si>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</si>
  <si>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POLSP</t>
  </si>
  <si>
    <t>Polyarthra spp.</t>
  </si>
  <si>
    <t>SYNSP</t>
  </si>
  <si>
    <t>Synchaeta spp.</t>
  </si>
  <si>
    <t>NA</t>
  </si>
  <si>
    <t>B</t>
  </si>
  <si>
    <t>KELLONG</t>
  </si>
  <si>
    <t>Kellicottia longispina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</si>
  <si>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</si>
  <si>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</si>
  <si>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</si>
  <si>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</si>
  <si>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</si>
  <si>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</si>
  <si>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</si>
  <si>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</si>
  <si>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</si>
  <si>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</si>
  <si>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</si>
  <si>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</si>
  <si>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55.5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</si>
</sst>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4.637588773148" createdVersion="8" refreshedVersion="8" minRefreshableVersion="3" recordCount="26" xr:uid="{70CE432C-62D1-444B-BA38-1F210D30E910}">
  <cacheSource type="worksheet">
    <worksheetSource ref="A1:V2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3T00:00:00" maxDate="2025-11-1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Polyarthra spp."/>
        <s v="Synchaeta spp."/>
        <s v="Kellicottia longispina"/>
      </sharedItems>
    </cacheField>
    <cacheField name="LENGTH" numFmtId="0">
      <sharedItems containsMixedTypes="1" containsNumber="1" minValue="0.112" maxValue="0.259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2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1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8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8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1899999999999999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8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8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7199999999999999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5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7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4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2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62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46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67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59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100000000000001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7699999999999999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ROT"/>
    <s v="ROT"/>
    <s v="POLSP"/>
    <x v="1"/>
    <n v="0.112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ROT"/>
    <s v="ROT"/>
    <s v="SYNSP"/>
    <x v="2"/>
    <n v="0.21099999999999999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ROT"/>
    <s v="ROT"/>
    <s v="POLSP"/>
    <x v="1"/>
    <n v="0.11899999999999999"/>
    <n v="0"/>
    <n v="1"/>
    <m/>
  </r>
  <r>
    <s v="24GH00I94"/>
    <s v="HU 93"/>
    <s v="D20"/>
    <n v="-1"/>
    <x v="0"/>
    <n v="1"/>
    <m/>
    <m/>
    <n v="1"/>
    <m/>
    <s v="CCM"/>
    <d v="2025-11-13T00:00:00"/>
    <s v="Polaris"/>
    <s v="100x"/>
    <s v="NAU"/>
    <s v="NAU"/>
    <s v="COPNAUP"/>
    <x v="0"/>
    <s v="NA"/>
    <n v="0"/>
    <n v="206"/>
    <m/>
  </r>
  <r>
    <s v="24GH00I94"/>
    <s v="HU 93"/>
    <s v="D20"/>
    <n v="-1"/>
    <x v="1"/>
    <n v="1"/>
    <m/>
    <m/>
    <m/>
    <n v="1"/>
    <s v="CCM"/>
    <d v="2025-11-13T00:00:00"/>
    <s v="Polaris"/>
    <s v="100x"/>
    <s v="ROT"/>
    <s v="ROT"/>
    <s v="KELLONG"/>
    <x v="3"/>
    <n v="0.115"/>
    <n v="0"/>
    <n v="1"/>
    <m/>
  </r>
  <r>
    <s v="24GH00I94"/>
    <s v="HU 93"/>
    <s v="D20"/>
    <n v="-1"/>
    <x v="1"/>
    <n v="1"/>
    <m/>
    <m/>
    <m/>
    <n v="1"/>
    <s v="CCM"/>
    <d v="2025-11-13T00:00:00"/>
    <s v="Polaris"/>
    <s v="100x"/>
    <s v="NAU"/>
    <s v="NAU"/>
    <s v="COPNAUP"/>
    <x v="0"/>
    <s v="NA"/>
    <n v="0"/>
    <n v="2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70F71-CF5D-4B08-8F18-E5FACF6185FF}" name="PivotTable3" cacheId="10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0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A816-92C3-4EBA-88A6-C1BB71E1CECD}">
  <dimension ref="A1:AA27"/>
  <sheetViews>
    <sheetView tabSelected="1" workbookViewId="0">
      <selection activeCell="J21" sqref="J21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0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53</v>
      </c>
      <c r="I2">
        <v>1</v>
      </c>
      <c r="K2" t="s">
        <v>26</v>
      </c>
      <c r="L2" s="1">
        <v>45974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0.13100000000000001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53</v>
      </c>
      <c r="I3">
        <v>1</v>
      </c>
      <c r="K3" t="s">
        <v>26</v>
      </c>
      <c r="L3" s="1">
        <v>45974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0.128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53</v>
      </c>
      <c r="I4">
        <v>1</v>
      </c>
      <c r="K4" t="s">
        <v>26</v>
      </c>
      <c r="L4" s="1">
        <v>45974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0.13800000000000001</v>
      </c>
      <c r="T4">
        <v>0</v>
      </c>
      <c r="U4">
        <v>1</v>
      </c>
      <c r="X4" s="2" t="s">
        <v>43</v>
      </c>
      <c r="Y4" s="2" t="s">
        <v>44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53</v>
      </c>
      <c r="I5">
        <v>1</v>
      </c>
      <c r="K5" t="s">
        <v>26</v>
      </c>
      <c r="L5" s="1">
        <v>45974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0.11899999999999999</v>
      </c>
      <c r="T5">
        <v>0</v>
      </c>
      <c r="U5">
        <v>1</v>
      </c>
      <c r="X5" s="2" t="s">
        <v>41</v>
      </c>
      <c r="Y5" t="s">
        <v>25</v>
      </c>
      <c r="Z5" t="s">
        <v>38</v>
      </c>
      <c r="AA5" t="s">
        <v>42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53</v>
      </c>
      <c r="I6">
        <v>1</v>
      </c>
      <c r="K6" t="s">
        <v>26</v>
      </c>
      <c r="L6" s="1">
        <v>45974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0.158</v>
      </c>
      <c r="T6">
        <v>0</v>
      </c>
      <c r="U6">
        <v>1</v>
      </c>
      <c r="X6" s="3" t="s">
        <v>31</v>
      </c>
      <c r="Y6" s="4">
        <v>226</v>
      </c>
      <c r="Z6" s="4">
        <v>227</v>
      </c>
      <c r="AA6" s="4">
        <v>453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53</v>
      </c>
      <c r="I7">
        <v>1</v>
      </c>
      <c r="K7" t="s">
        <v>26</v>
      </c>
      <c r="L7" s="1">
        <v>45974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0.128</v>
      </c>
      <c r="T7">
        <v>0</v>
      </c>
      <c r="U7">
        <v>1</v>
      </c>
      <c r="X7" s="3" t="s">
        <v>40</v>
      </c>
      <c r="Y7" s="4"/>
      <c r="Z7" s="4">
        <v>1</v>
      </c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53</v>
      </c>
      <c r="I8">
        <v>1</v>
      </c>
      <c r="K8" t="s">
        <v>26</v>
      </c>
      <c r="L8" s="1">
        <v>45974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0.17199999999999999</v>
      </c>
      <c r="T8">
        <v>0</v>
      </c>
      <c r="U8">
        <v>1</v>
      </c>
      <c r="X8" s="3" t="s">
        <v>34</v>
      </c>
      <c r="Y8" s="4">
        <v>2</v>
      </c>
      <c r="Z8" s="4"/>
      <c r="AA8" s="4">
        <v>2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53</v>
      </c>
      <c r="I9">
        <v>1</v>
      </c>
      <c r="K9" t="s">
        <v>26</v>
      </c>
      <c r="L9" s="1">
        <v>45974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0.155</v>
      </c>
      <c r="T9">
        <v>0</v>
      </c>
      <c r="U9">
        <v>1</v>
      </c>
      <c r="X9" s="3" t="s">
        <v>36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53</v>
      </c>
      <c r="I10">
        <v>1</v>
      </c>
      <c r="K10" t="s">
        <v>26</v>
      </c>
      <c r="L10" s="1">
        <v>45974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0.13700000000000001</v>
      </c>
      <c r="T10">
        <v>0</v>
      </c>
      <c r="U10">
        <v>1</v>
      </c>
      <c r="X10" s="3" t="s">
        <v>42</v>
      </c>
      <c r="Y10" s="4">
        <v>229</v>
      </c>
      <c r="Z10" s="4">
        <v>228</v>
      </c>
      <c r="AA10" s="4">
        <v>457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53</v>
      </c>
      <c r="I11">
        <v>1</v>
      </c>
      <c r="K11" t="s">
        <v>26</v>
      </c>
      <c r="L11" s="1">
        <v>45974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0.15</v>
      </c>
      <c r="T11">
        <v>0</v>
      </c>
      <c r="U11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53</v>
      </c>
      <c r="I12">
        <v>1</v>
      </c>
      <c r="K12" t="s">
        <v>26</v>
      </c>
      <c r="L12" s="1">
        <v>45974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0.121</v>
      </c>
      <c r="T12">
        <v>0</v>
      </c>
      <c r="U12">
        <v>1</v>
      </c>
    </row>
    <row r="13" spans="1:27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53</v>
      </c>
      <c r="I13">
        <v>1</v>
      </c>
      <c r="K13" t="s">
        <v>26</v>
      </c>
      <c r="L13" s="1">
        <v>45974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0.154</v>
      </c>
      <c r="T13">
        <v>0</v>
      </c>
      <c r="U13">
        <v>1</v>
      </c>
      <c r="X13" s="5" t="s">
        <v>45</v>
      </c>
      <c r="Y13" s="6" t="s">
        <v>46</v>
      </c>
      <c r="Z13" s="7">
        <v>0.999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53</v>
      </c>
      <c r="I14">
        <v>1</v>
      </c>
      <c r="K14" t="s">
        <v>26</v>
      </c>
      <c r="L14" s="1">
        <v>45974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0.13200000000000001</v>
      </c>
      <c r="T14">
        <v>0</v>
      </c>
      <c r="U14">
        <v>1</v>
      </c>
      <c r="X14" s="8"/>
      <c r="Y14" s="6" t="s">
        <v>46</v>
      </c>
      <c r="Z14" s="7">
        <v>0.999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53</v>
      </c>
      <c r="I15">
        <v>1</v>
      </c>
      <c r="K15" t="s">
        <v>26</v>
      </c>
      <c r="L15" s="1">
        <v>45974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0.16200000000000001</v>
      </c>
      <c r="T15">
        <v>0</v>
      </c>
      <c r="U15">
        <v>1</v>
      </c>
      <c r="X15" s="5" t="s">
        <v>47</v>
      </c>
      <c r="Y15" s="6" t="s">
        <v>46</v>
      </c>
      <c r="Z15" s="7">
        <v>1.0049999999999999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53</v>
      </c>
      <c r="I16">
        <v>1</v>
      </c>
      <c r="K16" t="s">
        <v>26</v>
      </c>
      <c r="L16" s="1">
        <v>45974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0.246</v>
      </c>
      <c r="T16">
        <v>0</v>
      </c>
      <c r="U16">
        <v>1</v>
      </c>
      <c r="X16" s="8"/>
      <c r="Y16" s="6" t="s">
        <v>46</v>
      </c>
      <c r="Z16" s="7">
        <v>1.004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53</v>
      </c>
      <c r="I17">
        <v>1</v>
      </c>
      <c r="K17" t="s">
        <v>26</v>
      </c>
      <c r="L17" s="1">
        <v>45974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0.16700000000000001</v>
      </c>
      <c r="T17">
        <v>0</v>
      </c>
      <c r="U17">
        <v>1</v>
      </c>
      <c r="X17" s="9" t="s">
        <v>48</v>
      </c>
      <c r="Y17" s="10" t="s">
        <v>49</v>
      </c>
      <c r="Z17" s="11"/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53</v>
      </c>
      <c r="I18">
        <v>1</v>
      </c>
      <c r="K18" t="s">
        <v>26</v>
      </c>
      <c r="L18" s="1">
        <v>45974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0.12</v>
      </c>
      <c r="T18">
        <v>0</v>
      </c>
      <c r="U18">
        <v>1</v>
      </c>
      <c r="X18" s="9" t="s">
        <v>50</v>
      </c>
      <c r="Y18" s="10" t="s">
        <v>51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53</v>
      </c>
      <c r="I19">
        <v>1</v>
      </c>
      <c r="K19" t="s">
        <v>26</v>
      </c>
      <c r="L19" s="1">
        <v>45974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0.25900000000000001</v>
      </c>
      <c r="T19">
        <v>0</v>
      </c>
      <c r="U19">
        <v>1</v>
      </c>
      <c r="X19" s="6" t="s">
        <v>52</v>
      </c>
      <c r="Y19" s="10"/>
      <c r="Z19" s="11"/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53</v>
      </c>
      <c r="I20">
        <v>1</v>
      </c>
      <c r="K20" t="s">
        <v>26</v>
      </c>
      <c r="L20" s="1">
        <v>45974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0.13100000000000001</v>
      </c>
      <c r="T20">
        <v>0</v>
      </c>
      <c r="U20">
        <v>1</v>
      </c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53</v>
      </c>
      <c r="I21">
        <v>1</v>
      </c>
      <c r="K21" t="s">
        <v>26</v>
      </c>
      <c r="L21" s="1">
        <v>45974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0.17699999999999999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53</v>
      </c>
      <c r="I22">
        <v>1</v>
      </c>
      <c r="K22" t="s">
        <v>26</v>
      </c>
      <c r="L22" s="1">
        <v>45974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0.112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53</v>
      </c>
      <c r="I23">
        <v>1</v>
      </c>
      <c r="K23" t="s">
        <v>26</v>
      </c>
      <c r="L23" s="1">
        <v>45974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0.21099999999999999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53</v>
      </c>
      <c r="I24">
        <v>1</v>
      </c>
      <c r="K24" t="s">
        <v>26</v>
      </c>
      <c r="L24" s="1">
        <v>45974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0.11899999999999999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53</v>
      </c>
      <c r="I25">
        <v>1</v>
      </c>
      <c r="K25" t="s">
        <v>26</v>
      </c>
      <c r="L25" s="1">
        <v>45974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 t="s">
        <v>37</v>
      </c>
      <c r="T25">
        <v>0</v>
      </c>
      <c r="U25">
        <v>206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38</v>
      </c>
      <c r="F26">
        <v>1</v>
      </c>
      <c r="G26" t="s">
        <v>53</v>
      </c>
      <c r="J26">
        <v>1</v>
      </c>
      <c r="K26" t="s">
        <v>26</v>
      </c>
      <c r="L26" s="1">
        <v>45974</v>
      </c>
      <c r="M26" t="s">
        <v>27</v>
      </c>
      <c r="N26" t="s">
        <v>28</v>
      </c>
      <c r="O26" t="s">
        <v>32</v>
      </c>
      <c r="P26" t="s">
        <v>32</v>
      </c>
      <c r="Q26" t="s">
        <v>39</v>
      </c>
      <c r="R26" t="s">
        <v>40</v>
      </c>
      <c r="S26">
        <v>0.115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38</v>
      </c>
      <c r="F27">
        <v>1</v>
      </c>
      <c r="G27" t="s">
        <v>53</v>
      </c>
      <c r="J27">
        <v>1</v>
      </c>
      <c r="K27" t="s">
        <v>26</v>
      </c>
      <c r="L27" s="1">
        <v>45974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 t="s">
        <v>37</v>
      </c>
      <c r="T27">
        <v>0</v>
      </c>
      <c r="U27">
        <v>227</v>
      </c>
    </row>
  </sheetData>
  <mergeCells count="5">
    <mergeCell ref="X13:X14"/>
    <mergeCell ref="X15:X16"/>
    <mergeCell ref="Y17:Z17"/>
    <mergeCell ref="Y18:Z18"/>
    <mergeCell ref="Y19:Z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2025-11-13T20:17:32Z</dcterms:created>
  <dcterms:modified xsi:type="dcterms:W3CDTF">2025-11-13T20:26:38Z</dcterms:modified>
</cp:coreProperties>
</file>