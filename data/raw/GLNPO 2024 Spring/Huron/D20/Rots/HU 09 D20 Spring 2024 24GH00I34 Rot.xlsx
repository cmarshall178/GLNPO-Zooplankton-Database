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8_{2E9BF46F-9ADA-4DF4-9FC2-DA1F108908C4}" xr6:coauthVersionLast="47" xr6:coauthVersionMax="47" xr10:uidLastSave="{00000000-0000-0000-0000-000000000000}"/>
  <bookViews>
    <workbookView xWindow="-120" yWindow="-120" windowWidth="29040" windowHeight="15720" xr2:uid="{78527109-02DC-4E30-A0F6-74FD45B6A5D2}"/>
  </bookViews>
  <sheets>
    <sheet name="Sheet1" sheetId="1" r:id="rId1"/>
  </sheets>
  <calcPr calcId="191029"/>
  <pivotCaches>
    <pivotCache cacheId="77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<sst xmlns="http://schemas.openxmlformats.org/spreadsheetml/2006/main" count="406" uniqueCount="54">
  <si>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</si>
  <si>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</si>
  <si>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</si>
  <si>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</si>
  <si>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</si>
  <si>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</si>
  <si>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</si>
  <si>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</si>
  <si>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</si>
  <si>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</si>
  <si>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</si>
  <si>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</si>
  <si>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</si>
  <si>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</si>
  <si>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</si>
  <si>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</si>
  <si>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</si>
  <si>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</si>
  <si>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</si>
  <si>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</si>
  <si>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</si>
  <si>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</si>
  <si>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24GH00I34</t>
  </si>
  <si>
    <t>HU 09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</si>
  <si>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</si>
  <si>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</si>
  <si>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</si>
  <si>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</si>
  <si>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</si>
  <si>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</si>
  <si>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</si>
  <si>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</si>
  <si>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</si>
  <si>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</si>
  <si>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</si>
  <si>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NA</t>
  </si>
  <si>
    <t>B</t>
  </si>
  <si>
    <t>POLSP</t>
  </si>
  <si>
    <t>Polyarthra spp.</t>
  </si>
  <si>
    <t>KERCRAS</t>
  </si>
  <si>
    <t>Keratella crassa</t>
  </si>
  <si>
    <t>75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</si>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</sst>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6.516794560186" createdVersion="8" refreshedVersion="8" minRefreshableVersion="3" recordCount="30" xr:uid="{188E04A1-FD52-4E22-BDB7-F8C01B3AA0BB}">
  <cacheSource type="worksheet">
    <worksheetSource ref="A1:V3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15T00:00:00" maxDate="2025-12-1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Synchaeta spp."/>
        <s v="Polyarthra spp."/>
        <s v="Keratella crassa"/>
      </sharedItems>
    </cacheField>
    <cacheField name="LENGTH" numFmtId="0">
      <sharedItems containsMixedTypes="1" containsNumber="1" minValue="9.6000000000000002E-2" maxValue="0.389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8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39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40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66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31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96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361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88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98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4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389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56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35299999999999998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8000000000000003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42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31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252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63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6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8099999999999999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n v="0.155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ROT"/>
    <s v="ROT"/>
    <s v="SYNSP"/>
    <x v="1"/>
    <n v="0.15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ROT"/>
    <s v="ROT"/>
    <s v="SYNSP"/>
    <x v="1"/>
    <n v="0.13100000000000001"/>
    <n v="0"/>
    <n v="1"/>
    <m/>
  </r>
  <r>
    <s v="24GH00I34"/>
    <s v="HU 09"/>
    <s v="D20"/>
    <n v="-1"/>
    <x v="0"/>
    <n v="1"/>
    <s v="75 mL"/>
    <m/>
    <n v="1"/>
    <m/>
    <s v="CCM"/>
    <d v="2025-12-15T00:00:00"/>
    <s v="Polaris"/>
    <s v="100x"/>
    <s v="NAU"/>
    <s v="NAU"/>
    <s v="COPNAUP"/>
    <x v="0"/>
    <s v="NA"/>
    <n v="0"/>
    <n v="147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POLSP"/>
    <x v="2"/>
    <n v="9.6000000000000002E-2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KERCRAS"/>
    <x v="3"/>
    <n v="0.13400000000000001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SYNSP"/>
    <x v="1"/>
    <n v="0.16900000000000001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SYNSP"/>
    <x v="1"/>
    <n v="0.153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SYNSP"/>
    <x v="1"/>
    <n v="0.114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ROT"/>
    <s v="ROT"/>
    <s v="SYNSP"/>
    <x v="1"/>
    <n v="0.16600000000000001"/>
    <n v="0"/>
    <n v="1"/>
    <m/>
  </r>
  <r>
    <s v="24GH00I34"/>
    <s v="HU 09"/>
    <s v="D20"/>
    <n v="-1"/>
    <x v="1"/>
    <n v="1"/>
    <s v="75 mL"/>
    <m/>
    <m/>
    <n v="1"/>
    <s v="CCM"/>
    <d v="2025-12-15T00:00:00"/>
    <s v="Polaris"/>
    <s v="100x"/>
    <s v="NAU"/>
    <s v="NAU"/>
    <s v="COPNAUP"/>
    <x v="0"/>
    <s v="NA"/>
    <n v="0"/>
    <n v="18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8556C-C909-4D55-B488-DE5E1A195DCC}" name="PivotTable1" cacheId="7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93F6-57F7-4FE5-816D-4C4EE33ADDCE}">
  <dimension ref="A1:Z31"/>
  <sheetViews>
    <sheetView tabSelected="1" topLeftCell="G1" workbookViewId="0">
      <selection activeCell="S13" sqref="S13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15.7109375" bestFit="1" customWidth="1"/>
    <col min="23" max="23" width="24.7109375" bestFit="1" customWidth="1"/>
    <col min="24" max="24" width="16.85546875" bestFit="1" customWidth="1"/>
    <col min="25" max="25" width="10.8554687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41</v>
      </c>
      <c r="I2">
        <v>1</v>
      </c>
      <c r="K2" t="s">
        <v>26</v>
      </c>
      <c r="L2" s="1">
        <v>46006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0.13900000000000001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41</v>
      </c>
      <c r="I3">
        <v>1</v>
      </c>
      <c r="K3" t="s">
        <v>26</v>
      </c>
      <c r="L3" s="1">
        <v>46006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0.14099999999999999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41</v>
      </c>
      <c r="I4">
        <v>1</v>
      </c>
      <c r="K4" t="s">
        <v>26</v>
      </c>
      <c r="L4" s="1">
        <v>46006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0.16600000000000001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41</v>
      </c>
      <c r="I5">
        <v>1</v>
      </c>
      <c r="K5" t="s">
        <v>26</v>
      </c>
      <c r="L5" s="1">
        <v>46006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0.13100000000000001</v>
      </c>
      <c r="T5">
        <v>0</v>
      </c>
      <c r="U5">
        <v>1</v>
      </c>
      <c r="W5" s="2" t="s">
        <v>44</v>
      </c>
      <c r="X5" s="2" t="s">
        <v>45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41</v>
      </c>
      <c r="I6">
        <v>1</v>
      </c>
      <c r="K6" t="s">
        <v>26</v>
      </c>
      <c r="L6" s="1">
        <v>46006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0.29699999999999999</v>
      </c>
      <c r="T6">
        <v>0</v>
      </c>
      <c r="U6">
        <v>1</v>
      </c>
      <c r="W6" s="2" t="s">
        <v>42</v>
      </c>
      <c r="X6" t="s">
        <v>25</v>
      </c>
      <c r="Y6" t="s">
        <v>36</v>
      </c>
      <c r="Z6" t="s">
        <v>43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41</v>
      </c>
      <c r="I7">
        <v>1</v>
      </c>
      <c r="K7" t="s">
        <v>26</v>
      </c>
      <c r="L7" s="1">
        <v>46006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0.36199999999999999</v>
      </c>
      <c r="T7">
        <v>0</v>
      </c>
      <c r="U7">
        <v>1</v>
      </c>
      <c r="W7" s="3" t="s">
        <v>31</v>
      </c>
      <c r="X7">
        <v>167</v>
      </c>
      <c r="Y7">
        <v>189</v>
      </c>
      <c r="Z7">
        <v>356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41</v>
      </c>
      <c r="I8">
        <v>1</v>
      </c>
      <c r="K8" t="s">
        <v>26</v>
      </c>
      <c r="L8" s="1">
        <v>46006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0.188</v>
      </c>
      <c r="T8">
        <v>0</v>
      </c>
      <c r="U8">
        <v>1</v>
      </c>
      <c r="W8" s="3" t="s">
        <v>40</v>
      </c>
      <c r="Y8">
        <v>1</v>
      </c>
      <c r="Z8">
        <v>1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41</v>
      </c>
      <c r="I9">
        <v>1</v>
      </c>
      <c r="K9" t="s">
        <v>26</v>
      </c>
      <c r="L9" s="1">
        <v>46006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0.29899999999999999</v>
      </c>
      <c r="T9">
        <v>0</v>
      </c>
      <c r="U9">
        <v>1</v>
      </c>
      <c r="W9" s="3" t="s">
        <v>38</v>
      </c>
      <c r="Y9">
        <v>1</v>
      </c>
      <c r="Z9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41</v>
      </c>
      <c r="I10">
        <v>1</v>
      </c>
      <c r="K10" t="s">
        <v>26</v>
      </c>
      <c r="L10" s="1">
        <v>46006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0.249</v>
      </c>
      <c r="T10">
        <v>0</v>
      </c>
      <c r="U10">
        <v>1</v>
      </c>
      <c r="W10" s="3" t="s">
        <v>34</v>
      </c>
      <c r="X10">
        <v>2</v>
      </c>
      <c r="Y10">
        <v>4</v>
      </c>
      <c r="Z10">
        <v>6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41</v>
      </c>
      <c r="I11">
        <v>1</v>
      </c>
      <c r="K11" t="s">
        <v>26</v>
      </c>
      <c r="L11" s="1">
        <v>46006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0.38900000000000001</v>
      </c>
      <c r="T11">
        <v>0</v>
      </c>
      <c r="U11">
        <v>1</v>
      </c>
      <c r="W11" s="3" t="s">
        <v>43</v>
      </c>
      <c r="X11">
        <v>169</v>
      </c>
      <c r="Y11">
        <v>195</v>
      </c>
      <c r="Z11">
        <v>364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41</v>
      </c>
      <c r="I12">
        <v>1</v>
      </c>
      <c r="K12" t="s">
        <v>26</v>
      </c>
      <c r="L12" s="1">
        <v>46006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0.25600000000000001</v>
      </c>
      <c r="T12">
        <v>0</v>
      </c>
      <c r="U12">
        <v>1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41</v>
      </c>
      <c r="I13">
        <v>1</v>
      </c>
      <c r="K13" t="s">
        <v>26</v>
      </c>
      <c r="L13" s="1">
        <v>46006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0.35299999999999998</v>
      </c>
      <c r="T13">
        <v>0</v>
      </c>
      <c r="U13">
        <v>1</v>
      </c>
    </row>
    <row r="14" spans="1:26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41</v>
      </c>
      <c r="I14">
        <v>1</v>
      </c>
      <c r="K14" t="s">
        <v>26</v>
      </c>
      <c r="L14" s="1">
        <v>46006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0.28000000000000003</v>
      </c>
      <c r="T14">
        <v>0</v>
      </c>
      <c r="U14">
        <v>1</v>
      </c>
      <c r="W14" s="7" t="s">
        <v>46</v>
      </c>
      <c r="X14" s="4" t="s">
        <v>47</v>
      </c>
      <c r="Y14" s="5">
        <v>1.0009999999999999</v>
      </c>
    </row>
    <row r="15" spans="1:26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41</v>
      </c>
      <c r="I15">
        <v>1</v>
      </c>
      <c r="K15" t="s">
        <v>26</v>
      </c>
      <c r="L15" s="1">
        <v>46006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0.14299999999999999</v>
      </c>
      <c r="T15">
        <v>0</v>
      </c>
      <c r="U15">
        <v>1</v>
      </c>
      <c r="W15" s="8"/>
      <c r="X15" s="4" t="s">
        <v>47</v>
      </c>
      <c r="Y15" s="5">
        <v>1.0009999999999999</v>
      </c>
    </row>
    <row r="16" spans="1:26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41</v>
      </c>
      <c r="I16">
        <v>1</v>
      </c>
      <c r="K16" t="s">
        <v>26</v>
      </c>
      <c r="L16" s="1">
        <v>46006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0.23100000000000001</v>
      </c>
      <c r="T16">
        <v>0</v>
      </c>
      <c r="U16">
        <v>1</v>
      </c>
      <c r="W16" s="7" t="s">
        <v>48</v>
      </c>
      <c r="X16" s="4" t="s">
        <v>47</v>
      </c>
      <c r="Y16" s="5">
        <v>1.0009999999999999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41</v>
      </c>
      <c r="I17">
        <v>1</v>
      </c>
      <c r="K17" t="s">
        <v>26</v>
      </c>
      <c r="L17" s="1">
        <v>46006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0.252</v>
      </c>
      <c r="T17">
        <v>0</v>
      </c>
      <c r="U17">
        <v>1</v>
      </c>
      <c r="W17" s="8"/>
      <c r="X17" s="4" t="s">
        <v>47</v>
      </c>
      <c r="Y17" s="5">
        <v>1.002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41</v>
      </c>
      <c r="I18">
        <v>1</v>
      </c>
      <c r="K18" t="s">
        <v>26</v>
      </c>
      <c r="L18" s="1">
        <v>46006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0.16300000000000001</v>
      </c>
      <c r="T18">
        <v>0</v>
      </c>
      <c r="U18">
        <v>1</v>
      </c>
      <c r="W18" s="6" t="s">
        <v>49</v>
      </c>
      <c r="X18" s="9" t="s">
        <v>50</v>
      </c>
      <c r="Y18" s="10"/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41</v>
      </c>
      <c r="I19">
        <v>1</v>
      </c>
      <c r="K19" t="s">
        <v>26</v>
      </c>
      <c r="L19" s="1">
        <v>46006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0.16</v>
      </c>
      <c r="T19">
        <v>0</v>
      </c>
      <c r="U19">
        <v>1</v>
      </c>
      <c r="W19" s="6" t="s">
        <v>51</v>
      </c>
      <c r="X19" s="9" t="s">
        <v>52</v>
      </c>
      <c r="Y19" s="10"/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41</v>
      </c>
      <c r="I20">
        <v>1</v>
      </c>
      <c r="K20" t="s">
        <v>26</v>
      </c>
      <c r="L20" s="1">
        <v>46006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0.18099999999999999</v>
      </c>
      <c r="T20">
        <v>0</v>
      </c>
      <c r="U20">
        <v>1</v>
      </c>
      <c r="W20" s="4" t="s">
        <v>53</v>
      </c>
      <c r="X20" s="9"/>
      <c r="Y20" s="10"/>
    </row>
    <row r="21" spans="1:2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41</v>
      </c>
      <c r="I21">
        <v>1</v>
      </c>
      <c r="K21" t="s">
        <v>26</v>
      </c>
      <c r="L21" s="1">
        <v>46006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0.155</v>
      </c>
      <c r="T21">
        <v>0</v>
      </c>
      <c r="U21">
        <v>1</v>
      </c>
    </row>
    <row r="22" spans="1:2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41</v>
      </c>
      <c r="I22">
        <v>1</v>
      </c>
      <c r="K22" t="s">
        <v>26</v>
      </c>
      <c r="L22" s="1">
        <v>46006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0.151</v>
      </c>
      <c r="T22">
        <v>0</v>
      </c>
      <c r="U22">
        <v>1</v>
      </c>
    </row>
    <row r="23" spans="1:2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41</v>
      </c>
      <c r="I23">
        <v>1</v>
      </c>
      <c r="K23" t="s">
        <v>26</v>
      </c>
      <c r="L23" s="1">
        <v>46006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0.13100000000000001</v>
      </c>
      <c r="T23">
        <v>0</v>
      </c>
      <c r="U23">
        <v>1</v>
      </c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41</v>
      </c>
      <c r="I24">
        <v>1</v>
      </c>
      <c r="K24" t="s">
        <v>26</v>
      </c>
      <c r="L24" s="1">
        <v>46006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 t="s">
        <v>35</v>
      </c>
      <c r="T24">
        <v>0</v>
      </c>
      <c r="U24">
        <v>147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36</v>
      </c>
      <c r="F25">
        <v>1</v>
      </c>
      <c r="G25" t="s">
        <v>41</v>
      </c>
      <c r="J25">
        <v>1</v>
      </c>
      <c r="K25" t="s">
        <v>26</v>
      </c>
      <c r="L25" s="1">
        <v>46006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9.6000000000000002E-2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36</v>
      </c>
      <c r="F26">
        <v>1</v>
      </c>
      <c r="G26" t="s">
        <v>41</v>
      </c>
      <c r="J26">
        <v>1</v>
      </c>
      <c r="K26" t="s">
        <v>26</v>
      </c>
      <c r="L26" s="1">
        <v>46006</v>
      </c>
      <c r="M26" t="s">
        <v>27</v>
      </c>
      <c r="N26" t="s">
        <v>28</v>
      </c>
      <c r="O26" t="s">
        <v>32</v>
      </c>
      <c r="P26" t="s">
        <v>32</v>
      </c>
      <c r="Q26" t="s">
        <v>39</v>
      </c>
      <c r="R26" t="s">
        <v>40</v>
      </c>
      <c r="S26">
        <v>0.13400000000000001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36</v>
      </c>
      <c r="F27">
        <v>1</v>
      </c>
      <c r="G27" t="s">
        <v>41</v>
      </c>
      <c r="J27">
        <v>1</v>
      </c>
      <c r="K27" t="s">
        <v>26</v>
      </c>
      <c r="L27" s="1">
        <v>46006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0.16900000000000001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36</v>
      </c>
      <c r="F28">
        <v>1</v>
      </c>
      <c r="G28" t="s">
        <v>41</v>
      </c>
      <c r="J28">
        <v>1</v>
      </c>
      <c r="K28" t="s">
        <v>26</v>
      </c>
      <c r="L28" s="1">
        <v>46006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0.153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36</v>
      </c>
      <c r="F29">
        <v>1</v>
      </c>
      <c r="G29" t="s">
        <v>41</v>
      </c>
      <c r="J29">
        <v>1</v>
      </c>
      <c r="K29" t="s">
        <v>26</v>
      </c>
      <c r="L29" s="1">
        <v>46006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0.114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36</v>
      </c>
      <c r="F30">
        <v>1</v>
      </c>
      <c r="G30" t="s">
        <v>41</v>
      </c>
      <c r="J30">
        <v>1</v>
      </c>
      <c r="K30" t="s">
        <v>26</v>
      </c>
      <c r="L30" s="1">
        <v>46006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0.16600000000000001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36</v>
      </c>
      <c r="F31">
        <v>1</v>
      </c>
      <c r="G31" t="s">
        <v>41</v>
      </c>
      <c r="J31">
        <v>1</v>
      </c>
      <c r="K31" t="s">
        <v>26</v>
      </c>
      <c r="L31" s="1">
        <v>46006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 t="s">
        <v>35</v>
      </c>
      <c r="T31">
        <v>0</v>
      </c>
      <c r="U31">
        <v>189</v>
      </c>
    </row>
  </sheetData>
  <mergeCells count="5">
    <mergeCell ref="W14:W15"/>
    <mergeCell ref="W16:W17"/>
    <mergeCell ref="X18:Y18"/>
    <mergeCell ref="X19:Y19"/>
    <mergeCell ref="X20:Y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2025-12-15T17:23:49Z</dcterms:created>
  <dcterms:modified xsi:type="dcterms:W3CDTF">2025-12-15T18:16:55Z</dcterms:modified>
</cp:coreProperties>
</file>