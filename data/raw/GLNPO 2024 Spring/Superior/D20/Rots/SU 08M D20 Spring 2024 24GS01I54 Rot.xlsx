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hudson\Desktop\GLNPO\2024\Superior\Spring\"/>
    </mc:Choice>
  </mc:AlternateContent>
  <bookViews>
    <workbookView xWindow="0" yWindow="0" windowWidth="11484" windowHeight="192"/>
  </bookViews>
  <sheets>
    <sheet name="Sheet1" sheetId="1" r:id="rId1"/>
  </sheets>
  <definedNames>
    <definedName name="_xlnm._FilterDatabase" localSheetId="0" hidden="1">Sheet1!$A$1:$AB$63</definedName>
  </definedNames>
  <calcPr calcId="162913"/>
  <pivotCaches>
    <pivotCache cacheId="536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<sst xmlns="http://schemas.openxmlformats.org/spreadsheetml/2006/main" count="802" uniqueCount="64">
  <si>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</si>
  <si>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</si>
  <si>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</si>
  <si>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</si>
  <si>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</si>
  <si>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</si>
  <si>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</si>
  <si>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</si>
  <si>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</si>
  <si>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</si>
  <si>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</si>
  <si>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</si>
  <si>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</si>
  <si>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</si>
  <si>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</si>
  <si>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</si>
  <si>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</si>
  <si>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</si>
  <si>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</si>
  <si>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</si>
  <si>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</si>
  <si>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</si>
  <si>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24GS01I54</t>
  </si>
  <si>
    <t>SU 08M</t>
  </si>
  <si>
    <t>D20</t>
  </si>
  <si>
    <t>A</t>
  </si>
  <si>
    <t>CTH</t>
  </si>
  <si>
    <t>OCEANA</t>
  </si>
  <si>
    <t>100X</t>
  </si>
  <si>
    <t>NAU</t>
  </si>
  <si>
    <t>COPNAUP</t>
  </si>
  <si>
    <t>Copepod nauplii</t>
  </si>
  <si>
    <t>ROT</t>
  </si>
  <si>
    <t>KELLONG</t>
  </si>
  <si>
    <t>Kellicottia longispina</t>
  </si>
  <si>
    <t>SYNSP</t>
  </si>
  <si>
    <t>Synchaeta spp.</t>
  </si>
  <si>
    <t>COLSP</t>
  </si>
  <si>
    <t>Collotheca spp.</t>
  </si>
  <si>
    <t>KERCOCH</t>
  </si>
  <si>
    <t>Keratella cochlearis</t>
  </si>
  <si>
    <t>GASSTYL</t>
  </si>
  <si>
    <t>Gastropus stylifer</t>
  </si>
  <si>
    <t>NOTSP</t>
  </si>
  <si>
    <t>Notholca spp.</t>
  </si>
  <si>
    <t>NA</t>
  </si>
  <si>
    <t>Row Labels</t>
  </si>
  <si>
    <t>(blank)</t>
  </si>
  <si>
    <t>Grand Total</t>
  </si>
  <si>
    <t>Column Labels</t>
  </si>
  <si>
    <t>Sum of ORGANISMCOUNT</t>
  </si>
  <si>
    <t>B</t>
  </si>
  <si>
    <t>POLSP</t>
  </si>
  <si>
    <t>Polyarthra spp.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</si>
  <si>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</si>
  <si>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</si>
  <si>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</si>
  <si>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</si>
  <si>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</si>
  <si>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</si>
  <si>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</si>
  <si>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'16</t>
  </si>
  <si>
    <t>Comment:</t>
  </si>
  <si>
    <t>40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</si>
</sst>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/>
    <xf numFmtId="0" fontId="0" fillId="0" borderId="1" xfId="0" applyBorder="1"/>
    <xf numFmtId="0" fontId="0" fillId="0" borderId="1" xfId="0" applyNumberFormat="1" applyBorder="1"/>
    <xf numFmtId="164" fontId="0" fillId="0" borderId="1" xfId="0" applyNumberFormat="1" applyBorder="1"/>
    <xf numFmtId="164" fontId="0" fillId="0" borderId="1" xfId="1" applyNumberFormat="1" applyFont="1" applyBorder="1"/>
    <xf numFmtId="0" fontId="2" fillId="0" borderId="1" xfId="0" applyNumberFormat="1" applyFont="1" applyBorder="1"/>
    <xf numFmtId="0" fontId="2" fillId="0" borderId="2" xfId="0" applyNumberFormat="1" applyFont="1" applyBorder="1" applyAlignment="1">
      <alignment horizontal="center"/>
    </xf>
    <xf numFmtId="0" fontId="2" fillId="0" borderId="3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udson" refreshedDate="46084.660157754632" createdVersion="6" refreshedVersion="6" minRefreshableVersion="3" recordCount="63">
  <cacheSource type="worksheet">
    <worksheetSource ref="B1:U1048576" sheet="Sheet1"/>
  </cacheSource>
  <cacheFields count="20">
    <cacheField name="STATION" numFmtId="0">
      <sharedItems containsBlank="1"/>
    </cacheField>
    <cacheField name="SAMPLETYPE" numFmtId="0">
      <sharedItems containsBlank="1"/>
    </cacheField>
    <cacheField name="QA_LINK" numFmtId="0">
      <sharedItems containsString="0" containsBlank="1" containsNumber="1" containsInteger="1" minValue="-1" maxValue="-1"/>
    </cacheField>
    <cacheField name="SPLIT" numFmtId="0">
      <sharedItems containsBlank="1" count="3">
        <s v="A"/>
        <s v="B"/>
        <m/>
      </sharedItems>
    </cacheField>
    <cacheField name="SPLITFACTOR" numFmtId="0">
      <sharedItems containsString="0" containsBlank="1" containsNumber="1" containsInteger="1" minValue="2" maxValue="2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 containsBlank="1"/>
    </cacheField>
    <cacheField name="ANALYSTDATE" numFmtId="0">
      <sharedItems containsNonDate="0" containsDate="1" containsString="0" containsBlank="1" minDate="2026-03-03T00:00:00" maxDate="2026-03-04T00:00:00"/>
    </cacheField>
    <cacheField name="SCOPE_USED" numFmtId="0">
      <sharedItems containsBlank="1"/>
    </cacheField>
    <cacheField name="POWER_USED" numFmtId="0">
      <sharedItems containsBlank="1"/>
    </cacheField>
    <cacheField name="GROUP" numFmtId="0">
      <sharedItems containsBlank="1"/>
    </cacheField>
    <cacheField name="SUBGROUP" numFmtId="0">
      <sharedItems containsBlank="1"/>
    </cacheField>
    <cacheField name="SPECCODE" numFmtId="0">
      <sharedItems containsBlank="1"/>
    </cacheField>
    <cacheField name="COMBO" numFmtId="0">
      <sharedItems containsBlank="1" count="10">
        <s v="Copepod nauplii"/>
        <s v="Kellicottia longispina"/>
        <s v="Synchaeta spp."/>
        <s v="Collotheca spp."/>
        <s v="Keratella cochlearis"/>
        <s v="Gastropus stylifer"/>
        <s v="Notholca spp."/>
        <s v="Polyarthra spp."/>
        <m/>
        <s v="Conochilus unicornis" u="1"/>
      </sharedItems>
    </cacheField>
    <cacheField name="LENGTH" numFmtId="0">
      <sharedItems containsBlank="1" containsMixedTypes="1" containsNumber="1" minValue="0" maxValue="0.215"/>
    </cacheField>
    <cacheField name="WIDTH" numFmtId="0">
      <sharedItems containsString="0" containsBlank="1" containsNumber="1" minValue="0" maxValue="0.09"/>
    </cacheField>
    <cacheField name="ORGANISMCOUNT" numFmtId="0">
      <sharedItems containsString="0" containsBlank="1" containsNumber="1" containsInteger="1" minValue="1" maxValue="1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3">
  <r>
    <s v="SU 08M"/>
    <s v="D20"/>
    <n v="-1"/>
    <x v="0"/>
    <n v="2"/>
    <m/>
    <m/>
    <n v="1"/>
    <m/>
    <s v="CTH"/>
    <d v="2026-03-03T00:00:00"/>
    <s v="OCEANA"/>
    <s v="100X"/>
    <s v="NAU"/>
    <s v="NAU"/>
    <s v="COPNAUP"/>
    <x v="0"/>
    <n v="0.17199999999999999"/>
    <n v="0"/>
    <n v="1"/>
  </r>
  <r>
    <s v="SU 08M"/>
    <s v="D20"/>
    <n v="-1"/>
    <x v="0"/>
    <n v="2"/>
    <m/>
    <m/>
    <n v="1"/>
    <m/>
    <s v="CTH"/>
    <d v="2026-03-03T00:00:00"/>
    <s v="OCEANA"/>
    <s v="100X"/>
    <s v="NAU"/>
    <s v="NAU"/>
    <s v="COPNAUP"/>
    <x v="0"/>
    <n v="0.156"/>
    <n v="0"/>
    <n v="1"/>
  </r>
  <r>
    <s v="SU 08M"/>
    <s v="D20"/>
    <n v="-1"/>
    <x v="0"/>
    <n v="2"/>
    <m/>
    <m/>
    <n v="1"/>
    <m/>
    <s v="CTH"/>
    <d v="2026-03-03T00:00:00"/>
    <s v="OCEANA"/>
    <s v="100X"/>
    <s v="NAU"/>
    <s v="NAU"/>
    <s v="COPNAUP"/>
    <x v="0"/>
    <n v="0.13200000000000001"/>
    <n v="0"/>
    <n v="1"/>
  </r>
  <r>
    <s v="SU 08M"/>
    <s v="D20"/>
    <n v="-1"/>
    <x v="0"/>
    <n v="2"/>
    <m/>
    <m/>
    <n v="1"/>
    <m/>
    <s v="CTH"/>
    <d v="2026-03-03T00:00:00"/>
    <s v="OCEANA"/>
    <s v="100X"/>
    <s v="ROT"/>
    <s v="ROT"/>
    <s v="KELLONG"/>
    <x v="1"/>
    <n v="0.154"/>
    <n v="0"/>
    <n v="1"/>
  </r>
  <r>
    <s v="SU 08M"/>
    <s v="D20"/>
    <n v="-1"/>
    <x v="0"/>
    <n v="2"/>
    <m/>
    <m/>
    <n v="1"/>
    <m/>
    <s v="CTH"/>
    <d v="2026-03-03T00:00:00"/>
    <s v="OCEANA"/>
    <s v="100X"/>
    <s v="NAU"/>
    <s v="NAU"/>
    <s v="COPNAUP"/>
    <x v="0"/>
    <n v="0.18099999999999999"/>
    <n v="0"/>
    <n v="1"/>
  </r>
  <r>
    <s v="SU 08M"/>
    <s v="D20"/>
    <n v="-1"/>
    <x v="0"/>
    <n v="2"/>
    <m/>
    <m/>
    <n v="1"/>
    <m/>
    <s v="CTH"/>
    <d v="2026-03-03T00:00:00"/>
    <s v="OCEANA"/>
    <s v="100X"/>
    <s v="NAU"/>
    <s v="NAU"/>
    <s v="COPNAUP"/>
    <x v="0"/>
    <n v="0.159"/>
    <n v="0"/>
    <n v="1"/>
  </r>
  <r>
    <s v="SU 08M"/>
    <s v="D20"/>
    <n v="-1"/>
    <x v="0"/>
    <n v="2"/>
    <m/>
    <m/>
    <n v="1"/>
    <m/>
    <s v="CTH"/>
    <d v="2026-03-03T00:00:00"/>
    <s v="OCEANA"/>
    <s v="100X"/>
    <s v="NAU"/>
    <s v="NAU"/>
    <s v="COPNAUP"/>
    <x v="0"/>
    <n v="0.16600000000000001"/>
    <n v="0"/>
    <n v="1"/>
  </r>
  <r>
    <s v="SU 08M"/>
    <s v="D20"/>
    <n v="-1"/>
    <x v="0"/>
    <n v="2"/>
    <m/>
    <m/>
    <n v="1"/>
    <m/>
    <s v="CTH"/>
    <d v="2026-03-03T00:00:00"/>
    <s v="OCEANA"/>
    <s v="100X"/>
    <s v="ROT"/>
    <s v="ROT"/>
    <s v="SYNSP"/>
    <x v="2"/>
    <n v="0.18"/>
    <n v="0"/>
    <n v="1"/>
  </r>
  <r>
    <s v="SU 08M"/>
    <s v="D20"/>
    <n v="-1"/>
    <x v="0"/>
    <n v="2"/>
    <m/>
    <m/>
    <n v="1"/>
    <m/>
    <s v="CTH"/>
    <d v="2026-03-03T00:00:00"/>
    <s v="OCEANA"/>
    <s v="100X"/>
    <s v="NAU"/>
    <s v="NAU"/>
    <s v="COPNAUP"/>
    <x v="0"/>
    <n v="0.215"/>
    <n v="0"/>
    <n v="1"/>
  </r>
  <r>
    <s v="SU 08M"/>
    <s v="D20"/>
    <n v="-1"/>
    <x v="0"/>
    <n v="2"/>
    <m/>
    <m/>
    <n v="1"/>
    <m/>
    <s v="CTH"/>
    <d v="2026-03-03T00:00:00"/>
    <s v="OCEANA"/>
    <s v="100X"/>
    <s v="NAU"/>
    <s v="NAU"/>
    <s v="COPNAUP"/>
    <x v="0"/>
    <n v="0.187"/>
    <n v="0"/>
    <n v="1"/>
  </r>
  <r>
    <s v="SU 08M"/>
    <s v="D20"/>
    <n v="-1"/>
    <x v="0"/>
    <n v="2"/>
    <m/>
    <m/>
    <n v="1"/>
    <m/>
    <s v="CTH"/>
    <d v="2026-03-03T00:00:00"/>
    <s v="OCEANA"/>
    <s v="100X"/>
    <s v="ROT"/>
    <s v="ROT"/>
    <s v="SYNSP"/>
    <x v="2"/>
    <n v="0.17100000000000001"/>
    <n v="0"/>
    <n v="1"/>
  </r>
  <r>
    <s v="SU 08M"/>
    <s v="D20"/>
    <n v="-1"/>
    <x v="0"/>
    <n v="2"/>
    <m/>
    <m/>
    <n v="1"/>
    <m/>
    <s v="CTH"/>
    <d v="2026-03-03T00:00:00"/>
    <s v="OCEANA"/>
    <s v="100X"/>
    <s v="NAU"/>
    <s v="NAU"/>
    <s v="COPNAUP"/>
    <x v="0"/>
    <n v="0.14699999999999999"/>
    <n v="0"/>
    <n v="1"/>
  </r>
  <r>
    <s v="SU 08M"/>
    <s v="D20"/>
    <n v="-1"/>
    <x v="0"/>
    <n v="2"/>
    <m/>
    <m/>
    <n v="1"/>
    <m/>
    <s v="CTH"/>
    <d v="2026-03-03T00:00:00"/>
    <s v="OCEANA"/>
    <s v="100X"/>
    <s v="NAU"/>
    <s v="NAU"/>
    <s v="COPNAUP"/>
    <x v="0"/>
    <n v="0.154"/>
    <n v="0"/>
    <n v="1"/>
  </r>
  <r>
    <s v="SU 08M"/>
    <s v="D20"/>
    <n v="-1"/>
    <x v="0"/>
    <n v="2"/>
    <m/>
    <m/>
    <n v="1"/>
    <m/>
    <s v="CTH"/>
    <d v="2026-03-03T00:00:00"/>
    <s v="OCEANA"/>
    <s v="100X"/>
    <s v="NAU"/>
    <s v="NAU"/>
    <s v="COPNAUP"/>
    <x v="0"/>
    <n v="0.17699999999999999"/>
    <n v="0"/>
    <n v="1"/>
  </r>
  <r>
    <s v="SU 08M"/>
    <s v="D20"/>
    <n v="-1"/>
    <x v="0"/>
    <n v="2"/>
    <m/>
    <m/>
    <n v="1"/>
    <m/>
    <s v="CTH"/>
    <d v="2026-03-03T00:00:00"/>
    <s v="OCEANA"/>
    <s v="100X"/>
    <s v="NAU"/>
    <s v="NAU"/>
    <s v="COPNAUP"/>
    <x v="0"/>
    <n v="0.191"/>
    <n v="0"/>
    <n v="1"/>
  </r>
  <r>
    <s v="SU 08M"/>
    <s v="D20"/>
    <n v="-1"/>
    <x v="0"/>
    <n v="2"/>
    <m/>
    <m/>
    <n v="1"/>
    <m/>
    <s v="CTH"/>
    <d v="2026-03-03T00:00:00"/>
    <s v="OCEANA"/>
    <s v="100X"/>
    <s v="NAU"/>
    <s v="NAU"/>
    <s v="COPNAUP"/>
    <x v="0"/>
    <n v="0.16200000000000001"/>
    <n v="0"/>
    <n v="1"/>
  </r>
  <r>
    <s v="SU 08M"/>
    <s v="D20"/>
    <n v="-1"/>
    <x v="0"/>
    <n v="2"/>
    <m/>
    <m/>
    <n v="1"/>
    <m/>
    <s v="CTH"/>
    <d v="2026-03-03T00:00:00"/>
    <s v="OCEANA"/>
    <s v="100X"/>
    <s v="ROT"/>
    <s v="ROT"/>
    <s v="COLSP"/>
    <x v="3"/>
    <n v="0"/>
    <n v="4.3999999999999997E-2"/>
    <n v="1"/>
  </r>
  <r>
    <s v="SU 08M"/>
    <s v="D20"/>
    <n v="-1"/>
    <x v="0"/>
    <n v="2"/>
    <m/>
    <m/>
    <n v="1"/>
    <m/>
    <s v="CTH"/>
    <d v="2026-03-03T00:00:00"/>
    <s v="OCEANA"/>
    <s v="100X"/>
    <s v="NAU"/>
    <s v="NAU"/>
    <s v="COPNAUP"/>
    <x v="0"/>
    <n v="0.13600000000000001"/>
    <n v="0"/>
    <n v="1"/>
  </r>
  <r>
    <s v="SU 08M"/>
    <s v="D20"/>
    <n v="-1"/>
    <x v="0"/>
    <n v="2"/>
    <m/>
    <m/>
    <n v="1"/>
    <m/>
    <s v="CTH"/>
    <d v="2026-03-03T00:00:00"/>
    <s v="OCEANA"/>
    <s v="100X"/>
    <s v="NAU"/>
    <s v="NAU"/>
    <s v="COPNAUP"/>
    <x v="0"/>
    <n v="0.125"/>
    <n v="0"/>
    <n v="1"/>
  </r>
  <r>
    <s v="SU 08M"/>
    <s v="D20"/>
    <n v="-1"/>
    <x v="0"/>
    <n v="2"/>
    <m/>
    <m/>
    <n v="1"/>
    <m/>
    <s v="CTH"/>
    <d v="2026-03-03T00:00:00"/>
    <s v="OCEANA"/>
    <s v="100X"/>
    <s v="ROT"/>
    <s v="ROT"/>
    <s v="KERCOCH"/>
    <x v="4"/>
    <n v="0.10299999999999999"/>
    <n v="0"/>
    <n v="1"/>
  </r>
  <r>
    <s v="SU 08M"/>
    <s v="D20"/>
    <n v="-1"/>
    <x v="0"/>
    <n v="2"/>
    <m/>
    <m/>
    <n v="1"/>
    <m/>
    <s v="CTH"/>
    <d v="2026-03-03T00:00:00"/>
    <s v="OCEANA"/>
    <s v="100X"/>
    <s v="NAU"/>
    <s v="NAU"/>
    <s v="COPNAUP"/>
    <x v="0"/>
    <n v="0.15"/>
    <n v="0"/>
    <n v="1"/>
  </r>
  <r>
    <s v="SU 08M"/>
    <s v="D20"/>
    <n v="-1"/>
    <x v="0"/>
    <n v="2"/>
    <m/>
    <m/>
    <n v="1"/>
    <m/>
    <s v="CTH"/>
    <d v="2026-03-03T00:00:00"/>
    <s v="OCEANA"/>
    <s v="100X"/>
    <s v="NAU"/>
    <s v="NAU"/>
    <s v="COPNAUP"/>
    <x v="0"/>
    <n v="0.19400000000000001"/>
    <n v="0"/>
    <n v="1"/>
  </r>
  <r>
    <s v="SU 08M"/>
    <s v="D20"/>
    <n v="-1"/>
    <x v="0"/>
    <n v="2"/>
    <m/>
    <m/>
    <n v="1"/>
    <m/>
    <s v="CTH"/>
    <d v="2026-03-03T00:00:00"/>
    <s v="OCEANA"/>
    <s v="100X"/>
    <s v="NAU"/>
    <s v="NAU"/>
    <s v="COPNAUP"/>
    <x v="0"/>
    <n v="0.191"/>
    <n v="0"/>
    <n v="1"/>
  </r>
  <r>
    <s v="SU 08M"/>
    <s v="D20"/>
    <n v="-1"/>
    <x v="0"/>
    <n v="2"/>
    <m/>
    <m/>
    <n v="1"/>
    <m/>
    <s v="CTH"/>
    <d v="2026-03-03T00:00:00"/>
    <s v="OCEANA"/>
    <s v="100X"/>
    <s v="ROT"/>
    <s v="ROT"/>
    <s v="GASSTYL"/>
    <x v="5"/>
    <n v="0.16300000000000001"/>
    <n v="0"/>
    <n v="1"/>
  </r>
  <r>
    <s v="SU 08M"/>
    <s v="D20"/>
    <n v="-1"/>
    <x v="0"/>
    <n v="2"/>
    <m/>
    <m/>
    <n v="1"/>
    <m/>
    <s v="CTH"/>
    <d v="2026-03-03T00:00:00"/>
    <s v="OCEANA"/>
    <s v="100X"/>
    <s v="NAU"/>
    <s v="NAU"/>
    <s v="COPNAUP"/>
    <x v="0"/>
    <n v="0.20100000000000001"/>
    <n v="0"/>
    <n v="1"/>
  </r>
  <r>
    <s v="SU 08M"/>
    <s v="D20"/>
    <n v="-1"/>
    <x v="0"/>
    <n v="2"/>
    <m/>
    <m/>
    <n v="1"/>
    <m/>
    <s v="CTH"/>
    <d v="2026-03-03T00:00:00"/>
    <s v="OCEANA"/>
    <s v="100X"/>
    <s v="NAU"/>
    <s v="NAU"/>
    <s v="COPNAUP"/>
    <x v="0"/>
    <n v="0.183"/>
    <n v="0"/>
    <n v="1"/>
  </r>
  <r>
    <s v="SU 08M"/>
    <s v="D20"/>
    <n v="-1"/>
    <x v="0"/>
    <n v="2"/>
    <m/>
    <m/>
    <n v="1"/>
    <m/>
    <s v="CTH"/>
    <d v="2026-03-03T00:00:00"/>
    <s v="OCEANA"/>
    <s v="100X"/>
    <s v="NAU"/>
    <s v="NAU"/>
    <s v="COPNAUP"/>
    <x v="0"/>
    <n v="0.16900000000000001"/>
    <n v="0"/>
    <n v="1"/>
  </r>
  <r>
    <s v="SU 08M"/>
    <s v="D20"/>
    <n v="-1"/>
    <x v="0"/>
    <n v="2"/>
    <m/>
    <m/>
    <n v="1"/>
    <m/>
    <s v="CTH"/>
    <d v="2026-03-03T00:00:00"/>
    <s v="OCEANA"/>
    <s v="100X"/>
    <s v="NAU"/>
    <s v="NAU"/>
    <s v="COPNAUP"/>
    <x v="0"/>
    <n v="0.185"/>
    <n v="0"/>
    <n v="1"/>
  </r>
  <r>
    <s v="SU 08M"/>
    <s v="D20"/>
    <n v="-1"/>
    <x v="0"/>
    <n v="2"/>
    <m/>
    <m/>
    <n v="1"/>
    <m/>
    <s v="CTH"/>
    <d v="2026-03-03T00:00:00"/>
    <s v="OCEANA"/>
    <s v="100X"/>
    <s v="NAU"/>
    <s v="NAU"/>
    <s v="COPNAUP"/>
    <x v="0"/>
    <n v="0.14799999999999999"/>
    <n v="0"/>
    <n v="1"/>
  </r>
  <r>
    <s v="SU 08M"/>
    <s v="D20"/>
    <n v="-1"/>
    <x v="0"/>
    <n v="2"/>
    <m/>
    <m/>
    <n v="1"/>
    <m/>
    <s v="CTH"/>
    <d v="2026-03-03T00:00:00"/>
    <s v="OCEANA"/>
    <s v="100X"/>
    <s v="NAU"/>
    <s v="NAU"/>
    <s v="COPNAUP"/>
    <x v="0"/>
    <n v="0.20399999999999999"/>
    <n v="0"/>
    <n v="1"/>
  </r>
  <r>
    <s v="SU 08M"/>
    <s v="D20"/>
    <n v="-1"/>
    <x v="0"/>
    <n v="2"/>
    <m/>
    <m/>
    <n v="1"/>
    <m/>
    <s v="CTH"/>
    <d v="2026-03-03T00:00:00"/>
    <s v="OCEANA"/>
    <s v="100X"/>
    <s v="NAU"/>
    <s v="NAU"/>
    <s v="COPNAUP"/>
    <x v="0"/>
    <n v="0.16"/>
    <n v="0"/>
    <n v="1"/>
  </r>
  <r>
    <s v="SU 08M"/>
    <s v="D20"/>
    <n v="-1"/>
    <x v="0"/>
    <n v="2"/>
    <m/>
    <m/>
    <n v="1"/>
    <m/>
    <s v="CTH"/>
    <d v="2026-03-03T00:00:00"/>
    <s v="OCEANA"/>
    <s v="100X"/>
    <s v="ROT"/>
    <s v="ROT"/>
    <s v="KELLONG"/>
    <x v="1"/>
    <n v="0.13900000000000001"/>
    <n v="0"/>
    <n v="1"/>
  </r>
  <r>
    <s v="SU 08M"/>
    <s v="D20"/>
    <n v="-1"/>
    <x v="0"/>
    <n v="2"/>
    <m/>
    <m/>
    <n v="1"/>
    <m/>
    <s v="CTH"/>
    <d v="2026-03-03T00:00:00"/>
    <s v="OCEANA"/>
    <s v="100X"/>
    <s v="ROT"/>
    <s v="ROT"/>
    <s v="KERCOCH"/>
    <x v="4"/>
    <n v="9.6000000000000002E-2"/>
    <n v="0"/>
    <n v="1"/>
  </r>
  <r>
    <s v="SU 08M"/>
    <s v="D20"/>
    <n v="-1"/>
    <x v="0"/>
    <n v="2"/>
    <m/>
    <m/>
    <n v="1"/>
    <m/>
    <s v="CTH"/>
    <d v="2026-03-03T00:00:00"/>
    <s v="OCEANA"/>
    <s v="100X"/>
    <s v="ROT"/>
    <s v="ROT"/>
    <s v="SYNSP"/>
    <x v="2"/>
    <n v="0.20499999999999999"/>
    <n v="0"/>
    <n v="1"/>
  </r>
  <r>
    <s v="SU 08M"/>
    <s v="D20"/>
    <n v="-1"/>
    <x v="0"/>
    <n v="2"/>
    <m/>
    <m/>
    <n v="1"/>
    <m/>
    <s v="CTH"/>
    <d v="2026-03-03T00:00:00"/>
    <s v="OCEANA"/>
    <s v="100X"/>
    <s v="ROT"/>
    <s v="ROT"/>
    <s v="COLSP"/>
    <x v="3"/>
    <n v="0"/>
    <n v="5.3999999999999999E-2"/>
    <n v="1"/>
  </r>
  <r>
    <s v="SU 08M"/>
    <s v="D20"/>
    <n v="-1"/>
    <x v="0"/>
    <n v="2"/>
    <m/>
    <m/>
    <n v="1"/>
    <m/>
    <s v="CTH"/>
    <d v="2026-03-03T00:00:00"/>
    <s v="OCEANA"/>
    <s v="100X"/>
    <s v="ROT"/>
    <s v="ROT"/>
    <s v="KELLONG"/>
    <x v="1"/>
    <n v="0.16800000000000001"/>
    <n v="0"/>
    <n v="1"/>
  </r>
  <r>
    <s v="SU 08M"/>
    <s v="D20"/>
    <n v="-1"/>
    <x v="0"/>
    <n v="2"/>
    <m/>
    <m/>
    <n v="1"/>
    <m/>
    <s v="CTH"/>
    <d v="2026-03-03T00:00:00"/>
    <s v="OCEANA"/>
    <s v="100X"/>
    <s v="ROT"/>
    <s v="ROT"/>
    <s v="KELLONG"/>
    <x v="1"/>
    <n v="0.151"/>
    <n v="0"/>
    <n v="1"/>
  </r>
  <r>
    <s v="SU 08M"/>
    <s v="D20"/>
    <n v="-1"/>
    <x v="0"/>
    <n v="2"/>
    <m/>
    <m/>
    <n v="1"/>
    <m/>
    <s v="CTH"/>
    <d v="2026-03-03T00:00:00"/>
    <s v="OCEANA"/>
    <s v="100X"/>
    <s v="ROT"/>
    <s v="ROT"/>
    <s v="COLSP"/>
    <x v="3"/>
    <n v="0"/>
    <n v="4.1000000000000002E-2"/>
    <n v="1"/>
  </r>
  <r>
    <s v="SU 08M"/>
    <s v="D20"/>
    <n v="-1"/>
    <x v="0"/>
    <n v="2"/>
    <m/>
    <m/>
    <n v="1"/>
    <m/>
    <s v="CTH"/>
    <d v="2026-03-03T00:00:00"/>
    <s v="OCEANA"/>
    <s v="100X"/>
    <s v="ROT"/>
    <s v="ROT"/>
    <s v="KERCOCH"/>
    <x v="4"/>
    <n v="0.107"/>
    <n v="0"/>
    <n v="1"/>
  </r>
  <r>
    <s v="SU 08M"/>
    <s v="D20"/>
    <n v="-1"/>
    <x v="0"/>
    <n v="2"/>
    <m/>
    <m/>
    <n v="1"/>
    <m/>
    <s v="CTH"/>
    <d v="2026-03-03T00:00:00"/>
    <s v="OCEANA"/>
    <s v="100X"/>
    <s v="ROT"/>
    <s v="ROT"/>
    <s v="SYNSP"/>
    <x v="2"/>
    <n v="0.16300000000000001"/>
    <n v="0"/>
    <n v="1"/>
  </r>
  <r>
    <s v="SU 08M"/>
    <s v="D20"/>
    <n v="-1"/>
    <x v="0"/>
    <n v="2"/>
    <m/>
    <m/>
    <n v="1"/>
    <m/>
    <s v="CTH"/>
    <d v="2026-03-03T00:00:00"/>
    <s v="OCEANA"/>
    <s v="100X"/>
    <s v="ROT"/>
    <s v="ROT"/>
    <s v="SYNSP"/>
    <x v="2"/>
    <n v="0.17699999999999999"/>
    <n v="0"/>
    <n v="1"/>
  </r>
  <r>
    <s v="SU 08M"/>
    <s v="D20"/>
    <n v="-1"/>
    <x v="0"/>
    <n v="2"/>
    <m/>
    <m/>
    <n v="1"/>
    <m/>
    <s v="CTH"/>
    <d v="2026-03-03T00:00:00"/>
    <s v="OCEANA"/>
    <s v="100X"/>
    <s v="ROT"/>
    <s v="ROT"/>
    <s v="NOTSP"/>
    <x v="6"/>
    <n v="0.127"/>
    <n v="0"/>
    <n v="1"/>
  </r>
  <r>
    <s v="SU 08M"/>
    <s v="D20"/>
    <n v="-1"/>
    <x v="0"/>
    <n v="2"/>
    <m/>
    <m/>
    <n v="1"/>
    <m/>
    <s v="CTH"/>
    <d v="2026-03-03T00:00:00"/>
    <s v="OCEANA"/>
    <s v="100X"/>
    <s v="ROT"/>
    <s v="ROT"/>
    <s v="KERCOCH"/>
    <x v="4"/>
    <n v="9.9000000000000005E-2"/>
    <n v="0"/>
    <n v="1"/>
  </r>
  <r>
    <s v="SU 08M"/>
    <s v="D20"/>
    <n v="-1"/>
    <x v="0"/>
    <n v="2"/>
    <m/>
    <m/>
    <n v="1"/>
    <m/>
    <s v="CTH"/>
    <d v="2026-03-03T00:00:00"/>
    <s v="OCEANA"/>
    <s v="100X"/>
    <s v="ROT"/>
    <s v="ROT"/>
    <s v="COLSP"/>
    <x v="3"/>
    <n v="0"/>
    <n v="5.0999999999999997E-2"/>
    <n v="1"/>
  </r>
  <r>
    <s v="SU 08M"/>
    <s v="D20"/>
    <n v="-1"/>
    <x v="0"/>
    <n v="2"/>
    <m/>
    <m/>
    <n v="1"/>
    <m/>
    <s v="CTH"/>
    <d v="2026-03-03T00:00:00"/>
    <s v="OCEANA"/>
    <s v="100X"/>
    <s v="ROT"/>
    <s v="ROT"/>
    <s v="SYNSP"/>
    <x v="2"/>
    <n v="0.126"/>
    <n v="0"/>
    <n v="1"/>
  </r>
  <r>
    <s v="SU 08M"/>
    <s v="D20"/>
    <n v="-1"/>
    <x v="0"/>
    <n v="2"/>
    <m/>
    <m/>
    <n v="1"/>
    <m/>
    <s v="CTH"/>
    <d v="2026-03-03T00:00:00"/>
    <s v="OCEANA"/>
    <s v="100X"/>
    <s v="ROT"/>
    <s v="ROT"/>
    <s v="NOTSP"/>
    <x v="6"/>
    <n v="0.14399999999999999"/>
    <n v="0"/>
    <n v="1"/>
  </r>
  <r>
    <s v="SU 08M"/>
    <s v="D20"/>
    <n v="-1"/>
    <x v="0"/>
    <n v="2"/>
    <m/>
    <m/>
    <n v="1"/>
    <m/>
    <s v="CTH"/>
    <d v="2026-03-03T00:00:00"/>
    <s v="OCEANA"/>
    <s v="100X"/>
    <s v="NAU"/>
    <s v="NAU"/>
    <s v="COPNAUP"/>
    <x v="0"/>
    <s v="NA"/>
    <n v="0"/>
    <n v="172"/>
  </r>
  <r>
    <s v="SU 08M"/>
    <s v="D20"/>
    <n v="-1"/>
    <x v="1"/>
    <n v="2"/>
    <m/>
    <m/>
    <m/>
    <n v="1"/>
    <s v="CTH"/>
    <d v="2026-03-03T00:00:00"/>
    <s v="OCEANA"/>
    <s v="100X"/>
    <s v="ROT"/>
    <s v="ROT"/>
    <s v="KELLONG"/>
    <x v="1"/>
    <n v="0.14599999999999999"/>
    <n v="0"/>
    <n v="1"/>
  </r>
  <r>
    <s v="SU 08M"/>
    <s v="D20"/>
    <n v="-1"/>
    <x v="1"/>
    <n v="2"/>
    <m/>
    <m/>
    <m/>
    <n v="1"/>
    <s v="CTH"/>
    <d v="2026-03-03T00:00:00"/>
    <s v="OCEANA"/>
    <s v="100X"/>
    <s v="ROT"/>
    <s v="ROT"/>
    <s v="KELLONG"/>
    <x v="1"/>
    <n v="0.14799999999999999"/>
    <n v="0"/>
    <n v="1"/>
  </r>
  <r>
    <s v="SU 08M"/>
    <s v="D20"/>
    <n v="-1"/>
    <x v="1"/>
    <n v="2"/>
    <m/>
    <m/>
    <m/>
    <n v="1"/>
    <s v="CTH"/>
    <d v="2026-03-03T00:00:00"/>
    <s v="OCEANA"/>
    <s v="100X"/>
    <s v="ROT"/>
    <s v="ROT"/>
    <s v="SYNSP"/>
    <x v="2"/>
    <n v="0.19"/>
    <n v="0"/>
    <n v="1"/>
  </r>
  <r>
    <s v="SU 08M"/>
    <s v="D20"/>
    <n v="-1"/>
    <x v="1"/>
    <n v="2"/>
    <m/>
    <m/>
    <m/>
    <n v="1"/>
    <s v="CTH"/>
    <d v="2026-03-03T00:00:00"/>
    <s v="OCEANA"/>
    <s v="100X"/>
    <s v="ROT"/>
    <s v="ROT"/>
    <s v="KERCOCH"/>
    <x v="4"/>
    <n v="0.106"/>
    <n v="0"/>
    <n v="1"/>
  </r>
  <r>
    <s v="SU 08M"/>
    <s v="D20"/>
    <n v="-1"/>
    <x v="1"/>
    <n v="2"/>
    <m/>
    <m/>
    <m/>
    <n v="1"/>
    <s v="CTH"/>
    <d v="2026-03-03T00:00:00"/>
    <s v="OCEANA"/>
    <s v="100X"/>
    <s v="ROT"/>
    <s v="ROT"/>
    <s v="COLSP"/>
    <x v="3"/>
    <n v="0"/>
    <n v="3.9E-2"/>
    <n v="1"/>
  </r>
  <r>
    <s v="SU 08M"/>
    <s v="D20"/>
    <n v="-1"/>
    <x v="1"/>
    <n v="2"/>
    <m/>
    <m/>
    <m/>
    <n v="1"/>
    <s v="CTH"/>
    <d v="2026-03-03T00:00:00"/>
    <s v="OCEANA"/>
    <s v="100X"/>
    <s v="ROT"/>
    <s v="ROT"/>
    <s v="COLSP"/>
    <x v="3"/>
    <n v="0"/>
    <n v="0.09"/>
    <n v="1"/>
  </r>
  <r>
    <s v="SU 08M"/>
    <s v="D20"/>
    <n v="-1"/>
    <x v="1"/>
    <n v="2"/>
    <m/>
    <m/>
    <m/>
    <n v="1"/>
    <s v="CTH"/>
    <d v="2026-03-03T00:00:00"/>
    <s v="OCEANA"/>
    <s v="100X"/>
    <s v="ROT"/>
    <s v="ROT"/>
    <s v="KELLONG"/>
    <x v="1"/>
    <n v="0.13"/>
    <n v="0"/>
    <n v="1"/>
  </r>
  <r>
    <s v="SU 08M"/>
    <s v="D20"/>
    <n v="-1"/>
    <x v="1"/>
    <n v="2"/>
    <m/>
    <m/>
    <m/>
    <n v="1"/>
    <s v="CTH"/>
    <d v="2026-03-03T00:00:00"/>
    <s v="OCEANA"/>
    <s v="100X"/>
    <s v="ROT"/>
    <s v="ROT"/>
    <s v="SYNSP"/>
    <x v="2"/>
    <n v="0.108"/>
    <n v="0"/>
    <n v="1"/>
  </r>
  <r>
    <s v="SU 08M"/>
    <s v="D20"/>
    <n v="-1"/>
    <x v="1"/>
    <n v="2"/>
    <m/>
    <m/>
    <m/>
    <n v="1"/>
    <s v="CTH"/>
    <d v="2026-03-03T00:00:00"/>
    <s v="OCEANA"/>
    <s v="100X"/>
    <s v="ROT"/>
    <s v="ROT"/>
    <s v="COLSP"/>
    <x v="3"/>
    <n v="0"/>
    <n v="0.05"/>
    <n v="1"/>
  </r>
  <r>
    <s v="SU 08M"/>
    <s v="D20"/>
    <n v="-1"/>
    <x v="1"/>
    <n v="2"/>
    <m/>
    <m/>
    <m/>
    <n v="1"/>
    <s v="CTH"/>
    <d v="2026-03-03T00:00:00"/>
    <s v="OCEANA"/>
    <s v="100X"/>
    <s v="ROT"/>
    <s v="ROT"/>
    <s v="POLSP"/>
    <x v="7"/>
    <n v="0.10100000000000001"/>
    <n v="0"/>
    <n v="1"/>
  </r>
  <r>
    <s v="SU 08M"/>
    <s v="D20"/>
    <n v="-1"/>
    <x v="1"/>
    <n v="2"/>
    <m/>
    <m/>
    <m/>
    <n v="1"/>
    <s v="CTH"/>
    <d v="2026-03-03T00:00:00"/>
    <s v="OCEANA"/>
    <s v="100X"/>
    <s v="ROT"/>
    <s v="ROT"/>
    <s v="KELLONG"/>
    <x v="1"/>
    <n v="0.14199999999999999"/>
    <n v="0"/>
    <n v="1"/>
  </r>
  <r>
    <s v="SU 08M"/>
    <s v="D20"/>
    <n v="-1"/>
    <x v="1"/>
    <n v="2"/>
    <m/>
    <m/>
    <m/>
    <n v="1"/>
    <s v="CTH"/>
    <d v="2026-03-03T00:00:00"/>
    <s v="OCEANA"/>
    <s v="100X"/>
    <s v="ROT"/>
    <s v="ROT"/>
    <s v="KELLONG"/>
    <x v="1"/>
    <n v="0.111"/>
    <n v="0"/>
    <n v="1"/>
  </r>
  <r>
    <s v="SU 08M"/>
    <s v="D20"/>
    <n v="-1"/>
    <x v="1"/>
    <n v="2"/>
    <m/>
    <m/>
    <m/>
    <n v="1"/>
    <s v="CTH"/>
    <d v="2026-03-03T00:00:00"/>
    <s v="OCEANA"/>
    <s v="100X"/>
    <s v="ROT"/>
    <s v="ROT"/>
    <s v="KELLONG"/>
    <x v="1"/>
    <n v="0.13300000000000001"/>
    <n v="0"/>
    <n v="1"/>
  </r>
  <r>
    <s v="SU 08M"/>
    <s v="D20"/>
    <n v="-1"/>
    <x v="1"/>
    <n v="2"/>
    <m/>
    <m/>
    <m/>
    <n v="1"/>
    <s v="CTH"/>
    <d v="2026-03-03T00:00:00"/>
    <s v="OCEANA"/>
    <s v="100X"/>
    <s v="ROT"/>
    <s v="ROT"/>
    <s v="COLSP"/>
    <x v="3"/>
    <n v="0"/>
    <n v="3.6999999999999998E-2"/>
    <n v="1"/>
  </r>
  <r>
    <s v="SU 08M"/>
    <s v="D20"/>
    <n v="-1"/>
    <x v="1"/>
    <n v="2"/>
    <m/>
    <m/>
    <m/>
    <n v="1"/>
    <s v="CTH"/>
    <d v="2026-03-03T00:00:00"/>
    <s v="OCEANA"/>
    <s v="100X"/>
    <s v="NAU"/>
    <s v="NAU"/>
    <s v="COPNAUP"/>
    <x v="0"/>
    <s v="NA"/>
    <n v="0"/>
    <n v="193"/>
  </r>
  <r>
    <m/>
    <m/>
    <m/>
    <x v="2"/>
    <m/>
    <m/>
    <m/>
    <m/>
    <m/>
    <m/>
    <m/>
    <m/>
    <m/>
    <m/>
    <m/>
    <m/>
    <x v="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5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X3:AB14" firstHeaderRow="1" firstDataRow="2" firstDataCol="1"/>
  <pivotFields count="20"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3"/>
        <item x="0"/>
        <item x="5"/>
        <item x="1"/>
        <item x="4"/>
        <item x="6"/>
        <item x="2"/>
        <item x="8"/>
        <item m="1" x="9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ORGANISMCOUNT" fld="19" baseField="1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3"/>
  <sheetViews>
    <sheetView tabSelected="1" workbookViewId="0">
      <selection activeCell="G2" sqref="G2:G3"/>
    </sheetView>
  </sheetViews>
  <sheetFormatPr defaultRowHeight="14.4" x14ac:dyDescent="0.3"/>
  <cols>
    <col min="18" max="18" width="13.21875" customWidth="1"/>
    <col min="24" max="24" width="23.44140625" customWidth="1"/>
    <col min="25" max="25" width="15.5546875" bestFit="1" customWidth="1"/>
    <col min="26" max="26" width="7" customWidth="1"/>
    <col min="27" max="27" width="4" customWidth="1"/>
    <col min="28" max="28" width="10.777343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8" x14ac:dyDescent="0.3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2</v>
      </c>
      <c r="G2" t="s">
        <v>63</v>
      </c>
      <c r="I2">
        <v>1</v>
      </c>
      <c r="K2" t="s">
        <v>26</v>
      </c>
      <c r="L2" s="1">
        <v>46084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0.17199999999999999</v>
      </c>
      <c r="T2">
        <v>0</v>
      </c>
      <c r="U2">
        <v>1</v>
      </c>
    </row>
    <row r="3" spans="1:28" x14ac:dyDescent="0.3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2</v>
      </c>
      <c r="G3" t="s">
        <v>63</v>
      </c>
      <c r="I3">
        <v>1</v>
      </c>
      <c r="K3" t="s">
        <v>26</v>
      </c>
      <c r="L3" s="1">
        <v>46084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0.156</v>
      </c>
      <c r="T3">
        <v>0</v>
      </c>
      <c r="U3">
        <v>1</v>
      </c>
      <c r="X3" s="2" t="s">
        <v>50</v>
      </c>
      <c r="Y3" s="2" t="s">
        <v>49</v>
      </c>
    </row>
    <row r="4" spans="1:28" x14ac:dyDescent="0.3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2</v>
      </c>
      <c r="G4" t="s">
        <v>63</v>
      </c>
      <c r="I4">
        <v>1</v>
      </c>
      <c r="K4" t="s">
        <v>26</v>
      </c>
      <c r="L4" s="1">
        <v>46084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0.13200000000000001</v>
      </c>
      <c r="T4">
        <v>0</v>
      </c>
      <c r="U4">
        <v>1</v>
      </c>
      <c r="X4" s="2" t="s">
        <v>46</v>
      </c>
      <c r="Y4" t="s">
        <v>25</v>
      </c>
      <c r="Z4" t="s">
        <v>47</v>
      </c>
      <c r="AA4" t="s">
        <v>51</v>
      </c>
      <c r="AB4" t="s">
        <v>48</v>
      </c>
    </row>
    <row r="5" spans="1:28" x14ac:dyDescent="0.3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2</v>
      </c>
      <c r="G5" t="s">
        <v>63</v>
      </c>
      <c r="I5">
        <v>1</v>
      </c>
      <c r="K5" t="s">
        <v>26</v>
      </c>
      <c r="L5" s="1">
        <v>46084</v>
      </c>
      <c r="M5" t="s">
        <v>27</v>
      </c>
      <c r="N5" t="s">
        <v>28</v>
      </c>
      <c r="O5" t="s">
        <v>32</v>
      </c>
      <c r="P5" t="s">
        <v>32</v>
      </c>
      <c r="Q5" t="s">
        <v>33</v>
      </c>
      <c r="R5" t="s">
        <v>34</v>
      </c>
      <c r="S5">
        <v>0.154</v>
      </c>
      <c r="T5">
        <v>0</v>
      </c>
      <c r="U5">
        <v>1</v>
      </c>
      <c r="X5" s="3" t="s">
        <v>38</v>
      </c>
      <c r="Y5" s="4">
        <v>4</v>
      </c>
      <c r="Z5" s="4"/>
      <c r="AA5" s="4">
        <v>4</v>
      </c>
      <c r="AB5" s="4">
        <v>8</v>
      </c>
    </row>
    <row r="6" spans="1:28" x14ac:dyDescent="0.3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2</v>
      </c>
      <c r="G6" t="s">
        <v>63</v>
      </c>
      <c r="I6">
        <v>1</v>
      </c>
      <c r="K6" t="s">
        <v>26</v>
      </c>
      <c r="L6" s="1">
        <v>46084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0.18099999999999999</v>
      </c>
      <c r="T6">
        <v>0</v>
      </c>
      <c r="U6">
        <v>1</v>
      </c>
      <c r="X6" s="3" t="s">
        <v>31</v>
      </c>
      <c r="Y6" s="4">
        <v>197</v>
      </c>
      <c r="Z6" s="4"/>
      <c r="AA6" s="4">
        <v>193</v>
      </c>
      <c r="AB6" s="4">
        <v>390</v>
      </c>
    </row>
    <row r="7" spans="1:28" x14ac:dyDescent="0.3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2</v>
      </c>
      <c r="G7" t="s">
        <v>63</v>
      </c>
      <c r="I7">
        <v>1</v>
      </c>
      <c r="K7" t="s">
        <v>26</v>
      </c>
      <c r="L7" s="1">
        <v>46084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0.159</v>
      </c>
      <c r="T7">
        <v>0</v>
      </c>
      <c r="U7">
        <v>1</v>
      </c>
      <c r="X7" s="3" t="s">
        <v>42</v>
      </c>
      <c r="Y7" s="4">
        <v>1</v>
      </c>
      <c r="Z7" s="4"/>
      <c r="AA7" s="4"/>
      <c r="AB7" s="4">
        <v>1</v>
      </c>
    </row>
    <row r="8" spans="1:28" x14ac:dyDescent="0.3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2</v>
      </c>
      <c r="G8" t="s">
        <v>63</v>
      </c>
      <c r="I8">
        <v>1</v>
      </c>
      <c r="K8" t="s">
        <v>26</v>
      </c>
      <c r="L8" s="1">
        <v>46084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0.16600000000000001</v>
      </c>
      <c r="T8">
        <v>0</v>
      </c>
      <c r="U8">
        <v>1</v>
      </c>
      <c r="X8" s="3" t="s">
        <v>34</v>
      </c>
      <c r="Y8" s="4">
        <v>4</v>
      </c>
      <c r="Z8" s="4"/>
      <c r="AA8" s="4">
        <v>6</v>
      </c>
      <c r="AB8" s="4">
        <v>10</v>
      </c>
    </row>
    <row r="9" spans="1:28" x14ac:dyDescent="0.3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2</v>
      </c>
      <c r="G9" t="s">
        <v>63</v>
      </c>
      <c r="I9">
        <v>1</v>
      </c>
      <c r="K9" t="s">
        <v>26</v>
      </c>
      <c r="L9" s="1">
        <v>46084</v>
      </c>
      <c r="M9" t="s">
        <v>27</v>
      </c>
      <c r="N9" t="s">
        <v>28</v>
      </c>
      <c r="O9" t="s">
        <v>32</v>
      </c>
      <c r="P9" t="s">
        <v>32</v>
      </c>
      <c r="Q9" t="s">
        <v>35</v>
      </c>
      <c r="R9" t="s">
        <v>36</v>
      </c>
      <c r="S9">
        <v>0.18</v>
      </c>
      <c r="T9">
        <v>0</v>
      </c>
      <c r="U9">
        <v>1</v>
      </c>
      <c r="X9" s="3" t="s">
        <v>40</v>
      </c>
      <c r="Y9" s="4">
        <v>4</v>
      </c>
      <c r="Z9" s="4"/>
      <c r="AA9" s="4">
        <v>1</v>
      </c>
      <c r="AB9" s="4">
        <v>5</v>
      </c>
    </row>
    <row r="10" spans="1:28" x14ac:dyDescent="0.3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2</v>
      </c>
      <c r="G10" t="s">
        <v>63</v>
      </c>
      <c r="I10">
        <v>1</v>
      </c>
      <c r="K10" t="s">
        <v>26</v>
      </c>
      <c r="L10" s="1">
        <v>46084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0.215</v>
      </c>
      <c r="T10">
        <v>0</v>
      </c>
      <c r="U10">
        <v>1</v>
      </c>
      <c r="X10" s="3" t="s">
        <v>44</v>
      </c>
      <c r="Y10" s="4">
        <v>2</v>
      </c>
      <c r="Z10" s="4"/>
      <c r="AA10" s="4"/>
      <c r="AB10" s="4">
        <v>2</v>
      </c>
    </row>
    <row r="11" spans="1:28" x14ac:dyDescent="0.3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2</v>
      </c>
      <c r="G11" t="s">
        <v>63</v>
      </c>
      <c r="I11">
        <v>1</v>
      </c>
      <c r="K11" t="s">
        <v>26</v>
      </c>
      <c r="L11" s="1">
        <v>46084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0.187</v>
      </c>
      <c r="T11">
        <v>0</v>
      </c>
      <c r="U11">
        <v>1</v>
      </c>
      <c r="X11" s="3" t="s">
        <v>36</v>
      </c>
      <c r="Y11" s="4">
        <v>6</v>
      </c>
      <c r="Z11" s="4"/>
      <c r="AA11" s="4">
        <v>2</v>
      </c>
      <c r="AB11" s="4">
        <v>8</v>
      </c>
    </row>
    <row r="12" spans="1:28" x14ac:dyDescent="0.3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2</v>
      </c>
      <c r="G12" t="s">
        <v>63</v>
      </c>
      <c r="I12">
        <v>1</v>
      </c>
      <c r="K12" t="s">
        <v>26</v>
      </c>
      <c r="L12" s="1">
        <v>46084</v>
      </c>
      <c r="M12" t="s">
        <v>27</v>
      </c>
      <c r="N12" t="s">
        <v>28</v>
      </c>
      <c r="O12" t="s">
        <v>32</v>
      </c>
      <c r="P12" t="s">
        <v>32</v>
      </c>
      <c r="Q12" t="s">
        <v>35</v>
      </c>
      <c r="R12" t="s">
        <v>36</v>
      </c>
      <c r="S12">
        <v>0.17100000000000001</v>
      </c>
      <c r="T12">
        <v>0</v>
      </c>
      <c r="U12">
        <v>1</v>
      </c>
      <c r="X12" s="3" t="s">
        <v>47</v>
      </c>
      <c r="Y12" s="4"/>
      <c r="Z12" s="4"/>
      <c r="AA12" s="4"/>
      <c r="AB12" s="4"/>
    </row>
    <row r="13" spans="1:28" x14ac:dyDescent="0.3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2</v>
      </c>
      <c r="G13" t="s">
        <v>63</v>
      </c>
      <c r="I13">
        <v>1</v>
      </c>
      <c r="K13" t="s">
        <v>26</v>
      </c>
      <c r="L13" s="1">
        <v>46084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0.14699999999999999</v>
      </c>
      <c r="T13">
        <v>0</v>
      </c>
      <c r="U13">
        <v>1</v>
      </c>
      <c r="X13" s="3" t="s">
        <v>53</v>
      </c>
      <c r="Y13" s="4"/>
      <c r="Z13" s="4"/>
      <c r="AA13" s="4">
        <v>1</v>
      </c>
      <c r="AB13" s="4">
        <v>1</v>
      </c>
    </row>
    <row r="14" spans="1:28" x14ac:dyDescent="0.3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2</v>
      </c>
      <c r="G14" t="s">
        <v>63</v>
      </c>
      <c r="I14">
        <v>1</v>
      </c>
      <c r="K14" t="s">
        <v>26</v>
      </c>
      <c r="L14" s="1">
        <v>46084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0.154</v>
      </c>
      <c r="T14">
        <v>0</v>
      </c>
      <c r="U14">
        <v>1</v>
      </c>
      <c r="X14" s="3" t="s">
        <v>48</v>
      </c>
      <c r="Y14" s="4">
        <v>218</v>
      </c>
      <c r="Z14" s="4"/>
      <c r="AA14" s="4">
        <v>207</v>
      </c>
      <c r="AB14" s="4">
        <v>425</v>
      </c>
    </row>
    <row r="15" spans="1:28" x14ac:dyDescent="0.3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2</v>
      </c>
      <c r="G15" t="s">
        <v>63</v>
      </c>
      <c r="I15">
        <v>1</v>
      </c>
      <c r="K15" t="s">
        <v>26</v>
      </c>
      <c r="L15" s="1">
        <v>46084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0.17699999999999999</v>
      </c>
      <c r="T15">
        <v>0</v>
      </c>
      <c r="U15">
        <v>1</v>
      </c>
    </row>
    <row r="16" spans="1:28" x14ac:dyDescent="0.3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2</v>
      </c>
      <c r="G16" t="s">
        <v>63</v>
      </c>
      <c r="I16">
        <v>1</v>
      </c>
      <c r="K16" t="s">
        <v>26</v>
      </c>
      <c r="L16" s="1">
        <v>46084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0.191</v>
      </c>
      <c r="T16">
        <v>0</v>
      </c>
      <c r="U16">
        <v>1</v>
      </c>
    </row>
    <row r="17" spans="1:26" x14ac:dyDescent="0.3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2</v>
      </c>
      <c r="G17" t="s">
        <v>63</v>
      </c>
      <c r="I17">
        <v>1</v>
      </c>
      <c r="K17" t="s">
        <v>26</v>
      </c>
      <c r="L17" s="1">
        <v>46084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0.16200000000000001</v>
      </c>
      <c r="T17">
        <v>0</v>
      </c>
      <c r="U17">
        <v>1</v>
      </c>
    </row>
    <row r="18" spans="1:26" x14ac:dyDescent="0.3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2</v>
      </c>
      <c r="G18" t="s">
        <v>63</v>
      </c>
      <c r="I18">
        <v>1</v>
      </c>
      <c r="K18" t="s">
        <v>26</v>
      </c>
      <c r="L18" s="1">
        <v>46084</v>
      </c>
      <c r="M18" t="s">
        <v>27</v>
      </c>
      <c r="N18" t="s">
        <v>28</v>
      </c>
      <c r="O18" t="s">
        <v>32</v>
      </c>
      <c r="P18" t="s">
        <v>32</v>
      </c>
      <c r="Q18" t="s">
        <v>37</v>
      </c>
      <c r="R18" t="s">
        <v>38</v>
      </c>
      <c r="S18">
        <v>0</v>
      </c>
      <c r="T18">
        <v>4.3999999999999997E-2</v>
      </c>
      <c r="U18">
        <v>1</v>
      </c>
      <c r="X18" s="5" t="s">
        <v>54</v>
      </c>
      <c r="Y18" s="6"/>
      <c r="Z18" s="6"/>
    </row>
    <row r="19" spans="1:26" x14ac:dyDescent="0.3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2</v>
      </c>
      <c r="G19" t="s">
        <v>63</v>
      </c>
      <c r="I19">
        <v>1</v>
      </c>
      <c r="K19" t="s">
        <v>26</v>
      </c>
      <c r="L19" s="1">
        <v>46084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0.13600000000000001</v>
      </c>
      <c r="T19">
        <v>0</v>
      </c>
      <c r="U19">
        <v>1</v>
      </c>
      <c r="X19" s="11" t="s">
        <v>55</v>
      </c>
      <c r="Y19" s="7" t="s">
        <v>56</v>
      </c>
      <c r="Z19" s="8">
        <v>0.996</v>
      </c>
    </row>
    <row r="20" spans="1:26" x14ac:dyDescent="0.3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2</v>
      </c>
      <c r="G20" t="s">
        <v>63</v>
      </c>
      <c r="I20">
        <v>1</v>
      </c>
      <c r="K20" t="s">
        <v>26</v>
      </c>
      <c r="L20" s="1">
        <v>46084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0.125</v>
      </c>
      <c r="T20">
        <v>0</v>
      </c>
      <c r="U20">
        <v>1</v>
      </c>
      <c r="X20" s="12"/>
      <c r="Y20" s="7" t="s">
        <v>56</v>
      </c>
      <c r="Z20" s="9">
        <v>0.997</v>
      </c>
    </row>
    <row r="21" spans="1:26" x14ac:dyDescent="0.3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2</v>
      </c>
      <c r="G21" t="s">
        <v>63</v>
      </c>
      <c r="I21">
        <v>1</v>
      </c>
      <c r="K21" t="s">
        <v>26</v>
      </c>
      <c r="L21" s="1">
        <v>46084</v>
      </c>
      <c r="M21" t="s">
        <v>27</v>
      </c>
      <c r="N21" t="s">
        <v>28</v>
      </c>
      <c r="O21" t="s">
        <v>32</v>
      </c>
      <c r="P21" t="s">
        <v>32</v>
      </c>
      <c r="Q21" t="s">
        <v>39</v>
      </c>
      <c r="R21" t="s">
        <v>40</v>
      </c>
      <c r="S21">
        <v>0.10299999999999999</v>
      </c>
      <c r="T21">
        <v>0</v>
      </c>
      <c r="U21">
        <v>1</v>
      </c>
      <c r="X21" s="11" t="s">
        <v>57</v>
      </c>
      <c r="Y21" s="7" t="s">
        <v>56</v>
      </c>
      <c r="Z21" s="6">
        <v>0.998</v>
      </c>
    </row>
    <row r="22" spans="1:26" x14ac:dyDescent="0.3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2</v>
      </c>
      <c r="G22" t="s">
        <v>63</v>
      </c>
      <c r="I22">
        <v>1</v>
      </c>
      <c r="K22" t="s">
        <v>26</v>
      </c>
      <c r="L22" s="1">
        <v>46084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0.15</v>
      </c>
      <c r="T22">
        <v>0</v>
      </c>
      <c r="U22">
        <v>1</v>
      </c>
      <c r="X22" s="12"/>
      <c r="Y22" s="7" t="s">
        <v>56</v>
      </c>
      <c r="Z22" s="8">
        <v>0.996</v>
      </c>
    </row>
    <row r="23" spans="1:26" x14ac:dyDescent="0.3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2</v>
      </c>
      <c r="G23" t="s">
        <v>63</v>
      </c>
      <c r="I23">
        <v>1</v>
      </c>
      <c r="K23" t="s">
        <v>26</v>
      </c>
      <c r="L23" s="1">
        <v>46084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0.19400000000000001</v>
      </c>
      <c r="T23">
        <v>0</v>
      </c>
      <c r="U23">
        <v>1</v>
      </c>
      <c r="X23" s="10" t="s">
        <v>58</v>
      </c>
      <c r="Y23" s="7" t="s">
        <v>59</v>
      </c>
      <c r="Z23" s="7"/>
    </row>
    <row r="24" spans="1:26" x14ac:dyDescent="0.3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2</v>
      </c>
      <c r="G24" t="s">
        <v>63</v>
      </c>
      <c r="I24">
        <v>1</v>
      </c>
      <c r="K24" t="s">
        <v>26</v>
      </c>
      <c r="L24" s="1">
        <v>46084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>
        <v>0.191</v>
      </c>
      <c r="T24">
        <v>0</v>
      </c>
      <c r="U24">
        <v>1</v>
      </c>
      <c r="X24" s="10" t="s">
        <v>60</v>
      </c>
      <c r="Y24" s="7" t="s">
        <v>61</v>
      </c>
      <c r="Z24" s="7"/>
    </row>
    <row r="25" spans="1:26" x14ac:dyDescent="0.3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2</v>
      </c>
      <c r="G25" t="s">
        <v>63</v>
      </c>
      <c r="I25">
        <v>1</v>
      </c>
      <c r="K25" t="s">
        <v>26</v>
      </c>
      <c r="L25" s="1">
        <v>46084</v>
      </c>
      <c r="M25" t="s">
        <v>27</v>
      </c>
      <c r="N25" t="s">
        <v>28</v>
      </c>
      <c r="O25" t="s">
        <v>32</v>
      </c>
      <c r="P25" t="s">
        <v>32</v>
      </c>
      <c r="Q25" t="s">
        <v>41</v>
      </c>
      <c r="R25" t="s">
        <v>42</v>
      </c>
      <c r="S25">
        <v>0.16300000000000001</v>
      </c>
      <c r="T25">
        <v>0</v>
      </c>
      <c r="U25">
        <v>1</v>
      </c>
      <c r="X25" s="10" t="s">
        <v>62</v>
      </c>
      <c r="Y25" s="7"/>
      <c r="Z25" s="6"/>
    </row>
    <row r="26" spans="1:26" x14ac:dyDescent="0.3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2</v>
      </c>
      <c r="G26" t="s">
        <v>63</v>
      </c>
      <c r="I26">
        <v>1</v>
      </c>
      <c r="K26" t="s">
        <v>26</v>
      </c>
      <c r="L26" s="1">
        <v>46084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>
        <v>0.20100000000000001</v>
      </c>
      <c r="T26">
        <v>0</v>
      </c>
      <c r="U26">
        <v>1</v>
      </c>
    </row>
    <row r="27" spans="1:26" x14ac:dyDescent="0.3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2</v>
      </c>
      <c r="G27" t="s">
        <v>63</v>
      </c>
      <c r="I27">
        <v>1</v>
      </c>
      <c r="K27" t="s">
        <v>26</v>
      </c>
      <c r="L27" s="1">
        <v>46084</v>
      </c>
      <c r="M27" t="s">
        <v>27</v>
      </c>
      <c r="N27" t="s">
        <v>28</v>
      </c>
      <c r="O27" t="s">
        <v>29</v>
      </c>
      <c r="P27" t="s">
        <v>29</v>
      </c>
      <c r="Q27" t="s">
        <v>30</v>
      </c>
      <c r="R27" t="s">
        <v>31</v>
      </c>
      <c r="S27">
        <v>0.183</v>
      </c>
      <c r="T27">
        <v>0</v>
      </c>
      <c r="U27">
        <v>1</v>
      </c>
    </row>
    <row r="28" spans="1:26" x14ac:dyDescent="0.3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2</v>
      </c>
      <c r="G28" t="s">
        <v>63</v>
      </c>
      <c r="I28">
        <v>1</v>
      </c>
      <c r="K28" t="s">
        <v>26</v>
      </c>
      <c r="L28" s="1">
        <v>46084</v>
      </c>
      <c r="M28" t="s">
        <v>27</v>
      </c>
      <c r="N28" t="s">
        <v>28</v>
      </c>
      <c r="O28" t="s">
        <v>29</v>
      </c>
      <c r="P28" t="s">
        <v>29</v>
      </c>
      <c r="Q28" t="s">
        <v>30</v>
      </c>
      <c r="R28" t="s">
        <v>31</v>
      </c>
      <c r="S28" t="s">
        <v>45</v>
      </c>
      <c r="T28">
        <v>0</v>
      </c>
      <c r="U28">
        <v>1</v>
      </c>
    </row>
    <row r="29" spans="1:26" x14ac:dyDescent="0.3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2</v>
      </c>
      <c r="G29" t="s">
        <v>63</v>
      </c>
      <c r="I29">
        <v>1</v>
      </c>
      <c r="K29" t="s">
        <v>26</v>
      </c>
      <c r="L29" s="1">
        <v>46084</v>
      </c>
      <c r="M29" t="s">
        <v>27</v>
      </c>
      <c r="N29" t="s">
        <v>28</v>
      </c>
      <c r="O29" t="s">
        <v>29</v>
      </c>
      <c r="P29" t="s">
        <v>29</v>
      </c>
      <c r="Q29" t="s">
        <v>30</v>
      </c>
      <c r="R29" t="s">
        <v>31</v>
      </c>
      <c r="S29" t="s">
        <v>45</v>
      </c>
      <c r="T29">
        <v>0</v>
      </c>
      <c r="U29">
        <v>1</v>
      </c>
    </row>
    <row r="30" spans="1:26" x14ac:dyDescent="0.3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2</v>
      </c>
      <c r="G30" t="s">
        <v>63</v>
      </c>
      <c r="I30">
        <v>1</v>
      </c>
      <c r="K30" t="s">
        <v>26</v>
      </c>
      <c r="L30" s="1">
        <v>46084</v>
      </c>
      <c r="M30" t="s">
        <v>27</v>
      </c>
      <c r="N30" t="s">
        <v>28</v>
      </c>
      <c r="O30" t="s">
        <v>29</v>
      </c>
      <c r="P30" t="s">
        <v>29</v>
      </c>
      <c r="Q30" t="s">
        <v>30</v>
      </c>
      <c r="R30" t="s">
        <v>31</v>
      </c>
      <c r="S30" t="s">
        <v>45</v>
      </c>
      <c r="T30">
        <v>0</v>
      </c>
      <c r="U30">
        <v>1</v>
      </c>
    </row>
    <row r="31" spans="1:26" x14ac:dyDescent="0.3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2</v>
      </c>
      <c r="G31" t="s">
        <v>63</v>
      </c>
      <c r="I31">
        <v>1</v>
      </c>
      <c r="K31" t="s">
        <v>26</v>
      </c>
      <c r="L31" s="1">
        <v>46084</v>
      </c>
      <c r="M31" t="s">
        <v>27</v>
      </c>
      <c r="N31" t="s">
        <v>28</v>
      </c>
      <c r="O31" t="s">
        <v>29</v>
      </c>
      <c r="P31" t="s">
        <v>29</v>
      </c>
      <c r="Q31" t="s">
        <v>30</v>
      </c>
      <c r="R31" t="s">
        <v>31</v>
      </c>
      <c r="S31" t="s">
        <v>45</v>
      </c>
      <c r="T31">
        <v>0</v>
      </c>
      <c r="U31">
        <v>1</v>
      </c>
    </row>
    <row r="32" spans="1:26" x14ac:dyDescent="0.3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2</v>
      </c>
      <c r="G32" t="s">
        <v>63</v>
      </c>
      <c r="I32">
        <v>1</v>
      </c>
      <c r="K32" t="s">
        <v>26</v>
      </c>
      <c r="L32" s="1">
        <v>46084</v>
      </c>
      <c r="M32" t="s">
        <v>27</v>
      </c>
      <c r="N32" t="s">
        <v>28</v>
      </c>
      <c r="O32" t="s">
        <v>29</v>
      </c>
      <c r="P32" t="s">
        <v>29</v>
      </c>
      <c r="Q32" t="s">
        <v>30</v>
      </c>
      <c r="R32" t="s">
        <v>31</v>
      </c>
      <c r="S32" t="s">
        <v>45</v>
      </c>
      <c r="T32">
        <v>0</v>
      </c>
      <c r="U32">
        <v>1</v>
      </c>
    </row>
    <row r="33" spans="1:21" x14ac:dyDescent="0.3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2</v>
      </c>
      <c r="G33" t="s">
        <v>63</v>
      </c>
      <c r="I33">
        <v>1</v>
      </c>
      <c r="K33" t="s">
        <v>26</v>
      </c>
      <c r="L33" s="1">
        <v>46084</v>
      </c>
      <c r="M33" t="s">
        <v>27</v>
      </c>
      <c r="N33" t="s">
        <v>28</v>
      </c>
      <c r="O33" t="s">
        <v>32</v>
      </c>
      <c r="P33" t="s">
        <v>32</v>
      </c>
      <c r="Q33" t="s">
        <v>33</v>
      </c>
      <c r="R33" t="s">
        <v>34</v>
      </c>
      <c r="S33">
        <v>0.13900000000000001</v>
      </c>
      <c r="T33">
        <v>0</v>
      </c>
      <c r="U33">
        <v>1</v>
      </c>
    </row>
    <row r="34" spans="1:21" x14ac:dyDescent="0.3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2</v>
      </c>
      <c r="G34" t="s">
        <v>63</v>
      </c>
      <c r="I34">
        <v>1</v>
      </c>
      <c r="K34" t="s">
        <v>26</v>
      </c>
      <c r="L34" s="1">
        <v>46084</v>
      </c>
      <c r="M34" t="s">
        <v>27</v>
      </c>
      <c r="N34" t="s">
        <v>28</v>
      </c>
      <c r="O34" t="s">
        <v>32</v>
      </c>
      <c r="P34" t="s">
        <v>32</v>
      </c>
      <c r="Q34" t="s">
        <v>39</v>
      </c>
      <c r="R34" t="s">
        <v>40</v>
      </c>
      <c r="S34">
        <v>9.6000000000000002E-2</v>
      </c>
      <c r="T34">
        <v>0</v>
      </c>
      <c r="U34">
        <v>1</v>
      </c>
    </row>
    <row r="35" spans="1:21" x14ac:dyDescent="0.3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2</v>
      </c>
      <c r="G35" t="s">
        <v>63</v>
      </c>
      <c r="I35">
        <v>1</v>
      </c>
      <c r="K35" t="s">
        <v>26</v>
      </c>
      <c r="L35" s="1">
        <v>46084</v>
      </c>
      <c r="M35" t="s">
        <v>27</v>
      </c>
      <c r="N35" t="s">
        <v>28</v>
      </c>
      <c r="O35" t="s">
        <v>32</v>
      </c>
      <c r="P35" t="s">
        <v>32</v>
      </c>
      <c r="Q35" t="s">
        <v>35</v>
      </c>
      <c r="R35" t="s">
        <v>36</v>
      </c>
      <c r="S35">
        <v>0.20499999999999999</v>
      </c>
      <c r="T35">
        <v>0</v>
      </c>
      <c r="U35">
        <v>1</v>
      </c>
    </row>
    <row r="36" spans="1:21" x14ac:dyDescent="0.3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2</v>
      </c>
      <c r="G36" t="s">
        <v>63</v>
      </c>
      <c r="I36">
        <v>1</v>
      </c>
      <c r="K36" t="s">
        <v>26</v>
      </c>
      <c r="L36" s="1">
        <v>46084</v>
      </c>
      <c r="M36" t="s">
        <v>27</v>
      </c>
      <c r="N36" t="s">
        <v>28</v>
      </c>
      <c r="O36" t="s">
        <v>32</v>
      </c>
      <c r="P36" t="s">
        <v>32</v>
      </c>
      <c r="Q36" t="s">
        <v>37</v>
      </c>
      <c r="R36" t="s">
        <v>38</v>
      </c>
      <c r="S36">
        <v>0</v>
      </c>
      <c r="T36">
        <v>5.3999999999999999E-2</v>
      </c>
      <c r="U36">
        <v>1</v>
      </c>
    </row>
    <row r="37" spans="1:21" x14ac:dyDescent="0.3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2</v>
      </c>
      <c r="G37" t="s">
        <v>63</v>
      </c>
      <c r="I37">
        <v>1</v>
      </c>
      <c r="K37" t="s">
        <v>26</v>
      </c>
      <c r="L37" s="1">
        <v>46084</v>
      </c>
      <c r="M37" t="s">
        <v>27</v>
      </c>
      <c r="N37" t="s">
        <v>28</v>
      </c>
      <c r="O37" t="s">
        <v>32</v>
      </c>
      <c r="P37" t="s">
        <v>32</v>
      </c>
      <c r="Q37" t="s">
        <v>33</v>
      </c>
      <c r="R37" t="s">
        <v>34</v>
      </c>
      <c r="S37">
        <v>0.16800000000000001</v>
      </c>
      <c r="T37">
        <v>0</v>
      </c>
      <c r="U37">
        <v>1</v>
      </c>
    </row>
    <row r="38" spans="1:21" x14ac:dyDescent="0.3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2</v>
      </c>
      <c r="G38" t="s">
        <v>63</v>
      </c>
      <c r="I38">
        <v>1</v>
      </c>
      <c r="K38" t="s">
        <v>26</v>
      </c>
      <c r="L38" s="1">
        <v>46084</v>
      </c>
      <c r="M38" t="s">
        <v>27</v>
      </c>
      <c r="N38" t="s">
        <v>28</v>
      </c>
      <c r="O38" t="s">
        <v>32</v>
      </c>
      <c r="P38" t="s">
        <v>32</v>
      </c>
      <c r="Q38" t="s">
        <v>33</v>
      </c>
      <c r="R38" t="s">
        <v>34</v>
      </c>
      <c r="S38">
        <v>0.151</v>
      </c>
      <c r="T38">
        <v>0</v>
      </c>
      <c r="U38">
        <v>1</v>
      </c>
    </row>
    <row r="39" spans="1:21" x14ac:dyDescent="0.3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2</v>
      </c>
      <c r="G39" t="s">
        <v>63</v>
      </c>
      <c r="I39">
        <v>1</v>
      </c>
      <c r="K39" t="s">
        <v>26</v>
      </c>
      <c r="L39" s="1">
        <v>46084</v>
      </c>
      <c r="M39" t="s">
        <v>27</v>
      </c>
      <c r="N39" t="s">
        <v>28</v>
      </c>
      <c r="O39" t="s">
        <v>32</v>
      </c>
      <c r="P39" t="s">
        <v>32</v>
      </c>
      <c r="Q39" t="s">
        <v>37</v>
      </c>
      <c r="R39" t="s">
        <v>38</v>
      </c>
      <c r="S39">
        <v>0</v>
      </c>
      <c r="T39">
        <v>4.1000000000000002E-2</v>
      </c>
      <c r="U39">
        <v>1</v>
      </c>
    </row>
    <row r="40" spans="1:21" x14ac:dyDescent="0.3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2</v>
      </c>
      <c r="G40" t="s">
        <v>63</v>
      </c>
      <c r="I40">
        <v>1</v>
      </c>
      <c r="K40" t="s">
        <v>26</v>
      </c>
      <c r="L40" s="1">
        <v>46084</v>
      </c>
      <c r="M40" t="s">
        <v>27</v>
      </c>
      <c r="N40" t="s">
        <v>28</v>
      </c>
      <c r="O40" t="s">
        <v>32</v>
      </c>
      <c r="P40" t="s">
        <v>32</v>
      </c>
      <c r="Q40" t="s">
        <v>39</v>
      </c>
      <c r="R40" t="s">
        <v>40</v>
      </c>
      <c r="S40">
        <v>0.107</v>
      </c>
      <c r="T40">
        <v>0</v>
      </c>
      <c r="U40">
        <v>1</v>
      </c>
    </row>
    <row r="41" spans="1:21" x14ac:dyDescent="0.3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2</v>
      </c>
      <c r="G41" t="s">
        <v>63</v>
      </c>
      <c r="I41">
        <v>1</v>
      </c>
      <c r="K41" t="s">
        <v>26</v>
      </c>
      <c r="L41" s="1">
        <v>46084</v>
      </c>
      <c r="M41" t="s">
        <v>27</v>
      </c>
      <c r="N41" t="s">
        <v>28</v>
      </c>
      <c r="O41" t="s">
        <v>32</v>
      </c>
      <c r="P41" t="s">
        <v>32</v>
      </c>
      <c r="Q41" t="s">
        <v>35</v>
      </c>
      <c r="R41" t="s">
        <v>36</v>
      </c>
      <c r="S41">
        <v>0.16300000000000001</v>
      </c>
      <c r="T41">
        <v>0</v>
      </c>
      <c r="U41">
        <v>1</v>
      </c>
    </row>
    <row r="42" spans="1:21" x14ac:dyDescent="0.3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2</v>
      </c>
      <c r="G42" t="s">
        <v>63</v>
      </c>
      <c r="I42">
        <v>1</v>
      </c>
      <c r="K42" t="s">
        <v>26</v>
      </c>
      <c r="L42" s="1">
        <v>46084</v>
      </c>
      <c r="M42" t="s">
        <v>27</v>
      </c>
      <c r="N42" t="s">
        <v>28</v>
      </c>
      <c r="O42" t="s">
        <v>32</v>
      </c>
      <c r="P42" t="s">
        <v>32</v>
      </c>
      <c r="Q42" t="s">
        <v>35</v>
      </c>
      <c r="R42" t="s">
        <v>36</v>
      </c>
      <c r="S42">
        <v>0.17699999999999999</v>
      </c>
      <c r="T42">
        <v>0</v>
      </c>
      <c r="U42">
        <v>1</v>
      </c>
    </row>
    <row r="43" spans="1:21" x14ac:dyDescent="0.3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2</v>
      </c>
      <c r="G43" t="s">
        <v>63</v>
      </c>
      <c r="I43">
        <v>1</v>
      </c>
      <c r="K43" t="s">
        <v>26</v>
      </c>
      <c r="L43" s="1">
        <v>46084</v>
      </c>
      <c r="M43" t="s">
        <v>27</v>
      </c>
      <c r="N43" t="s">
        <v>28</v>
      </c>
      <c r="O43" t="s">
        <v>32</v>
      </c>
      <c r="P43" t="s">
        <v>32</v>
      </c>
      <c r="Q43" t="s">
        <v>43</v>
      </c>
      <c r="R43" t="s">
        <v>44</v>
      </c>
      <c r="S43">
        <v>0.127</v>
      </c>
      <c r="T43">
        <v>0</v>
      </c>
      <c r="U43">
        <v>1</v>
      </c>
    </row>
    <row r="44" spans="1:21" x14ac:dyDescent="0.3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2</v>
      </c>
      <c r="G44" t="s">
        <v>63</v>
      </c>
      <c r="I44">
        <v>1</v>
      </c>
      <c r="K44" t="s">
        <v>26</v>
      </c>
      <c r="L44" s="1">
        <v>46084</v>
      </c>
      <c r="M44" t="s">
        <v>27</v>
      </c>
      <c r="N44" t="s">
        <v>28</v>
      </c>
      <c r="O44" t="s">
        <v>32</v>
      </c>
      <c r="P44" t="s">
        <v>32</v>
      </c>
      <c r="Q44" t="s">
        <v>39</v>
      </c>
      <c r="R44" t="s">
        <v>40</v>
      </c>
      <c r="S44">
        <v>9.9000000000000005E-2</v>
      </c>
      <c r="T44">
        <v>0</v>
      </c>
      <c r="U44">
        <v>1</v>
      </c>
    </row>
    <row r="45" spans="1:21" x14ac:dyDescent="0.3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2</v>
      </c>
      <c r="G45" t="s">
        <v>63</v>
      </c>
      <c r="I45">
        <v>1</v>
      </c>
      <c r="K45" t="s">
        <v>26</v>
      </c>
      <c r="L45" s="1">
        <v>46084</v>
      </c>
      <c r="M45" t="s">
        <v>27</v>
      </c>
      <c r="N45" t="s">
        <v>28</v>
      </c>
      <c r="O45" t="s">
        <v>32</v>
      </c>
      <c r="P45" t="s">
        <v>32</v>
      </c>
      <c r="Q45" t="s">
        <v>37</v>
      </c>
      <c r="R45" t="s">
        <v>38</v>
      </c>
      <c r="S45">
        <v>0</v>
      </c>
      <c r="T45">
        <v>5.0999999999999997E-2</v>
      </c>
      <c r="U45">
        <v>1</v>
      </c>
    </row>
    <row r="46" spans="1:21" x14ac:dyDescent="0.3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2</v>
      </c>
      <c r="G46" t="s">
        <v>63</v>
      </c>
      <c r="I46">
        <v>1</v>
      </c>
      <c r="K46" t="s">
        <v>26</v>
      </c>
      <c r="L46" s="1">
        <v>46084</v>
      </c>
      <c r="M46" t="s">
        <v>27</v>
      </c>
      <c r="N46" t="s">
        <v>28</v>
      </c>
      <c r="O46" t="s">
        <v>32</v>
      </c>
      <c r="P46" t="s">
        <v>32</v>
      </c>
      <c r="Q46" t="s">
        <v>35</v>
      </c>
      <c r="R46" t="s">
        <v>36</v>
      </c>
      <c r="S46">
        <v>0.126</v>
      </c>
      <c r="T46">
        <v>0</v>
      </c>
      <c r="U46">
        <v>1</v>
      </c>
    </row>
    <row r="47" spans="1:21" x14ac:dyDescent="0.3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2</v>
      </c>
      <c r="G47" t="s">
        <v>63</v>
      </c>
      <c r="I47">
        <v>1</v>
      </c>
      <c r="K47" t="s">
        <v>26</v>
      </c>
      <c r="L47" s="1">
        <v>46084</v>
      </c>
      <c r="M47" t="s">
        <v>27</v>
      </c>
      <c r="N47" t="s">
        <v>28</v>
      </c>
      <c r="O47" t="s">
        <v>32</v>
      </c>
      <c r="P47" t="s">
        <v>32</v>
      </c>
      <c r="Q47" t="s">
        <v>43</v>
      </c>
      <c r="R47" t="s">
        <v>44</v>
      </c>
      <c r="S47">
        <v>0.14399999999999999</v>
      </c>
      <c r="T47">
        <v>0</v>
      </c>
      <c r="U47">
        <v>1</v>
      </c>
    </row>
    <row r="48" spans="1:21" x14ac:dyDescent="0.3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2</v>
      </c>
      <c r="G48" t="s">
        <v>63</v>
      </c>
      <c r="I48">
        <v>1</v>
      </c>
      <c r="K48" t="s">
        <v>26</v>
      </c>
      <c r="L48" s="1">
        <v>46084</v>
      </c>
      <c r="M48" t="s">
        <v>27</v>
      </c>
      <c r="N48" t="s">
        <v>28</v>
      </c>
      <c r="O48" t="s">
        <v>29</v>
      </c>
      <c r="P48" t="s">
        <v>29</v>
      </c>
      <c r="Q48" t="s">
        <v>30</v>
      </c>
      <c r="R48" t="s">
        <v>31</v>
      </c>
      <c r="S48" t="s">
        <v>45</v>
      </c>
      <c r="T48">
        <v>0</v>
      </c>
      <c r="U48">
        <v>172</v>
      </c>
    </row>
    <row r="49" spans="1:21" x14ac:dyDescent="0.3">
      <c r="A49" t="s">
        <v>22</v>
      </c>
      <c r="B49" t="s">
        <v>23</v>
      </c>
      <c r="C49" t="s">
        <v>24</v>
      </c>
      <c r="D49">
        <v>-1</v>
      </c>
      <c r="E49" t="s">
        <v>51</v>
      </c>
      <c r="F49">
        <v>2</v>
      </c>
      <c r="G49" t="s">
        <v>63</v>
      </c>
      <c r="J49">
        <v>1</v>
      </c>
      <c r="K49" t="s">
        <v>26</v>
      </c>
      <c r="L49" s="1">
        <v>46084</v>
      </c>
      <c r="M49" t="s">
        <v>27</v>
      </c>
      <c r="N49" t="s">
        <v>28</v>
      </c>
      <c r="O49" t="s">
        <v>32</v>
      </c>
      <c r="P49" t="s">
        <v>32</v>
      </c>
      <c r="Q49" t="s">
        <v>33</v>
      </c>
      <c r="R49" t="s">
        <v>34</v>
      </c>
      <c r="S49">
        <v>0.14599999999999999</v>
      </c>
      <c r="T49">
        <v>0</v>
      </c>
      <c r="U49">
        <v>1</v>
      </c>
    </row>
    <row r="50" spans="1:21" x14ac:dyDescent="0.3">
      <c r="A50" t="s">
        <v>22</v>
      </c>
      <c r="B50" t="s">
        <v>23</v>
      </c>
      <c r="C50" t="s">
        <v>24</v>
      </c>
      <c r="D50">
        <v>-1</v>
      </c>
      <c r="E50" t="s">
        <v>51</v>
      </c>
      <c r="F50">
        <v>2</v>
      </c>
      <c r="G50" t="s">
        <v>63</v>
      </c>
      <c r="J50">
        <v>1</v>
      </c>
      <c r="K50" t="s">
        <v>26</v>
      </c>
      <c r="L50" s="1">
        <v>46084</v>
      </c>
      <c r="M50" t="s">
        <v>27</v>
      </c>
      <c r="N50" t="s">
        <v>28</v>
      </c>
      <c r="O50" t="s">
        <v>32</v>
      </c>
      <c r="P50" t="s">
        <v>32</v>
      </c>
      <c r="Q50" t="s">
        <v>33</v>
      </c>
      <c r="R50" t="s">
        <v>34</v>
      </c>
      <c r="S50">
        <v>0.14799999999999999</v>
      </c>
      <c r="T50">
        <v>0</v>
      </c>
      <c r="U50">
        <v>1</v>
      </c>
    </row>
    <row r="51" spans="1:21" x14ac:dyDescent="0.3">
      <c r="A51" t="s">
        <v>22</v>
      </c>
      <c r="B51" t="s">
        <v>23</v>
      </c>
      <c r="C51" t="s">
        <v>24</v>
      </c>
      <c r="D51">
        <v>-1</v>
      </c>
      <c r="E51" t="s">
        <v>51</v>
      </c>
      <c r="F51">
        <v>2</v>
      </c>
      <c r="G51" t="s">
        <v>63</v>
      </c>
      <c r="J51">
        <v>1</v>
      </c>
      <c r="K51" t="s">
        <v>26</v>
      </c>
      <c r="L51" s="1">
        <v>46084</v>
      </c>
      <c r="M51" t="s">
        <v>27</v>
      </c>
      <c r="N51" t="s">
        <v>28</v>
      </c>
      <c r="O51" t="s">
        <v>32</v>
      </c>
      <c r="P51" t="s">
        <v>32</v>
      </c>
      <c r="Q51" t="s">
        <v>35</v>
      </c>
      <c r="R51" t="s">
        <v>36</v>
      </c>
      <c r="S51">
        <v>0.19</v>
      </c>
      <c r="T51">
        <v>0</v>
      </c>
      <c r="U51">
        <v>1</v>
      </c>
    </row>
    <row r="52" spans="1:21" x14ac:dyDescent="0.3">
      <c r="A52" t="s">
        <v>22</v>
      </c>
      <c r="B52" t="s">
        <v>23</v>
      </c>
      <c r="C52" t="s">
        <v>24</v>
      </c>
      <c r="D52">
        <v>-1</v>
      </c>
      <c r="E52" t="s">
        <v>51</v>
      </c>
      <c r="F52">
        <v>2</v>
      </c>
      <c r="G52" t="s">
        <v>63</v>
      </c>
      <c r="J52">
        <v>1</v>
      </c>
      <c r="K52" t="s">
        <v>26</v>
      </c>
      <c r="L52" s="1">
        <v>46084</v>
      </c>
      <c r="M52" t="s">
        <v>27</v>
      </c>
      <c r="N52" t="s">
        <v>28</v>
      </c>
      <c r="O52" t="s">
        <v>32</v>
      </c>
      <c r="P52" t="s">
        <v>32</v>
      </c>
      <c r="Q52" t="s">
        <v>39</v>
      </c>
      <c r="R52" t="s">
        <v>40</v>
      </c>
      <c r="S52">
        <v>0.106</v>
      </c>
      <c r="T52">
        <v>0</v>
      </c>
      <c r="U52">
        <v>1</v>
      </c>
    </row>
    <row r="53" spans="1:21" x14ac:dyDescent="0.3">
      <c r="A53" t="s">
        <v>22</v>
      </c>
      <c r="B53" t="s">
        <v>23</v>
      </c>
      <c r="C53" t="s">
        <v>24</v>
      </c>
      <c r="D53">
        <v>-1</v>
      </c>
      <c r="E53" t="s">
        <v>51</v>
      </c>
      <c r="F53">
        <v>2</v>
      </c>
      <c r="G53" t="s">
        <v>63</v>
      </c>
      <c r="J53">
        <v>1</v>
      </c>
      <c r="K53" t="s">
        <v>26</v>
      </c>
      <c r="L53" s="1">
        <v>46084</v>
      </c>
      <c r="M53" t="s">
        <v>27</v>
      </c>
      <c r="N53" t="s">
        <v>28</v>
      </c>
      <c r="O53" t="s">
        <v>32</v>
      </c>
      <c r="P53" t="s">
        <v>32</v>
      </c>
      <c r="Q53" t="s">
        <v>37</v>
      </c>
      <c r="R53" t="s">
        <v>38</v>
      </c>
      <c r="S53">
        <v>0</v>
      </c>
      <c r="T53">
        <v>3.9E-2</v>
      </c>
      <c r="U53">
        <v>1</v>
      </c>
    </row>
    <row r="54" spans="1:21" x14ac:dyDescent="0.3">
      <c r="A54" t="s">
        <v>22</v>
      </c>
      <c r="B54" t="s">
        <v>23</v>
      </c>
      <c r="C54" t="s">
        <v>24</v>
      </c>
      <c r="D54">
        <v>-1</v>
      </c>
      <c r="E54" t="s">
        <v>51</v>
      </c>
      <c r="F54">
        <v>2</v>
      </c>
      <c r="G54" t="s">
        <v>63</v>
      </c>
      <c r="J54">
        <v>1</v>
      </c>
      <c r="K54" t="s">
        <v>26</v>
      </c>
      <c r="L54" s="1">
        <v>46084</v>
      </c>
      <c r="M54" t="s">
        <v>27</v>
      </c>
      <c r="N54" t="s">
        <v>28</v>
      </c>
      <c r="O54" t="s">
        <v>32</v>
      </c>
      <c r="P54" t="s">
        <v>32</v>
      </c>
      <c r="Q54" t="s">
        <v>37</v>
      </c>
      <c r="R54" t="s">
        <v>38</v>
      </c>
      <c r="S54">
        <v>0</v>
      </c>
      <c r="T54">
        <v>0.09</v>
      </c>
      <c r="U54">
        <v>1</v>
      </c>
    </row>
    <row r="55" spans="1:21" x14ac:dyDescent="0.3">
      <c r="A55" t="s">
        <v>22</v>
      </c>
      <c r="B55" t="s">
        <v>23</v>
      </c>
      <c r="C55" t="s">
        <v>24</v>
      </c>
      <c r="D55">
        <v>-1</v>
      </c>
      <c r="E55" t="s">
        <v>51</v>
      </c>
      <c r="F55">
        <v>2</v>
      </c>
      <c r="G55" t="s">
        <v>63</v>
      </c>
      <c r="J55">
        <v>1</v>
      </c>
      <c r="K55" t="s">
        <v>26</v>
      </c>
      <c r="L55" s="1">
        <v>46084</v>
      </c>
      <c r="M55" t="s">
        <v>27</v>
      </c>
      <c r="N55" t="s">
        <v>28</v>
      </c>
      <c r="O55" t="s">
        <v>32</v>
      </c>
      <c r="P55" t="s">
        <v>32</v>
      </c>
      <c r="Q55" t="s">
        <v>33</v>
      </c>
      <c r="R55" t="s">
        <v>34</v>
      </c>
      <c r="S55">
        <v>0.13</v>
      </c>
      <c r="T55">
        <v>0</v>
      </c>
      <c r="U55">
        <v>1</v>
      </c>
    </row>
    <row r="56" spans="1:21" x14ac:dyDescent="0.3">
      <c r="A56" t="s">
        <v>22</v>
      </c>
      <c r="B56" t="s">
        <v>23</v>
      </c>
      <c r="C56" t="s">
        <v>24</v>
      </c>
      <c r="D56">
        <v>-1</v>
      </c>
      <c r="E56" t="s">
        <v>51</v>
      </c>
      <c r="F56">
        <v>2</v>
      </c>
      <c r="G56" t="s">
        <v>63</v>
      </c>
      <c r="J56">
        <v>1</v>
      </c>
      <c r="K56" t="s">
        <v>26</v>
      </c>
      <c r="L56" s="1">
        <v>46084</v>
      </c>
      <c r="M56" t="s">
        <v>27</v>
      </c>
      <c r="N56" t="s">
        <v>28</v>
      </c>
      <c r="O56" t="s">
        <v>32</v>
      </c>
      <c r="P56" t="s">
        <v>32</v>
      </c>
      <c r="Q56" t="s">
        <v>35</v>
      </c>
      <c r="R56" t="s">
        <v>36</v>
      </c>
      <c r="S56">
        <v>0.108</v>
      </c>
      <c r="T56">
        <v>0</v>
      </c>
      <c r="U56">
        <v>1</v>
      </c>
    </row>
    <row r="57" spans="1:21" x14ac:dyDescent="0.3">
      <c r="A57" t="s">
        <v>22</v>
      </c>
      <c r="B57" t="s">
        <v>23</v>
      </c>
      <c r="C57" t="s">
        <v>24</v>
      </c>
      <c r="D57">
        <v>-1</v>
      </c>
      <c r="E57" t="s">
        <v>51</v>
      </c>
      <c r="F57">
        <v>2</v>
      </c>
      <c r="G57" t="s">
        <v>63</v>
      </c>
      <c r="J57">
        <v>1</v>
      </c>
      <c r="K57" t="s">
        <v>26</v>
      </c>
      <c r="L57" s="1">
        <v>46084</v>
      </c>
      <c r="M57" t="s">
        <v>27</v>
      </c>
      <c r="N57" t="s">
        <v>28</v>
      </c>
      <c r="O57" t="s">
        <v>32</v>
      </c>
      <c r="P57" t="s">
        <v>32</v>
      </c>
      <c r="Q57" t="s">
        <v>37</v>
      </c>
      <c r="R57" t="s">
        <v>38</v>
      </c>
      <c r="S57">
        <v>0</v>
      </c>
      <c r="T57">
        <v>0.05</v>
      </c>
      <c r="U57">
        <v>1</v>
      </c>
    </row>
    <row r="58" spans="1:21" x14ac:dyDescent="0.3">
      <c r="A58" t="s">
        <v>22</v>
      </c>
      <c r="B58" t="s">
        <v>23</v>
      </c>
      <c r="C58" t="s">
        <v>24</v>
      </c>
      <c r="D58">
        <v>-1</v>
      </c>
      <c r="E58" t="s">
        <v>51</v>
      </c>
      <c r="F58">
        <v>2</v>
      </c>
      <c r="G58" t="s">
        <v>63</v>
      </c>
      <c r="J58">
        <v>1</v>
      </c>
      <c r="K58" t="s">
        <v>26</v>
      </c>
      <c r="L58" s="1">
        <v>46084</v>
      </c>
      <c r="M58" t="s">
        <v>27</v>
      </c>
      <c r="N58" t="s">
        <v>28</v>
      </c>
      <c r="O58" t="s">
        <v>32</v>
      </c>
      <c r="P58" t="s">
        <v>32</v>
      </c>
      <c r="Q58" t="s">
        <v>52</v>
      </c>
      <c r="R58" t="s">
        <v>53</v>
      </c>
      <c r="S58">
        <v>0.10100000000000001</v>
      </c>
      <c r="T58">
        <v>0</v>
      </c>
      <c r="U58">
        <v>1</v>
      </c>
    </row>
    <row r="59" spans="1:21" x14ac:dyDescent="0.3">
      <c r="A59" t="s">
        <v>22</v>
      </c>
      <c r="B59" t="s">
        <v>23</v>
      </c>
      <c r="C59" t="s">
        <v>24</v>
      </c>
      <c r="D59">
        <v>-1</v>
      </c>
      <c r="E59" t="s">
        <v>51</v>
      </c>
      <c r="F59">
        <v>2</v>
      </c>
      <c r="G59" t="s">
        <v>63</v>
      </c>
      <c r="J59">
        <v>1</v>
      </c>
      <c r="K59" t="s">
        <v>26</v>
      </c>
      <c r="L59" s="1">
        <v>46084</v>
      </c>
      <c r="M59" t="s">
        <v>27</v>
      </c>
      <c r="N59" t="s">
        <v>28</v>
      </c>
      <c r="O59" t="s">
        <v>32</v>
      </c>
      <c r="P59" t="s">
        <v>32</v>
      </c>
      <c r="Q59" t="s">
        <v>33</v>
      </c>
      <c r="R59" t="s">
        <v>34</v>
      </c>
      <c r="S59">
        <v>0.14199999999999999</v>
      </c>
      <c r="T59">
        <v>0</v>
      </c>
      <c r="U59">
        <v>1</v>
      </c>
    </row>
    <row r="60" spans="1:21" x14ac:dyDescent="0.3">
      <c r="A60" t="s">
        <v>22</v>
      </c>
      <c r="B60" t="s">
        <v>23</v>
      </c>
      <c r="C60" t="s">
        <v>24</v>
      </c>
      <c r="D60">
        <v>-1</v>
      </c>
      <c r="E60" t="s">
        <v>51</v>
      </c>
      <c r="F60">
        <v>2</v>
      </c>
      <c r="G60" t="s">
        <v>63</v>
      </c>
      <c r="J60">
        <v>1</v>
      </c>
      <c r="K60" t="s">
        <v>26</v>
      </c>
      <c r="L60" s="1">
        <v>46084</v>
      </c>
      <c r="M60" t="s">
        <v>27</v>
      </c>
      <c r="N60" t="s">
        <v>28</v>
      </c>
      <c r="O60" t="s">
        <v>32</v>
      </c>
      <c r="P60" t="s">
        <v>32</v>
      </c>
      <c r="Q60" t="s">
        <v>33</v>
      </c>
      <c r="R60" t="s">
        <v>34</v>
      </c>
      <c r="S60">
        <v>0.111</v>
      </c>
      <c r="T60">
        <v>0</v>
      </c>
      <c r="U60">
        <v>1</v>
      </c>
    </row>
    <row r="61" spans="1:21" x14ac:dyDescent="0.3">
      <c r="A61" t="s">
        <v>22</v>
      </c>
      <c r="B61" t="s">
        <v>23</v>
      </c>
      <c r="C61" t="s">
        <v>24</v>
      </c>
      <c r="D61">
        <v>-1</v>
      </c>
      <c r="E61" t="s">
        <v>51</v>
      </c>
      <c r="F61">
        <v>2</v>
      </c>
      <c r="G61" t="s">
        <v>63</v>
      </c>
      <c r="J61">
        <v>1</v>
      </c>
      <c r="K61" t="s">
        <v>26</v>
      </c>
      <c r="L61" s="1">
        <v>46084</v>
      </c>
      <c r="M61" t="s">
        <v>27</v>
      </c>
      <c r="N61" t="s">
        <v>28</v>
      </c>
      <c r="O61" t="s">
        <v>32</v>
      </c>
      <c r="P61" t="s">
        <v>32</v>
      </c>
      <c r="Q61" t="s">
        <v>33</v>
      </c>
      <c r="R61" t="s">
        <v>34</v>
      </c>
      <c r="S61">
        <v>0.13300000000000001</v>
      </c>
      <c r="T61">
        <v>0</v>
      </c>
      <c r="U61">
        <v>1</v>
      </c>
    </row>
    <row r="62" spans="1:21" x14ac:dyDescent="0.3">
      <c r="A62" t="s">
        <v>22</v>
      </c>
      <c r="B62" t="s">
        <v>23</v>
      </c>
      <c r="C62" t="s">
        <v>24</v>
      </c>
      <c r="D62">
        <v>-1</v>
      </c>
      <c r="E62" t="s">
        <v>51</v>
      </c>
      <c r="F62">
        <v>2</v>
      </c>
      <c r="G62" t="s">
        <v>63</v>
      </c>
      <c r="J62">
        <v>1</v>
      </c>
      <c r="K62" t="s">
        <v>26</v>
      </c>
      <c r="L62" s="1">
        <v>46084</v>
      </c>
      <c r="M62" t="s">
        <v>27</v>
      </c>
      <c r="N62" t="s">
        <v>28</v>
      </c>
      <c r="O62" t="s">
        <v>32</v>
      </c>
      <c r="P62" t="s">
        <v>32</v>
      </c>
      <c r="Q62" t="s">
        <v>37</v>
      </c>
      <c r="R62" t="s">
        <v>38</v>
      </c>
      <c r="S62">
        <v>0</v>
      </c>
      <c r="T62">
        <v>3.6999999999999998E-2</v>
      </c>
      <c r="U62">
        <v>1</v>
      </c>
    </row>
    <row r="63" spans="1:21" x14ac:dyDescent="0.3">
      <c r="A63" t="s">
        <v>22</v>
      </c>
      <c r="B63" t="s">
        <v>23</v>
      </c>
      <c r="C63" t="s">
        <v>24</v>
      </c>
      <c r="D63">
        <v>-1</v>
      </c>
      <c r="E63" t="s">
        <v>51</v>
      </c>
      <c r="F63">
        <v>2</v>
      </c>
      <c r="G63" t="s">
        <v>63</v>
      </c>
      <c r="J63">
        <v>1</v>
      </c>
      <c r="K63" t="s">
        <v>26</v>
      </c>
      <c r="L63" s="1">
        <v>46084</v>
      </c>
      <c r="M63" t="s">
        <v>27</v>
      </c>
      <c r="N63" t="s">
        <v>28</v>
      </c>
      <c r="O63" t="s">
        <v>29</v>
      </c>
      <c r="P63" t="s">
        <v>29</v>
      </c>
      <c r="Q63" t="s">
        <v>30</v>
      </c>
      <c r="R63" t="s">
        <v>31</v>
      </c>
      <c r="S63" t="s">
        <v>45</v>
      </c>
      <c r="T63">
        <v>0</v>
      </c>
      <c r="U63">
        <v>193</v>
      </c>
    </row>
  </sheetData>
  <autoFilter ref="A1:AB63"/>
  <mergeCells count="2">
    <mergeCell ref="X19:X20"/>
    <mergeCell ref="X21:X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</dc:creator>
  <cp:lastModifiedBy>hudson</cp:lastModifiedBy>
  <dcterms:created xsi:type="dcterms:W3CDTF">2026-03-03T18:54:04Z</dcterms:created>
  <dcterms:modified xsi:type="dcterms:W3CDTF">2026-03-03T20:59:38Z</dcterms:modified>
</cp:coreProperties>
</file>