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mars\Downloads\"/>
    </mc:Choice>
  </mc:AlternateContent>
  <xr:revisionPtr revIDLastSave="0" documentId="13_ncr:1_{F99AD0C8-C710-4F7C-A93B-D933A84106D8}" xr6:coauthVersionLast="47" xr6:coauthVersionMax="47" xr10:uidLastSave="{00000000-0000-0000-0000-000000000000}"/>
  <bookViews>
    <workbookView xWindow="-120" yWindow="-120" windowWidth="29040" windowHeight="15720" tabRatio="710" activeTab="8" xr2:uid="{00000000-000D-0000-FFFF-FFFF00000000}"/>
  </bookViews>
  <sheets>
    <sheet name="QA Table" sheetId="43" r:id="rId1"/>
    <sheet name="Station Depth Averages" sheetId="45" r:id="rId2"/>
    <sheet name="Bottle_Jug Count" sheetId="8" r:id="rId3"/>
    <sheet name="Benthos" sheetId="11" r:id="rId4"/>
    <sheet name="All Sample IDs" sheetId="48" r:id="rId5"/>
    <sheet name="Particulates" sheetId="62" r:id="rId6"/>
    <sheet name="Sediment" sheetId="54" r:id="rId7"/>
    <sheet name="Mysis" sheetId="47" r:id="rId8"/>
    <sheet name="Zooplankton" sheetId="12" r:id="rId9"/>
    <sheet name="Phytoplankton" sheetId="13" r:id="rId10"/>
    <sheet name="Dissolved Oxygen" sheetId="35" r:id="rId11"/>
    <sheet name="Sampling Sequence" sheetId="18" r:id="rId12"/>
    <sheet name="ESRI_MAPINFO_SHEET" sheetId="61" state="veryHidden" r:id="rId13"/>
  </sheets>
  <definedNames>
    <definedName name="_xlnm._FilterDatabase" localSheetId="4" hidden="1">'All Sample IDs'!$A$5:$Y$1020</definedName>
    <definedName name="_xlnm._FilterDatabase" localSheetId="3" hidden="1">Benthos!$A$1:$F$31</definedName>
    <definedName name="_xlnm._FilterDatabase" localSheetId="10" hidden="1">'Dissolved Oxygen'!$A$1:$G$110</definedName>
    <definedName name="_xlnm._FilterDatabase" localSheetId="7" hidden="1">Mysis!$G$1:$G$121</definedName>
    <definedName name="_xlnm._FilterDatabase" localSheetId="5" hidden="1">Particulates!$A$1:$G$30</definedName>
    <definedName name="_xlnm._FilterDatabase" localSheetId="9" hidden="1">Phytoplankton!$A$1:$F$83</definedName>
    <definedName name="_xlnm._FilterDatabase" localSheetId="0" hidden="1">'QA Table'!$B$5:$E$51</definedName>
    <definedName name="_xlnm._FilterDatabase" localSheetId="6" hidden="1">Sediment!$A$2:$O$2</definedName>
    <definedName name="_xlnm._FilterDatabase" localSheetId="1" hidden="1">'Station Depth Averages'!$A$2:$H$87</definedName>
    <definedName name="_xlnm._FilterDatabase" localSheetId="8" hidden="1">Zooplankton!$A$1:$I$166</definedName>
    <definedName name="_xlnm.Print_Area" localSheetId="2">'Bottle_Jug Count'!$D$3:$N$6</definedName>
    <definedName name="_xlnm.Print_Area" localSheetId="11">'Sampling Sequence'!$A$1:$I$22</definedName>
  </definedNames>
  <calcPr calcId="191029"/>
  <pivotCaches>
    <pivotCache cacheId="3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1" i="62" l="1"/>
  <c r="G21" i="62"/>
  <c r="F21" i="62"/>
  <c r="C21" i="62"/>
  <c r="B21" i="62"/>
  <c r="G30" i="62" l="1"/>
  <c r="F30" i="62"/>
  <c r="C30" i="62"/>
  <c r="B30" i="62"/>
  <c r="A30" i="62"/>
  <c r="G19" i="62"/>
  <c r="F19" i="62"/>
  <c r="C19" i="62"/>
  <c r="B19" i="62"/>
  <c r="A19" i="62"/>
  <c r="G13" i="62"/>
  <c r="F13" i="62"/>
  <c r="C13" i="62"/>
  <c r="B13" i="62"/>
  <c r="A13" i="62"/>
  <c r="C7" i="62"/>
  <c r="G28" i="62"/>
  <c r="F28" i="62"/>
  <c r="C28" i="62"/>
  <c r="B28" i="62"/>
  <c r="A28" i="62"/>
  <c r="G24" i="62"/>
  <c r="F24" i="62"/>
  <c r="C24" i="62"/>
  <c r="B24" i="62"/>
  <c r="A24" i="62"/>
  <c r="G17" i="62"/>
  <c r="F17" i="62"/>
  <c r="C17" i="62"/>
  <c r="B17" i="62"/>
  <c r="A17" i="62"/>
  <c r="G11" i="62"/>
  <c r="F11" i="62"/>
  <c r="C11" i="62"/>
  <c r="B11" i="62"/>
  <c r="A11" i="62"/>
  <c r="G7" i="62"/>
  <c r="F7" i="62"/>
  <c r="B7" i="62"/>
  <c r="A7" i="62"/>
  <c r="C5" i="62"/>
  <c r="G5" i="62"/>
  <c r="F5" i="62"/>
  <c r="B5" i="62"/>
  <c r="A5" i="62"/>
  <c r="G26" i="62"/>
  <c r="F26" i="62"/>
  <c r="C26" i="62"/>
  <c r="B26" i="62"/>
  <c r="A26" i="62"/>
  <c r="G22" i="62"/>
  <c r="F22" i="62"/>
  <c r="C22" i="62"/>
  <c r="B22" i="62"/>
  <c r="A22" i="62"/>
  <c r="G15" i="62"/>
  <c r="F15" i="62"/>
  <c r="C15" i="62"/>
  <c r="B15" i="62"/>
  <c r="A15" i="62"/>
  <c r="G9" i="62"/>
  <c r="F9" i="62"/>
  <c r="C9" i="62"/>
  <c r="B9" i="62"/>
  <c r="A9" i="62"/>
  <c r="A3" i="62"/>
  <c r="B3" i="62"/>
  <c r="G3" i="62"/>
  <c r="F3" i="62"/>
  <c r="C3" i="62"/>
  <c r="G42" i="35" l="1"/>
  <c r="G43" i="35" s="1"/>
  <c r="F42" i="35"/>
  <c r="F43" i="35" s="1"/>
  <c r="D42" i="35"/>
  <c r="D43" i="35" s="1"/>
  <c r="C42" i="35"/>
  <c r="C43" i="35" s="1"/>
  <c r="B42" i="35"/>
  <c r="B43" i="35" s="1"/>
  <c r="A42" i="35"/>
  <c r="A43" i="35" s="1"/>
  <c r="G39" i="35"/>
  <c r="G40" i="35" s="1"/>
  <c r="F39" i="35"/>
  <c r="F40" i="35" s="1"/>
  <c r="D39" i="35"/>
  <c r="D40" i="35" s="1"/>
  <c r="C39" i="35"/>
  <c r="C40" i="35" s="1"/>
  <c r="B39" i="35"/>
  <c r="B40" i="35" s="1"/>
  <c r="A39" i="35"/>
  <c r="A40" i="35" s="1"/>
  <c r="G36" i="35"/>
  <c r="G37" i="35" s="1"/>
  <c r="F36" i="35"/>
  <c r="F37" i="35" s="1"/>
  <c r="D36" i="35"/>
  <c r="D37" i="35" s="1"/>
  <c r="C36" i="35"/>
  <c r="C37" i="35" s="1"/>
  <c r="B36" i="35"/>
  <c r="B37" i="35" s="1"/>
  <c r="A36" i="35"/>
  <c r="A37" i="35" s="1"/>
  <c r="G33" i="35"/>
  <c r="G34" i="35" s="1"/>
  <c r="F33" i="35"/>
  <c r="F34" i="35" s="1"/>
  <c r="D33" i="35"/>
  <c r="D34" i="35" s="1"/>
  <c r="C33" i="35"/>
  <c r="C34" i="35" s="1"/>
  <c r="B33" i="35"/>
  <c r="B34" i="35" s="1"/>
  <c r="A33" i="35"/>
  <c r="A34" i="35" s="1"/>
  <c r="G30" i="35"/>
  <c r="G31" i="35" s="1"/>
  <c r="F30" i="35"/>
  <c r="F31" i="35" s="1"/>
  <c r="D30" i="35"/>
  <c r="D31" i="35" s="1"/>
  <c r="C30" i="35"/>
  <c r="C31" i="35" s="1"/>
  <c r="B30" i="35"/>
  <c r="B31" i="35" s="1"/>
  <c r="A30" i="35"/>
  <c r="A31" i="35" s="1"/>
  <c r="G27" i="35"/>
  <c r="G28" i="35" s="1"/>
  <c r="F27" i="35"/>
  <c r="F28" i="35" s="1"/>
  <c r="D27" i="35"/>
  <c r="D28" i="35" s="1"/>
  <c r="C27" i="35"/>
  <c r="C28" i="35" s="1"/>
  <c r="B27" i="35"/>
  <c r="B28" i="35" s="1"/>
  <c r="A27" i="35"/>
  <c r="A28" i="35" s="1"/>
  <c r="G24" i="35"/>
  <c r="G25" i="35" s="1"/>
  <c r="F24" i="35"/>
  <c r="F25" i="35" s="1"/>
  <c r="D24" i="35"/>
  <c r="D25" i="35" s="1"/>
  <c r="C24" i="35"/>
  <c r="C25" i="35" s="1"/>
  <c r="B24" i="35"/>
  <c r="B25" i="35" s="1"/>
  <c r="A24" i="35"/>
  <c r="A25" i="35" s="1"/>
  <c r="G21" i="35"/>
  <c r="G22" i="35" s="1"/>
  <c r="F21" i="35"/>
  <c r="F22" i="35" s="1"/>
  <c r="D21" i="35"/>
  <c r="D22" i="35" s="1"/>
  <c r="C21" i="35"/>
  <c r="C22" i="35" s="1"/>
  <c r="B21" i="35"/>
  <c r="B22" i="35" s="1"/>
  <c r="A21" i="35"/>
  <c r="A22" i="35" s="1"/>
  <c r="G18" i="35"/>
  <c r="G19" i="35" s="1"/>
  <c r="F18" i="35"/>
  <c r="F19" i="35" s="1"/>
  <c r="D18" i="35"/>
  <c r="D19" i="35" s="1"/>
  <c r="C18" i="35"/>
  <c r="C19" i="35" s="1"/>
  <c r="B18" i="35"/>
  <c r="B19" i="35" s="1"/>
  <c r="A18" i="35"/>
  <c r="A19" i="35" s="1"/>
  <c r="G15" i="35"/>
  <c r="G16" i="35" s="1"/>
  <c r="F15" i="35"/>
  <c r="F16" i="35" s="1"/>
  <c r="D15" i="35"/>
  <c r="D16" i="35" s="1"/>
  <c r="C15" i="35"/>
  <c r="C16" i="35" s="1"/>
  <c r="B15" i="35"/>
  <c r="B16" i="35" s="1"/>
  <c r="A15" i="35"/>
  <c r="A16" i="35" s="1"/>
  <c r="G12" i="35"/>
  <c r="G13" i="35" s="1"/>
  <c r="F12" i="35"/>
  <c r="F13" i="35" s="1"/>
  <c r="D12" i="35"/>
  <c r="D13" i="35" s="1"/>
  <c r="C12" i="35"/>
  <c r="C13" i="35" s="1"/>
  <c r="B12" i="35"/>
  <c r="B13" i="35" s="1"/>
  <c r="A12" i="35"/>
  <c r="A13" i="35" s="1"/>
  <c r="G9" i="35"/>
  <c r="G10" i="35" s="1"/>
  <c r="F9" i="35"/>
  <c r="F10" i="35" s="1"/>
  <c r="D9" i="35"/>
  <c r="D10" i="35" s="1"/>
  <c r="C9" i="35"/>
  <c r="C10" i="35" s="1"/>
  <c r="B9" i="35"/>
  <c r="B10" i="35" s="1"/>
  <c r="A9" i="35"/>
  <c r="A10" i="35" s="1"/>
  <c r="G6" i="35"/>
  <c r="G7" i="35" s="1"/>
  <c r="F6" i="35"/>
  <c r="F7" i="35" s="1"/>
  <c r="D6" i="35"/>
  <c r="D7" i="35" s="1"/>
  <c r="C6" i="35"/>
  <c r="C7" i="35" s="1"/>
  <c r="B6" i="35"/>
  <c r="B7" i="35" s="1"/>
  <c r="A6" i="35"/>
  <c r="A7" i="35" s="1"/>
  <c r="C3" i="35"/>
  <c r="C4" i="35" s="1"/>
  <c r="G3" i="35"/>
  <c r="G4" i="35" s="1"/>
  <c r="F3" i="35"/>
  <c r="F4" i="35" s="1"/>
  <c r="D3" i="35"/>
  <c r="D4" i="35" s="1"/>
  <c r="B3" i="35"/>
  <c r="B4" i="35" s="1"/>
  <c r="A3" i="35"/>
  <c r="A4" i="35" s="1"/>
  <c r="U892" i="48" l="1"/>
  <c r="U492" i="48"/>
  <c r="U590" i="48"/>
  <c r="U642" i="48"/>
  <c r="U652" i="48"/>
  <c r="U791" i="48"/>
  <c r="H155" i="12"/>
  <c r="I155" i="12"/>
  <c r="H156" i="12"/>
  <c r="I156" i="12"/>
  <c r="H157" i="12"/>
  <c r="I157" i="12"/>
  <c r="H158" i="12"/>
  <c r="I158" i="12"/>
  <c r="H159" i="12"/>
  <c r="I159" i="12"/>
  <c r="H160" i="12"/>
  <c r="I160" i="12"/>
  <c r="H161" i="12"/>
  <c r="I161" i="12"/>
  <c r="H162" i="12"/>
  <c r="I162" i="12"/>
  <c r="H163" i="12"/>
  <c r="I163" i="12"/>
  <c r="H164" i="12"/>
  <c r="I164" i="12"/>
  <c r="H165" i="12"/>
  <c r="I165" i="12"/>
  <c r="H166" i="12"/>
  <c r="I166" i="12"/>
  <c r="U424" i="48"/>
  <c r="U976" i="48"/>
  <c r="U975" i="48"/>
  <c r="U974" i="48"/>
  <c r="U973" i="48"/>
  <c r="U972" i="48"/>
  <c r="U971" i="48"/>
  <c r="U970" i="48"/>
  <c r="U969" i="48"/>
  <c r="U968" i="48"/>
  <c r="U967" i="48"/>
  <c r="U966" i="48"/>
  <c r="U965" i="48"/>
  <c r="U964" i="48"/>
  <c r="U963" i="48"/>
  <c r="U962" i="48"/>
  <c r="U961" i="48"/>
  <c r="U960" i="48"/>
  <c r="U959" i="48"/>
  <c r="U958" i="48"/>
  <c r="U957" i="48"/>
  <c r="U956" i="48"/>
  <c r="U955" i="48"/>
  <c r="U954" i="48"/>
  <c r="U953" i="48"/>
  <c r="U952" i="48"/>
  <c r="U951" i="48"/>
  <c r="U950" i="48"/>
  <c r="U949" i="48"/>
  <c r="U948" i="48"/>
  <c r="U947" i="48"/>
  <c r="U946" i="48"/>
  <c r="U945" i="48"/>
  <c r="U944" i="48"/>
  <c r="U943" i="48"/>
  <c r="U942" i="48"/>
  <c r="U941" i="48"/>
  <c r="U940" i="48"/>
  <c r="U939" i="48"/>
  <c r="U938" i="48"/>
  <c r="U937" i="48"/>
  <c r="U936" i="48"/>
  <c r="U935" i="48"/>
  <c r="U934" i="48"/>
  <c r="U933" i="48"/>
  <c r="U932" i="48"/>
  <c r="U931" i="48"/>
  <c r="U930" i="48"/>
  <c r="U929" i="48"/>
  <c r="U928" i="48"/>
  <c r="U927" i="48"/>
  <c r="U926" i="48"/>
  <c r="U925" i="48"/>
  <c r="U924" i="48"/>
  <c r="U923" i="48"/>
  <c r="U922" i="48"/>
  <c r="U921" i="48"/>
  <c r="U920" i="48"/>
  <c r="U919" i="48"/>
  <c r="U918" i="48"/>
  <c r="U917" i="48"/>
  <c r="U916" i="48"/>
  <c r="U915" i="48"/>
  <c r="U914" i="48"/>
  <c r="U913" i="48"/>
  <c r="U912" i="48"/>
  <c r="U911" i="48"/>
  <c r="U910" i="48"/>
  <c r="U909" i="48"/>
  <c r="U908" i="48"/>
  <c r="U907" i="48"/>
  <c r="U906" i="48"/>
  <c r="U905" i="48"/>
  <c r="U904" i="48"/>
  <c r="U903" i="48"/>
  <c r="U902" i="48"/>
  <c r="U901" i="48"/>
  <c r="U900" i="48"/>
  <c r="U899" i="48"/>
  <c r="U898" i="48"/>
  <c r="U897" i="48"/>
  <c r="U896" i="48"/>
  <c r="U895" i="48"/>
  <c r="U894" i="48"/>
  <c r="U893" i="48"/>
  <c r="U891" i="48"/>
  <c r="U890" i="48"/>
  <c r="U889" i="48"/>
  <c r="U888" i="48"/>
  <c r="U887" i="48"/>
  <c r="U886" i="48"/>
  <c r="U885" i="48"/>
  <c r="U884" i="48"/>
  <c r="U883" i="48"/>
  <c r="U882" i="48"/>
  <c r="U881" i="48"/>
  <c r="U880" i="48"/>
  <c r="U879" i="48"/>
  <c r="U878" i="48"/>
  <c r="U877" i="48"/>
  <c r="U876" i="48"/>
  <c r="U875" i="48"/>
  <c r="U874" i="48"/>
  <c r="U873" i="48"/>
  <c r="U872" i="48"/>
  <c r="U871" i="48"/>
  <c r="U870" i="48"/>
  <c r="U869" i="48"/>
  <c r="U868" i="48"/>
  <c r="U867" i="48"/>
  <c r="U866" i="48"/>
  <c r="U865" i="48"/>
  <c r="U864" i="48"/>
  <c r="U863" i="48"/>
  <c r="U862" i="48"/>
  <c r="U861" i="48"/>
  <c r="U860" i="48"/>
  <c r="U859" i="48"/>
  <c r="U858" i="48"/>
  <c r="U857" i="48"/>
  <c r="U856" i="48"/>
  <c r="U855" i="48"/>
  <c r="U854" i="48"/>
  <c r="U853" i="48"/>
  <c r="U852" i="48"/>
  <c r="U851" i="48"/>
  <c r="U850" i="48"/>
  <c r="U849" i="48"/>
  <c r="U848" i="48"/>
  <c r="U847" i="48"/>
  <c r="U846" i="48"/>
  <c r="U845" i="48"/>
  <c r="U844" i="48"/>
  <c r="U843" i="48"/>
  <c r="U842" i="48"/>
  <c r="U841" i="48"/>
  <c r="U840" i="48"/>
  <c r="U839" i="48"/>
  <c r="U838" i="48"/>
  <c r="U837" i="48"/>
  <c r="U836" i="48"/>
  <c r="U835" i="48"/>
  <c r="U834" i="48"/>
  <c r="U833" i="48"/>
  <c r="U832" i="48"/>
  <c r="U831" i="48"/>
  <c r="U830" i="48"/>
  <c r="U829" i="48"/>
  <c r="U828" i="48"/>
  <c r="U827" i="48"/>
  <c r="U826" i="48"/>
  <c r="U825" i="48"/>
  <c r="U824" i="48"/>
  <c r="U823" i="48"/>
  <c r="U822" i="48"/>
  <c r="U821" i="48"/>
  <c r="U820" i="48"/>
  <c r="U819" i="48"/>
  <c r="U818" i="48"/>
  <c r="U817" i="48"/>
  <c r="U816" i="48"/>
  <c r="U815" i="48"/>
  <c r="U814" i="48"/>
  <c r="U813" i="48"/>
  <c r="U812" i="48"/>
  <c r="U811" i="48"/>
  <c r="U810" i="48"/>
  <c r="U809" i="48"/>
  <c r="U808" i="48"/>
  <c r="U807" i="48"/>
  <c r="U806" i="48"/>
  <c r="U805" i="48"/>
  <c r="U804" i="48"/>
  <c r="U803" i="48"/>
  <c r="U802" i="48"/>
  <c r="U801" i="48"/>
  <c r="U800" i="48"/>
  <c r="U799" i="48"/>
  <c r="U798" i="48"/>
  <c r="U797" i="48"/>
  <c r="U796" i="48"/>
  <c r="U795" i="48"/>
  <c r="U794" i="48"/>
  <c r="U793" i="48"/>
  <c r="U792" i="48"/>
  <c r="U790" i="48"/>
  <c r="U789" i="48"/>
  <c r="U788" i="48"/>
  <c r="U787" i="48"/>
  <c r="U786" i="48"/>
  <c r="U785" i="48"/>
  <c r="U784" i="48"/>
  <c r="U783" i="48"/>
  <c r="U782" i="48"/>
  <c r="U781" i="48"/>
  <c r="U780" i="48"/>
  <c r="U779" i="48"/>
  <c r="U778" i="48"/>
  <c r="U777" i="48"/>
  <c r="U776" i="48"/>
  <c r="U775" i="48"/>
  <c r="U774" i="48"/>
  <c r="U773" i="48"/>
  <c r="U772" i="48"/>
  <c r="U771" i="48"/>
  <c r="U770" i="48"/>
  <c r="U769" i="48"/>
  <c r="U768" i="48"/>
  <c r="U767" i="48"/>
  <c r="U766" i="48"/>
  <c r="U765" i="48"/>
  <c r="U764" i="48"/>
  <c r="U763" i="48"/>
  <c r="U762" i="48"/>
  <c r="U761" i="48"/>
  <c r="U760" i="48"/>
  <c r="U759" i="48"/>
  <c r="U758" i="48"/>
  <c r="U757" i="48"/>
  <c r="U756" i="48"/>
  <c r="U755" i="48"/>
  <c r="U754" i="48"/>
  <c r="U753" i="48"/>
  <c r="U752" i="48"/>
  <c r="U751" i="48"/>
  <c r="U750" i="48"/>
  <c r="U749" i="48"/>
  <c r="U748" i="48"/>
  <c r="U747" i="48"/>
  <c r="U746" i="48"/>
  <c r="U745" i="48"/>
  <c r="U744" i="48"/>
  <c r="U743" i="48"/>
  <c r="U742" i="48"/>
  <c r="U741" i="48"/>
  <c r="U740" i="48"/>
  <c r="U739" i="48"/>
  <c r="U738" i="48"/>
  <c r="U737" i="48"/>
  <c r="U736" i="48"/>
  <c r="U735" i="48"/>
  <c r="U734" i="48"/>
  <c r="U733" i="48"/>
  <c r="U732" i="48"/>
  <c r="U731" i="48"/>
  <c r="U730" i="48"/>
  <c r="U729" i="48"/>
  <c r="U728" i="48"/>
  <c r="U727" i="48"/>
  <c r="U726" i="48"/>
  <c r="U725" i="48"/>
  <c r="U724" i="48"/>
  <c r="U723" i="48"/>
  <c r="U722" i="48"/>
  <c r="U721" i="48"/>
  <c r="U720" i="48"/>
  <c r="U719" i="48"/>
  <c r="U718" i="48"/>
  <c r="U717" i="48"/>
  <c r="U716" i="48"/>
  <c r="U715" i="48"/>
  <c r="U714" i="48"/>
  <c r="U713" i="48"/>
  <c r="U712" i="48"/>
  <c r="U711" i="48"/>
  <c r="U710" i="48"/>
  <c r="U709" i="48"/>
  <c r="U708" i="48"/>
  <c r="U707" i="48"/>
  <c r="U706" i="48"/>
  <c r="U705" i="48"/>
  <c r="U704" i="48"/>
  <c r="U703" i="48"/>
  <c r="U702" i="48"/>
  <c r="U701" i="48"/>
  <c r="U700" i="48"/>
  <c r="U699" i="48"/>
  <c r="U698" i="48"/>
  <c r="U697" i="48"/>
  <c r="U696" i="48"/>
  <c r="U695" i="48"/>
  <c r="U694" i="48"/>
  <c r="U693" i="48"/>
  <c r="U692" i="48"/>
  <c r="U691" i="48"/>
  <c r="U690" i="48"/>
  <c r="U689" i="48"/>
  <c r="U688" i="48"/>
  <c r="U687" i="48"/>
  <c r="U686" i="48"/>
  <c r="U685" i="48"/>
  <c r="U684" i="48"/>
  <c r="U683" i="48"/>
  <c r="U682" i="48"/>
  <c r="U681" i="48"/>
  <c r="U680" i="48"/>
  <c r="U679" i="48"/>
  <c r="U678" i="48"/>
  <c r="U677" i="48"/>
  <c r="U676" i="48"/>
  <c r="U675" i="48"/>
  <c r="U674" i="48"/>
  <c r="U673" i="48"/>
  <c r="U672" i="48"/>
  <c r="U671" i="48"/>
  <c r="U670" i="48"/>
  <c r="U669" i="48"/>
  <c r="U668" i="48"/>
  <c r="U667" i="48"/>
  <c r="U666" i="48"/>
  <c r="U665" i="48"/>
  <c r="U664" i="48"/>
  <c r="U663" i="48"/>
  <c r="U662" i="48"/>
  <c r="U661" i="48"/>
  <c r="U660" i="48"/>
  <c r="U659" i="48"/>
  <c r="U658" i="48"/>
  <c r="U657" i="48"/>
  <c r="U656" i="48"/>
  <c r="U655" i="48"/>
  <c r="U654" i="48"/>
  <c r="U653" i="48"/>
  <c r="U651" i="48"/>
  <c r="U650" i="48"/>
  <c r="U649" i="48"/>
  <c r="U648" i="48"/>
  <c r="U647" i="48"/>
  <c r="U646" i="48"/>
  <c r="U645" i="48"/>
  <c r="U644" i="48"/>
  <c r="U643" i="48"/>
  <c r="U641" i="48"/>
  <c r="U640" i="48"/>
  <c r="U639" i="48"/>
  <c r="U638" i="48"/>
  <c r="U637" i="48"/>
  <c r="U636" i="48"/>
  <c r="U635" i="48"/>
  <c r="U634" i="48"/>
  <c r="U633" i="48"/>
  <c r="U632" i="48"/>
  <c r="U631" i="48"/>
  <c r="U630" i="48"/>
  <c r="U629" i="48"/>
  <c r="U628" i="48"/>
  <c r="U627" i="48"/>
  <c r="U626" i="48"/>
  <c r="U625" i="48"/>
  <c r="U624" i="48"/>
  <c r="U623" i="48"/>
  <c r="U622" i="48"/>
  <c r="U621" i="48"/>
  <c r="U620" i="48"/>
  <c r="U619" i="48"/>
  <c r="U618" i="48"/>
  <c r="U617" i="48"/>
  <c r="U616" i="48"/>
  <c r="U615" i="48"/>
  <c r="U614" i="48"/>
  <c r="U613" i="48"/>
  <c r="U612" i="48"/>
  <c r="U611" i="48"/>
  <c r="U610" i="48"/>
  <c r="U609" i="48"/>
  <c r="U608" i="48"/>
  <c r="U607" i="48"/>
  <c r="U606" i="48"/>
  <c r="U605" i="48"/>
  <c r="U604" i="48"/>
  <c r="U603" i="48"/>
  <c r="U602" i="48"/>
  <c r="U601" i="48"/>
  <c r="U600" i="48"/>
  <c r="U599" i="48"/>
  <c r="U598" i="48"/>
  <c r="U597" i="48"/>
  <c r="U596" i="48"/>
  <c r="U595" i="48"/>
  <c r="U594" i="48"/>
  <c r="U593" i="48"/>
  <c r="U592" i="48"/>
  <c r="U591" i="48"/>
  <c r="U589" i="48"/>
  <c r="U588" i="48"/>
  <c r="U587" i="48"/>
  <c r="U586" i="48"/>
  <c r="U585" i="48"/>
  <c r="U584" i="48"/>
  <c r="U583" i="48"/>
  <c r="U582" i="48"/>
  <c r="U581" i="48"/>
  <c r="U580" i="48"/>
  <c r="U579" i="48"/>
  <c r="U578" i="48"/>
  <c r="U577" i="48"/>
  <c r="U576" i="48"/>
  <c r="U575" i="48"/>
  <c r="U574" i="48"/>
  <c r="U573" i="48"/>
  <c r="U572" i="48"/>
  <c r="U571" i="48"/>
  <c r="U570" i="48"/>
  <c r="U569" i="48"/>
  <c r="U568" i="48"/>
  <c r="U567" i="48"/>
  <c r="U566" i="48"/>
  <c r="U565" i="48"/>
  <c r="U564" i="48"/>
  <c r="U563" i="48"/>
  <c r="U562" i="48"/>
  <c r="U561" i="48"/>
  <c r="U560" i="48"/>
  <c r="U559" i="48"/>
  <c r="U558" i="48"/>
  <c r="U557" i="48"/>
  <c r="U556" i="48"/>
  <c r="U555" i="48"/>
  <c r="U554" i="48"/>
  <c r="U553" i="48"/>
  <c r="U552" i="48"/>
  <c r="U551" i="48"/>
  <c r="U550" i="48"/>
  <c r="U549" i="48"/>
  <c r="U548" i="48"/>
  <c r="U547" i="48"/>
  <c r="U546" i="48"/>
  <c r="U545" i="48"/>
  <c r="U544" i="48"/>
  <c r="U543" i="48"/>
  <c r="U542" i="48"/>
  <c r="U541" i="48"/>
  <c r="U540" i="48"/>
  <c r="U539" i="48"/>
  <c r="U538" i="48"/>
  <c r="U537" i="48"/>
  <c r="U536" i="48"/>
  <c r="U535" i="48"/>
  <c r="U534" i="48"/>
  <c r="U533" i="48"/>
  <c r="U532" i="48"/>
  <c r="U531" i="48"/>
  <c r="U530" i="48"/>
  <c r="U529" i="48"/>
  <c r="U528" i="48"/>
  <c r="U527" i="48"/>
  <c r="U526" i="48"/>
  <c r="U525" i="48"/>
  <c r="U524" i="48"/>
  <c r="U523" i="48"/>
  <c r="U522" i="48"/>
  <c r="U521" i="48"/>
  <c r="U520" i="48"/>
  <c r="U519" i="48"/>
  <c r="U518" i="48"/>
  <c r="U517" i="48"/>
  <c r="U516" i="48"/>
  <c r="U515" i="48"/>
  <c r="U514" i="48"/>
  <c r="U513" i="48"/>
  <c r="U512" i="48"/>
  <c r="U511" i="48"/>
  <c r="U510" i="48"/>
  <c r="U509" i="48"/>
  <c r="U508" i="48"/>
  <c r="U507" i="48"/>
  <c r="U506" i="48"/>
  <c r="U505" i="48"/>
  <c r="U504" i="48"/>
  <c r="U503" i="48"/>
  <c r="U502" i="48"/>
  <c r="U501" i="48"/>
  <c r="U500" i="48"/>
  <c r="U499" i="48"/>
  <c r="U498" i="48"/>
  <c r="U497" i="48"/>
  <c r="U496" i="48"/>
  <c r="U495" i="48"/>
  <c r="U494" i="48"/>
  <c r="U493" i="48"/>
  <c r="U491" i="48"/>
  <c r="U490" i="48"/>
  <c r="U489" i="48"/>
  <c r="U488" i="48"/>
  <c r="U487" i="48"/>
  <c r="U486" i="48"/>
  <c r="U485" i="48"/>
  <c r="U484" i="48"/>
  <c r="U483" i="48"/>
  <c r="U482" i="48"/>
  <c r="U481" i="48"/>
  <c r="U480" i="48"/>
  <c r="U479" i="48"/>
  <c r="U478" i="48"/>
  <c r="U477" i="48"/>
  <c r="U476" i="48"/>
  <c r="U475" i="48"/>
  <c r="U474" i="48"/>
  <c r="U473" i="48"/>
  <c r="U472" i="48"/>
  <c r="U471" i="48"/>
  <c r="U470" i="48"/>
  <c r="U469" i="48"/>
  <c r="U468" i="48"/>
  <c r="U467" i="48"/>
  <c r="U466" i="48"/>
  <c r="U465" i="48"/>
  <c r="U464" i="48"/>
  <c r="U463" i="48"/>
  <c r="U462" i="48"/>
  <c r="U461" i="48"/>
  <c r="U460" i="48"/>
  <c r="U459" i="48"/>
  <c r="U458" i="48"/>
  <c r="U457" i="48"/>
  <c r="U456" i="48"/>
  <c r="U455" i="48"/>
  <c r="U454" i="48"/>
  <c r="U453" i="48"/>
  <c r="U452" i="48"/>
  <c r="U451" i="48"/>
  <c r="U450" i="48"/>
  <c r="U449" i="48"/>
  <c r="U448" i="48"/>
  <c r="U447" i="48"/>
  <c r="U446" i="48"/>
  <c r="U445" i="48"/>
  <c r="U444" i="48"/>
  <c r="U443" i="48"/>
  <c r="U442" i="48"/>
  <c r="U441" i="48"/>
  <c r="U440" i="48"/>
  <c r="U439" i="48"/>
  <c r="U438" i="48"/>
  <c r="U437" i="48"/>
  <c r="U436" i="48"/>
  <c r="U435" i="48"/>
  <c r="U434" i="48"/>
  <c r="U433" i="48"/>
  <c r="U432" i="48"/>
  <c r="U431" i="48"/>
  <c r="U430" i="48"/>
  <c r="U429" i="48"/>
  <c r="U428" i="48"/>
  <c r="U427" i="48"/>
  <c r="U426" i="48"/>
  <c r="U425" i="48"/>
  <c r="U423" i="48"/>
  <c r="U422" i="48"/>
  <c r="U421" i="48"/>
  <c r="U420" i="48"/>
  <c r="U419" i="48"/>
  <c r="U418" i="48"/>
  <c r="U417" i="48"/>
  <c r="U416" i="48"/>
  <c r="U415" i="48"/>
  <c r="U414" i="48"/>
  <c r="U413" i="48"/>
  <c r="U412" i="48"/>
  <c r="U411" i="48"/>
  <c r="U410" i="48"/>
  <c r="U409" i="48"/>
  <c r="U408" i="48"/>
  <c r="U407" i="48"/>
  <c r="U406" i="48"/>
  <c r="U405" i="48"/>
  <c r="U404" i="48"/>
  <c r="U403" i="48"/>
  <c r="U402" i="48"/>
  <c r="U401" i="48"/>
  <c r="U400" i="48"/>
  <c r="U399" i="48"/>
  <c r="U398" i="48"/>
  <c r="U397" i="48"/>
  <c r="U396" i="48"/>
  <c r="U395" i="48"/>
  <c r="U394" i="48"/>
  <c r="U393" i="48"/>
  <c r="U392" i="48"/>
  <c r="U391" i="48"/>
  <c r="U390" i="48"/>
  <c r="U389" i="48"/>
  <c r="U388" i="48"/>
  <c r="U387" i="48"/>
  <c r="U386" i="48"/>
  <c r="U385" i="48"/>
  <c r="U384" i="48"/>
  <c r="U383" i="48"/>
  <c r="U382" i="48"/>
  <c r="U381" i="48"/>
  <c r="U380" i="48"/>
  <c r="U379" i="48"/>
  <c r="U378" i="48"/>
  <c r="U377" i="48"/>
  <c r="U376" i="48"/>
  <c r="U375" i="48"/>
  <c r="U374" i="48"/>
  <c r="U373" i="48"/>
  <c r="U372" i="48"/>
  <c r="U371" i="48"/>
  <c r="U370" i="48"/>
  <c r="U369" i="48"/>
  <c r="U368" i="48"/>
  <c r="U367" i="48"/>
  <c r="U366" i="48"/>
  <c r="U365" i="48"/>
  <c r="U364" i="48"/>
  <c r="U363" i="48"/>
  <c r="U362" i="48"/>
  <c r="U361" i="48"/>
  <c r="U360" i="48"/>
  <c r="U359" i="48"/>
  <c r="U358" i="48"/>
  <c r="U357" i="48"/>
  <c r="U356" i="48"/>
  <c r="U355" i="48"/>
  <c r="U354" i="48"/>
  <c r="U353" i="48"/>
  <c r="U352" i="48"/>
  <c r="U351" i="48"/>
  <c r="U350" i="48"/>
  <c r="U349" i="48"/>
  <c r="U348" i="48"/>
  <c r="U347" i="48"/>
  <c r="U346" i="48"/>
  <c r="U345" i="48"/>
  <c r="U344" i="48"/>
  <c r="U343" i="48"/>
  <c r="U342" i="48"/>
  <c r="U341" i="48"/>
  <c r="U340" i="48"/>
  <c r="U339" i="48"/>
  <c r="U338" i="48"/>
  <c r="U337" i="48"/>
  <c r="U336" i="48"/>
  <c r="U335" i="48"/>
  <c r="U334" i="48"/>
  <c r="U333" i="48"/>
  <c r="U332" i="48"/>
  <c r="U331" i="48"/>
  <c r="U330" i="48"/>
  <c r="U329" i="48"/>
  <c r="U328" i="48"/>
  <c r="U327" i="48"/>
  <c r="U326" i="48"/>
  <c r="U325" i="48"/>
  <c r="U324" i="48"/>
  <c r="U323" i="48"/>
  <c r="U322" i="48"/>
  <c r="U321" i="48"/>
  <c r="U320" i="48"/>
  <c r="U319" i="48"/>
  <c r="U318" i="48"/>
  <c r="U317" i="48"/>
  <c r="U316" i="48"/>
  <c r="U315" i="48"/>
  <c r="U314" i="48"/>
  <c r="U313" i="48"/>
  <c r="U312" i="48"/>
  <c r="U311" i="48"/>
  <c r="U310" i="48"/>
  <c r="U309" i="48"/>
  <c r="U308" i="48"/>
  <c r="U307" i="48"/>
  <c r="U306" i="48"/>
  <c r="U305" i="48"/>
  <c r="U304" i="48"/>
  <c r="U303" i="48"/>
  <c r="U302" i="48"/>
  <c r="U301" i="48"/>
  <c r="U300" i="48"/>
  <c r="U299" i="48"/>
  <c r="U298" i="48"/>
  <c r="U297" i="48"/>
  <c r="U296" i="48"/>
  <c r="U295" i="48"/>
  <c r="U294" i="48"/>
  <c r="U293" i="48"/>
  <c r="U292" i="48"/>
  <c r="U291" i="48"/>
  <c r="U290" i="48"/>
  <c r="U289" i="48"/>
  <c r="U288" i="48"/>
  <c r="U287" i="48"/>
  <c r="U286" i="48"/>
  <c r="U285" i="48"/>
  <c r="U284" i="48"/>
  <c r="U283" i="48"/>
  <c r="U282" i="48"/>
  <c r="U281" i="48"/>
  <c r="U280" i="48"/>
  <c r="U279" i="48"/>
  <c r="U278" i="48"/>
  <c r="U277" i="48"/>
  <c r="U276" i="48"/>
  <c r="U275" i="48"/>
  <c r="U274" i="48"/>
  <c r="U273" i="48"/>
  <c r="U272" i="48"/>
  <c r="U271" i="48"/>
  <c r="U270" i="48"/>
  <c r="U269" i="48"/>
  <c r="U268" i="48"/>
  <c r="U267" i="48"/>
  <c r="U266" i="48"/>
  <c r="U265" i="48"/>
  <c r="U264" i="48"/>
  <c r="U263" i="48"/>
  <c r="U262" i="48"/>
  <c r="U261" i="48"/>
  <c r="U260" i="48"/>
  <c r="U259" i="48"/>
  <c r="U258" i="48"/>
  <c r="U257" i="48"/>
  <c r="U256" i="48"/>
  <c r="U255" i="48"/>
  <c r="U254" i="48"/>
  <c r="U253" i="48"/>
  <c r="U252" i="48"/>
  <c r="U251" i="48"/>
  <c r="U250" i="48"/>
  <c r="U249" i="48"/>
  <c r="U248" i="48"/>
  <c r="U247" i="48"/>
  <c r="U246" i="48"/>
  <c r="U245" i="48"/>
  <c r="U244" i="48"/>
  <c r="U243" i="48"/>
  <c r="U242" i="48"/>
  <c r="U241" i="48"/>
  <c r="U240" i="48"/>
  <c r="U239" i="48"/>
  <c r="U238" i="48"/>
  <c r="U237" i="48"/>
  <c r="U236" i="48"/>
  <c r="U235" i="48"/>
  <c r="U234" i="48"/>
  <c r="U233" i="48"/>
  <c r="U232" i="48"/>
  <c r="U231" i="48"/>
  <c r="U230" i="48"/>
  <c r="U229" i="48"/>
  <c r="U228" i="48"/>
  <c r="U227" i="48"/>
  <c r="U226" i="48"/>
  <c r="U225" i="48"/>
  <c r="U224" i="48"/>
  <c r="U223" i="48"/>
  <c r="U222" i="48"/>
  <c r="U221" i="48"/>
  <c r="U220" i="48"/>
  <c r="U219" i="48"/>
  <c r="U218" i="48"/>
  <c r="U217" i="48"/>
  <c r="U216" i="48"/>
  <c r="U215" i="48"/>
  <c r="U214" i="48"/>
  <c r="U213" i="48"/>
  <c r="U212" i="48"/>
  <c r="U211" i="48"/>
  <c r="U210" i="48"/>
  <c r="U209" i="48"/>
  <c r="U208" i="48"/>
  <c r="U207" i="48"/>
  <c r="U206" i="48"/>
  <c r="U205" i="48"/>
  <c r="U204" i="48"/>
  <c r="U203" i="48"/>
  <c r="U202" i="48"/>
  <c r="U201" i="48"/>
  <c r="U200" i="48"/>
  <c r="U199" i="48"/>
  <c r="U198" i="48"/>
  <c r="U197" i="48"/>
  <c r="U196" i="48"/>
  <c r="U195" i="48"/>
  <c r="U194" i="48"/>
  <c r="U193" i="48"/>
  <c r="U192" i="48"/>
  <c r="U191" i="48"/>
  <c r="U190" i="48"/>
  <c r="U189" i="48"/>
  <c r="U188" i="48"/>
  <c r="U187" i="48"/>
  <c r="U186" i="48"/>
  <c r="U185" i="48"/>
  <c r="U184" i="48"/>
  <c r="U183" i="48"/>
  <c r="U182" i="48"/>
  <c r="U181" i="48"/>
  <c r="U180" i="48"/>
  <c r="U179" i="48"/>
  <c r="U178" i="48"/>
  <c r="U177" i="48"/>
  <c r="U176" i="48"/>
  <c r="U175" i="48"/>
  <c r="U174" i="48"/>
  <c r="U173" i="48"/>
  <c r="U172" i="48"/>
  <c r="U171" i="48"/>
  <c r="U170" i="48"/>
  <c r="U169" i="48"/>
  <c r="U168" i="48"/>
  <c r="U167" i="48"/>
  <c r="U166" i="48"/>
  <c r="U165" i="48"/>
  <c r="U164" i="48"/>
  <c r="U163" i="48"/>
  <c r="U162" i="48"/>
  <c r="U161" i="48"/>
  <c r="U160" i="48"/>
  <c r="U159" i="48"/>
  <c r="U158" i="48"/>
  <c r="U157" i="48"/>
  <c r="U156" i="48"/>
  <c r="U155" i="48"/>
  <c r="U154" i="48"/>
  <c r="U153" i="48"/>
  <c r="U152" i="48"/>
  <c r="U151" i="48"/>
  <c r="U150" i="48"/>
  <c r="U149" i="48"/>
  <c r="U148" i="48"/>
  <c r="U147" i="48"/>
  <c r="U146" i="48"/>
  <c r="U145" i="48"/>
  <c r="U144" i="48"/>
  <c r="U143" i="48"/>
  <c r="U142" i="48"/>
  <c r="U141" i="48"/>
  <c r="U140" i="48"/>
  <c r="U139" i="48"/>
  <c r="U138" i="48"/>
  <c r="U137" i="48"/>
  <c r="U136" i="48"/>
  <c r="U135" i="48"/>
  <c r="U134" i="48"/>
  <c r="U133" i="48"/>
  <c r="U132" i="48"/>
  <c r="U131" i="48"/>
  <c r="U130" i="48"/>
  <c r="U129" i="48"/>
  <c r="U128" i="48"/>
  <c r="U127" i="48"/>
  <c r="U126" i="48"/>
  <c r="U125" i="48"/>
  <c r="U124" i="48"/>
  <c r="U123" i="48"/>
  <c r="U122" i="48"/>
  <c r="U121" i="48"/>
  <c r="U120" i="48"/>
  <c r="U119" i="48"/>
  <c r="U118" i="48"/>
  <c r="U117" i="48"/>
  <c r="U116" i="48"/>
  <c r="U115" i="48"/>
  <c r="U114" i="48"/>
  <c r="U113" i="48"/>
  <c r="U112" i="48"/>
  <c r="U111" i="48"/>
  <c r="U110" i="48"/>
  <c r="U109" i="48"/>
  <c r="U108" i="48"/>
  <c r="U107" i="48"/>
  <c r="U106" i="48"/>
  <c r="U105" i="48"/>
  <c r="U104" i="48"/>
  <c r="U103" i="48"/>
  <c r="U102" i="48"/>
  <c r="U101" i="48"/>
  <c r="U100" i="48"/>
  <c r="U99" i="48"/>
  <c r="U98" i="48"/>
  <c r="U97" i="48"/>
  <c r="U96" i="48"/>
  <c r="U95" i="48"/>
  <c r="U94" i="48"/>
  <c r="U93" i="48"/>
  <c r="U92" i="48"/>
  <c r="U91" i="48"/>
  <c r="U90" i="48"/>
  <c r="U89" i="48"/>
  <c r="U88" i="48"/>
  <c r="U87" i="48"/>
  <c r="U86" i="48"/>
  <c r="U85" i="48"/>
  <c r="U84" i="48"/>
  <c r="U83" i="48"/>
  <c r="U82" i="48"/>
  <c r="U81" i="48"/>
  <c r="U80" i="48"/>
  <c r="U79" i="48"/>
  <c r="U78" i="48"/>
  <c r="U77" i="48"/>
  <c r="U76" i="48"/>
  <c r="U75" i="48"/>
  <c r="U74" i="48"/>
  <c r="U73" i="48"/>
  <c r="U72" i="48"/>
  <c r="U71" i="48"/>
  <c r="U70" i="48"/>
  <c r="U69" i="48"/>
  <c r="U68" i="48"/>
  <c r="U67" i="48"/>
  <c r="U66" i="48"/>
  <c r="U65" i="48"/>
  <c r="U64" i="48"/>
  <c r="U63" i="48"/>
  <c r="U62" i="48"/>
  <c r="U61" i="48"/>
  <c r="U60" i="48"/>
  <c r="U59" i="48"/>
  <c r="U58" i="48"/>
  <c r="U57" i="48"/>
  <c r="U56" i="48"/>
  <c r="U55" i="48"/>
  <c r="U54" i="48"/>
  <c r="U53" i="48"/>
  <c r="U52" i="48"/>
  <c r="U51" i="48"/>
  <c r="U50" i="48"/>
  <c r="U49" i="48"/>
  <c r="U48" i="48"/>
  <c r="U47" i="48"/>
  <c r="U46" i="48"/>
  <c r="U45" i="48"/>
  <c r="U44" i="48"/>
  <c r="U43" i="48"/>
  <c r="U42" i="48"/>
  <c r="U41" i="48"/>
  <c r="U40" i="48"/>
  <c r="U39" i="48"/>
  <c r="U38" i="48"/>
  <c r="U37" i="48"/>
  <c r="U36" i="48"/>
  <c r="U35" i="48"/>
  <c r="U34" i="48"/>
  <c r="U33" i="48"/>
  <c r="U32" i="48"/>
  <c r="U31" i="48"/>
  <c r="U30" i="48"/>
  <c r="U29" i="48"/>
  <c r="U28" i="48"/>
  <c r="U27" i="48"/>
  <c r="U26" i="48"/>
  <c r="U25" i="48"/>
  <c r="U24" i="48"/>
  <c r="U23" i="48"/>
  <c r="U22" i="48"/>
  <c r="U21" i="48"/>
  <c r="U20" i="48"/>
  <c r="U19" i="48"/>
  <c r="U18" i="48"/>
  <c r="U17" i="48"/>
  <c r="U16" i="48"/>
  <c r="U15" i="48"/>
  <c r="U14" i="48"/>
  <c r="U13" i="48"/>
  <c r="U12" i="48"/>
  <c r="U11" i="48"/>
  <c r="U10" i="48"/>
  <c r="U9" i="48"/>
  <c r="U8" i="48"/>
  <c r="U7" i="48"/>
  <c r="U6" i="48"/>
  <c r="U4" i="48" l="1"/>
  <c r="Y965" i="48"/>
  <c r="Y966" i="48"/>
  <c r="H39" i="48"/>
  <c r="W976" i="48"/>
  <c r="V976" i="48"/>
  <c r="T976" i="48"/>
  <c r="S976" i="48"/>
  <c r="R976" i="48"/>
  <c r="L976" i="48"/>
  <c r="M976" i="48" s="1"/>
  <c r="N976" i="48" s="1"/>
  <c r="O976" i="48" s="1"/>
  <c r="P976" i="48" s="1"/>
  <c r="K976" i="48"/>
  <c r="W975" i="48"/>
  <c r="V975" i="48"/>
  <c r="T975" i="48"/>
  <c r="S975" i="48"/>
  <c r="R975" i="48"/>
  <c r="L975" i="48"/>
  <c r="M975" i="48" s="1"/>
  <c r="N975" i="48" s="1"/>
  <c r="O975" i="48" s="1"/>
  <c r="P975" i="48" s="1"/>
  <c r="K975" i="48"/>
  <c r="W974" i="48"/>
  <c r="V974" i="48"/>
  <c r="T974" i="48"/>
  <c r="S974" i="48"/>
  <c r="R974" i="48"/>
  <c r="Q974" i="48"/>
  <c r="L974" i="48"/>
  <c r="M974" i="48" s="1"/>
  <c r="N974" i="48" s="1"/>
  <c r="O974" i="48" s="1"/>
  <c r="P974" i="48" s="1"/>
  <c r="K974" i="48"/>
  <c r="X974" i="48"/>
  <c r="AA974" i="48" s="1"/>
  <c r="W973" i="48"/>
  <c r="V973" i="48"/>
  <c r="T973" i="48"/>
  <c r="S973" i="48"/>
  <c r="R973" i="48"/>
  <c r="Q973" i="48"/>
  <c r="L973" i="48"/>
  <c r="M973" i="48" s="1"/>
  <c r="N973" i="48" s="1"/>
  <c r="O973" i="48" s="1"/>
  <c r="P973" i="48" s="1"/>
  <c r="K973" i="48"/>
  <c r="X973" i="48"/>
  <c r="AA973" i="48" s="1"/>
  <c r="W972" i="48"/>
  <c r="V972" i="48"/>
  <c r="T972" i="48"/>
  <c r="S972" i="48"/>
  <c r="R972" i="48"/>
  <c r="Q972" i="48"/>
  <c r="L972" i="48"/>
  <c r="M972" i="48" s="1"/>
  <c r="N972" i="48" s="1"/>
  <c r="O972" i="48" s="1"/>
  <c r="P972" i="48" s="1"/>
  <c r="K972" i="48"/>
  <c r="W971" i="48"/>
  <c r="V971" i="48"/>
  <c r="T971" i="48"/>
  <c r="S971" i="48"/>
  <c r="R971" i="48"/>
  <c r="Q971" i="48"/>
  <c r="L971" i="48"/>
  <c r="M971" i="48" s="1"/>
  <c r="N971" i="48" s="1"/>
  <c r="O971" i="48" s="1"/>
  <c r="P971" i="48" s="1"/>
  <c r="K971" i="48"/>
  <c r="W970" i="48"/>
  <c r="V970" i="48"/>
  <c r="T970" i="48"/>
  <c r="S970" i="48"/>
  <c r="R970" i="48"/>
  <c r="L970" i="48"/>
  <c r="M970" i="48" s="1"/>
  <c r="N970" i="48" s="1"/>
  <c r="O970" i="48" s="1"/>
  <c r="P970" i="48" s="1"/>
  <c r="K970" i="48"/>
  <c r="X970" i="48"/>
  <c r="AA970" i="48" s="1"/>
  <c r="W969" i="48"/>
  <c r="V969" i="48"/>
  <c r="T969" i="48"/>
  <c r="S969" i="48"/>
  <c r="R969" i="48"/>
  <c r="L969" i="48"/>
  <c r="M969" i="48" s="1"/>
  <c r="N969" i="48" s="1"/>
  <c r="O969" i="48" s="1"/>
  <c r="P969" i="48" s="1"/>
  <c r="K969" i="48"/>
  <c r="X969" i="48"/>
  <c r="AA969" i="48" s="1"/>
  <c r="W968" i="48"/>
  <c r="V968" i="48"/>
  <c r="T968" i="48"/>
  <c r="S968" i="48"/>
  <c r="R968" i="48"/>
  <c r="Q968" i="48"/>
  <c r="L968" i="48"/>
  <c r="M968" i="48" s="1"/>
  <c r="N968" i="48" s="1"/>
  <c r="O968" i="48" s="1"/>
  <c r="P968" i="48" s="1"/>
  <c r="K968" i="48"/>
  <c r="X968" i="48"/>
  <c r="AA968" i="48" s="1"/>
  <c r="W967" i="48"/>
  <c r="V967" i="48"/>
  <c r="T967" i="48"/>
  <c r="S967" i="48"/>
  <c r="R967" i="48"/>
  <c r="Q967" i="48"/>
  <c r="L967" i="48"/>
  <c r="M967" i="48" s="1"/>
  <c r="N967" i="48" s="1"/>
  <c r="O967" i="48" s="1"/>
  <c r="P967" i="48" s="1"/>
  <c r="K967" i="48"/>
  <c r="W966" i="48"/>
  <c r="V966" i="48"/>
  <c r="T966" i="48"/>
  <c r="S966" i="48"/>
  <c r="R966" i="48"/>
  <c r="Q966" i="48"/>
  <c r="L966" i="48"/>
  <c r="M966" i="48" s="1"/>
  <c r="N966" i="48" s="1"/>
  <c r="O966" i="48" s="1"/>
  <c r="P966" i="48" s="1"/>
  <c r="K966" i="48"/>
  <c r="W965" i="48"/>
  <c r="V965" i="48"/>
  <c r="T965" i="48"/>
  <c r="S965" i="48"/>
  <c r="R965" i="48"/>
  <c r="Q965" i="48"/>
  <c r="L965" i="48"/>
  <c r="M965" i="48" s="1"/>
  <c r="N965" i="48" s="1"/>
  <c r="O965" i="48" s="1"/>
  <c r="P965" i="48" s="1"/>
  <c r="K965" i="48"/>
  <c r="X965" i="48"/>
  <c r="AA965" i="48" s="1"/>
  <c r="W964" i="48"/>
  <c r="V964" i="48"/>
  <c r="T964" i="48"/>
  <c r="S964" i="48"/>
  <c r="R964" i="48"/>
  <c r="L964" i="48"/>
  <c r="M964" i="48" s="1"/>
  <c r="N964" i="48" s="1"/>
  <c r="O964" i="48" s="1"/>
  <c r="P964" i="48" s="1"/>
  <c r="K964" i="48"/>
  <c r="W963" i="48"/>
  <c r="V963" i="48"/>
  <c r="T963" i="48"/>
  <c r="S963" i="48"/>
  <c r="R963" i="48"/>
  <c r="L963" i="48"/>
  <c r="M963" i="48" s="1"/>
  <c r="N963" i="48" s="1"/>
  <c r="O963" i="48" s="1"/>
  <c r="P963" i="48" s="1"/>
  <c r="K963" i="48"/>
  <c r="W962" i="48"/>
  <c r="V962" i="48"/>
  <c r="T962" i="48"/>
  <c r="S962" i="48"/>
  <c r="R962" i="48"/>
  <c r="Q962" i="48"/>
  <c r="L962" i="48"/>
  <c r="M962" i="48" s="1"/>
  <c r="N962" i="48" s="1"/>
  <c r="O962" i="48" s="1"/>
  <c r="P962" i="48" s="1"/>
  <c r="K962" i="48"/>
  <c r="W961" i="48"/>
  <c r="V961" i="48"/>
  <c r="T961" i="48"/>
  <c r="S961" i="48"/>
  <c r="R961" i="48"/>
  <c r="Q961" i="48"/>
  <c r="L961" i="48"/>
  <c r="M961" i="48" s="1"/>
  <c r="N961" i="48" s="1"/>
  <c r="O961" i="48" s="1"/>
  <c r="P961" i="48" s="1"/>
  <c r="K961" i="48"/>
  <c r="X961" i="48"/>
  <c r="AA961" i="48" s="1"/>
  <c r="W960" i="48"/>
  <c r="V960" i="48"/>
  <c r="T960" i="48"/>
  <c r="S960" i="48"/>
  <c r="R960" i="48"/>
  <c r="Q960" i="48"/>
  <c r="L960" i="48"/>
  <c r="M960" i="48" s="1"/>
  <c r="N960" i="48" s="1"/>
  <c r="O960" i="48" s="1"/>
  <c r="P960" i="48" s="1"/>
  <c r="K960" i="48"/>
  <c r="W959" i="48"/>
  <c r="V959" i="48"/>
  <c r="T959" i="48"/>
  <c r="S959" i="48"/>
  <c r="R959" i="48"/>
  <c r="Q959" i="48"/>
  <c r="L959" i="48"/>
  <c r="M959" i="48" s="1"/>
  <c r="N959" i="48" s="1"/>
  <c r="O959" i="48" s="1"/>
  <c r="P959" i="48" s="1"/>
  <c r="K959" i="48"/>
  <c r="W958" i="48"/>
  <c r="V958" i="48"/>
  <c r="T958" i="48"/>
  <c r="S958" i="48"/>
  <c r="R958" i="48"/>
  <c r="L958" i="48"/>
  <c r="M958" i="48" s="1"/>
  <c r="N958" i="48" s="1"/>
  <c r="O958" i="48" s="1"/>
  <c r="P958" i="48" s="1"/>
  <c r="K958" i="48"/>
  <c r="X958" i="48"/>
  <c r="AA958" i="48" s="1"/>
  <c r="W957" i="48"/>
  <c r="V957" i="48"/>
  <c r="T957" i="48"/>
  <c r="S957" i="48"/>
  <c r="R957" i="48"/>
  <c r="L957" i="48"/>
  <c r="M957" i="48" s="1"/>
  <c r="N957" i="48" s="1"/>
  <c r="O957" i="48" s="1"/>
  <c r="P957" i="48" s="1"/>
  <c r="K957" i="48"/>
  <c r="X957" i="48"/>
  <c r="AA957" i="48" s="1"/>
  <c r="W956" i="48"/>
  <c r="V956" i="48"/>
  <c r="T956" i="48"/>
  <c r="S956" i="48"/>
  <c r="R956" i="48"/>
  <c r="Q956" i="48"/>
  <c r="L956" i="48"/>
  <c r="M956" i="48" s="1"/>
  <c r="N956" i="48" s="1"/>
  <c r="O956" i="48" s="1"/>
  <c r="P956" i="48" s="1"/>
  <c r="K956" i="48"/>
  <c r="W955" i="48"/>
  <c r="V955" i="48"/>
  <c r="T955" i="48"/>
  <c r="S955" i="48"/>
  <c r="R955" i="48"/>
  <c r="Q955" i="48"/>
  <c r="L955" i="48"/>
  <c r="M955" i="48" s="1"/>
  <c r="N955" i="48" s="1"/>
  <c r="O955" i="48" s="1"/>
  <c r="P955" i="48" s="1"/>
  <c r="K955" i="48"/>
  <c r="W954" i="48"/>
  <c r="V954" i="48"/>
  <c r="T954" i="48"/>
  <c r="S954" i="48"/>
  <c r="R954" i="48"/>
  <c r="Q954" i="48"/>
  <c r="L954" i="48"/>
  <c r="M954" i="48" s="1"/>
  <c r="N954" i="48" s="1"/>
  <c r="O954" i="48" s="1"/>
  <c r="P954" i="48" s="1"/>
  <c r="K954" i="48"/>
  <c r="X954" i="48"/>
  <c r="AA954" i="48" s="1"/>
  <c r="W953" i="48"/>
  <c r="V953" i="48"/>
  <c r="T953" i="48"/>
  <c r="S953" i="48"/>
  <c r="R953" i="48"/>
  <c r="Q953" i="48"/>
  <c r="L953" i="48"/>
  <c r="M953" i="48" s="1"/>
  <c r="N953" i="48" s="1"/>
  <c r="O953" i="48" s="1"/>
  <c r="P953" i="48" s="1"/>
  <c r="K953" i="48"/>
  <c r="W952" i="48"/>
  <c r="V952" i="48"/>
  <c r="T952" i="48"/>
  <c r="S952" i="48"/>
  <c r="R952" i="48"/>
  <c r="L952" i="48"/>
  <c r="M952" i="48" s="1"/>
  <c r="N952" i="48" s="1"/>
  <c r="O952" i="48" s="1"/>
  <c r="P952" i="48" s="1"/>
  <c r="K952" i="48"/>
  <c r="W951" i="48"/>
  <c r="V951" i="48"/>
  <c r="T951" i="48"/>
  <c r="S951" i="48"/>
  <c r="R951" i="48"/>
  <c r="L951" i="48"/>
  <c r="M951" i="48" s="1"/>
  <c r="N951" i="48" s="1"/>
  <c r="O951" i="48" s="1"/>
  <c r="P951" i="48" s="1"/>
  <c r="K951" i="48"/>
  <c r="W950" i="48"/>
  <c r="V950" i="48"/>
  <c r="T950" i="48"/>
  <c r="S950" i="48"/>
  <c r="R950" i="48"/>
  <c r="Q950" i="48"/>
  <c r="L950" i="48"/>
  <c r="M950" i="48" s="1"/>
  <c r="N950" i="48" s="1"/>
  <c r="O950" i="48" s="1"/>
  <c r="P950" i="48" s="1"/>
  <c r="K950" i="48"/>
  <c r="W949" i="48"/>
  <c r="V949" i="48"/>
  <c r="T949" i="48"/>
  <c r="S949" i="48"/>
  <c r="R949" i="48"/>
  <c r="Q949" i="48"/>
  <c r="L949" i="48"/>
  <c r="M949" i="48" s="1"/>
  <c r="N949" i="48" s="1"/>
  <c r="O949" i="48" s="1"/>
  <c r="P949" i="48" s="1"/>
  <c r="K949" i="48"/>
  <c r="X949" i="48"/>
  <c r="AA949" i="48" s="1"/>
  <c r="W948" i="48"/>
  <c r="V948" i="48"/>
  <c r="T948" i="48"/>
  <c r="S948" i="48"/>
  <c r="R948" i="48"/>
  <c r="Q948" i="48"/>
  <c r="L948" i="48"/>
  <c r="M948" i="48" s="1"/>
  <c r="N948" i="48" s="1"/>
  <c r="O948" i="48" s="1"/>
  <c r="P948" i="48" s="1"/>
  <c r="K948" i="48"/>
  <c r="W947" i="48"/>
  <c r="V947" i="48"/>
  <c r="T947" i="48"/>
  <c r="S947" i="48"/>
  <c r="R947" i="48"/>
  <c r="Q947" i="48"/>
  <c r="L947" i="48"/>
  <c r="M947" i="48" s="1"/>
  <c r="N947" i="48" s="1"/>
  <c r="O947" i="48" s="1"/>
  <c r="P947" i="48" s="1"/>
  <c r="K947" i="48"/>
  <c r="W946" i="48"/>
  <c r="V946" i="48"/>
  <c r="T946" i="48"/>
  <c r="S946" i="48"/>
  <c r="R946" i="48"/>
  <c r="Q946" i="48"/>
  <c r="L946" i="48"/>
  <c r="M946" i="48" s="1"/>
  <c r="N946" i="48" s="1"/>
  <c r="O946" i="48" s="1"/>
  <c r="P946" i="48" s="1"/>
  <c r="K946" i="48"/>
  <c r="W945" i="48"/>
  <c r="V945" i="48"/>
  <c r="T945" i="48"/>
  <c r="S945" i="48"/>
  <c r="R945" i="48"/>
  <c r="Q945" i="48"/>
  <c r="L945" i="48"/>
  <c r="M945" i="48" s="1"/>
  <c r="N945" i="48" s="1"/>
  <c r="O945" i="48" s="1"/>
  <c r="P945" i="48" s="1"/>
  <c r="K945" i="48"/>
  <c r="X945" i="48"/>
  <c r="AA945" i="48" s="1"/>
  <c r="W944" i="48"/>
  <c r="V944" i="48"/>
  <c r="T944" i="48"/>
  <c r="S944" i="48"/>
  <c r="R944" i="48"/>
  <c r="Q944" i="48"/>
  <c r="L944" i="48"/>
  <c r="M944" i="48" s="1"/>
  <c r="N944" i="48" s="1"/>
  <c r="O944" i="48" s="1"/>
  <c r="P944" i="48" s="1"/>
  <c r="K944" i="48"/>
  <c r="W943" i="48"/>
  <c r="V943" i="48"/>
  <c r="T943" i="48"/>
  <c r="S943" i="48"/>
  <c r="R943" i="48"/>
  <c r="Q943" i="48"/>
  <c r="L943" i="48"/>
  <c r="M943" i="48" s="1"/>
  <c r="N943" i="48" s="1"/>
  <c r="O943" i="48" s="1"/>
  <c r="P943" i="48" s="1"/>
  <c r="K943" i="48"/>
  <c r="W942" i="48"/>
  <c r="V942" i="48"/>
  <c r="T942" i="48"/>
  <c r="S942" i="48"/>
  <c r="R942" i="48"/>
  <c r="Q942" i="48"/>
  <c r="L942" i="48"/>
  <c r="M942" i="48" s="1"/>
  <c r="N942" i="48" s="1"/>
  <c r="O942" i="48" s="1"/>
  <c r="P942" i="48" s="1"/>
  <c r="K942" i="48"/>
  <c r="W941" i="48"/>
  <c r="V941" i="48"/>
  <c r="T941" i="48"/>
  <c r="S941" i="48"/>
  <c r="R941" i="48"/>
  <c r="Q941" i="48"/>
  <c r="L941" i="48"/>
  <c r="M941" i="48" s="1"/>
  <c r="N941" i="48" s="1"/>
  <c r="O941" i="48" s="1"/>
  <c r="P941" i="48" s="1"/>
  <c r="K941" i="48"/>
  <c r="X941" i="48"/>
  <c r="AA941" i="48" s="1"/>
  <c r="W940" i="48"/>
  <c r="V940" i="48"/>
  <c r="T940" i="48"/>
  <c r="S940" i="48"/>
  <c r="R940" i="48"/>
  <c r="L940" i="48"/>
  <c r="M940" i="48" s="1"/>
  <c r="N940" i="48" s="1"/>
  <c r="O940" i="48" s="1"/>
  <c r="P940" i="48" s="1"/>
  <c r="K940" i="48"/>
  <c r="W939" i="48"/>
  <c r="V939" i="48"/>
  <c r="T939" i="48"/>
  <c r="S939" i="48"/>
  <c r="R939" i="48"/>
  <c r="L939" i="48"/>
  <c r="M939" i="48" s="1"/>
  <c r="N939" i="48" s="1"/>
  <c r="O939" i="48" s="1"/>
  <c r="P939" i="48" s="1"/>
  <c r="K939" i="48"/>
  <c r="W938" i="48"/>
  <c r="V938" i="48"/>
  <c r="T938" i="48"/>
  <c r="S938" i="48"/>
  <c r="R938" i="48"/>
  <c r="Q938" i="48"/>
  <c r="L938" i="48"/>
  <c r="M938" i="48" s="1"/>
  <c r="N938" i="48" s="1"/>
  <c r="O938" i="48" s="1"/>
  <c r="P938" i="48" s="1"/>
  <c r="K938" i="48"/>
  <c r="X938" i="48"/>
  <c r="AA938" i="48" s="1"/>
  <c r="W937" i="48"/>
  <c r="V937" i="48"/>
  <c r="T937" i="48"/>
  <c r="S937" i="48"/>
  <c r="R937" i="48"/>
  <c r="Q937" i="48"/>
  <c r="L937" i="48"/>
  <c r="M937" i="48" s="1"/>
  <c r="N937" i="48" s="1"/>
  <c r="O937" i="48" s="1"/>
  <c r="P937" i="48" s="1"/>
  <c r="K937" i="48"/>
  <c r="X937" i="48"/>
  <c r="AA937" i="48" s="1"/>
  <c r="W936" i="48"/>
  <c r="V936" i="48"/>
  <c r="T936" i="48"/>
  <c r="S936" i="48"/>
  <c r="R936" i="48"/>
  <c r="Q936" i="48"/>
  <c r="L936" i="48"/>
  <c r="M936" i="48" s="1"/>
  <c r="N936" i="48" s="1"/>
  <c r="O936" i="48" s="1"/>
  <c r="P936" i="48" s="1"/>
  <c r="K936" i="48"/>
  <c r="W935" i="48"/>
  <c r="V935" i="48"/>
  <c r="T935" i="48"/>
  <c r="S935" i="48"/>
  <c r="R935" i="48"/>
  <c r="Q935" i="48"/>
  <c r="L935" i="48"/>
  <c r="M935" i="48" s="1"/>
  <c r="N935" i="48" s="1"/>
  <c r="O935" i="48" s="1"/>
  <c r="P935" i="48" s="1"/>
  <c r="K935" i="48"/>
  <c r="W934" i="48"/>
  <c r="V934" i="48"/>
  <c r="T934" i="48"/>
  <c r="S934" i="48"/>
  <c r="R934" i="48"/>
  <c r="L934" i="48"/>
  <c r="M934" i="48" s="1"/>
  <c r="N934" i="48" s="1"/>
  <c r="O934" i="48" s="1"/>
  <c r="P934" i="48" s="1"/>
  <c r="K934" i="48"/>
  <c r="W933" i="48"/>
  <c r="V933" i="48"/>
  <c r="T933" i="48"/>
  <c r="S933" i="48"/>
  <c r="R933" i="48"/>
  <c r="L933" i="48"/>
  <c r="M933" i="48" s="1"/>
  <c r="N933" i="48" s="1"/>
  <c r="O933" i="48" s="1"/>
  <c r="P933" i="48" s="1"/>
  <c r="K933" i="48"/>
  <c r="X933" i="48"/>
  <c r="AA933" i="48" s="1"/>
  <c r="W932" i="48"/>
  <c r="V932" i="48"/>
  <c r="T932" i="48"/>
  <c r="S932" i="48"/>
  <c r="R932" i="48"/>
  <c r="Q932" i="48"/>
  <c r="L932" i="48"/>
  <c r="M932" i="48" s="1"/>
  <c r="N932" i="48" s="1"/>
  <c r="O932" i="48" s="1"/>
  <c r="P932" i="48" s="1"/>
  <c r="K932" i="48"/>
  <c r="W931" i="48"/>
  <c r="V931" i="48"/>
  <c r="T931" i="48"/>
  <c r="S931" i="48"/>
  <c r="R931" i="48"/>
  <c r="Q931" i="48"/>
  <c r="L931" i="48"/>
  <c r="M931" i="48" s="1"/>
  <c r="N931" i="48" s="1"/>
  <c r="O931" i="48" s="1"/>
  <c r="P931" i="48" s="1"/>
  <c r="K931" i="48"/>
  <c r="W930" i="48"/>
  <c r="V930" i="48"/>
  <c r="T930" i="48"/>
  <c r="S930" i="48"/>
  <c r="R930" i="48"/>
  <c r="Q930" i="48"/>
  <c r="L930" i="48"/>
  <c r="M930" i="48" s="1"/>
  <c r="N930" i="48" s="1"/>
  <c r="O930" i="48" s="1"/>
  <c r="P930" i="48" s="1"/>
  <c r="K930" i="48"/>
  <c r="X930" i="48"/>
  <c r="AA930" i="48" s="1"/>
  <c r="W929" i="48"/>
  <c r="V929" i="48"/>
  <c r="T929" i="48"/>
  <c r="S929" i="48"/>
  <c r="R929" i="48"/>
  <c r="Q929" i="48"/>
  <c r="L929" i="48"/>
  <c r="M929" i="48" s="1"/>
  <c r="N929" i="48" s="1"/>
  <c r="O929" i="48" s="1"/>
  <c r="P929" i="48" s="1"/>
  <c r="K929" i="48"/>
  <c r="W928" i="48"/>
  <c r="V928" i="48"/>
  <c r="T928" i="48"/>
  <c r="S928" i="48"/>
  <c r="R928" i="48"/>
  <c r="L928" i="48"/>
  <c r="M928" i="48" s="1"/>
  <c r="N928" i="48" s="1"/>
  <c r="O928" i="48" s="1"/>
  <c r="P928" i="48" s="1"/>
  <c r="K928" i="48"/>
  <c r="W927" i="48"/>
  <c r="V927" i="48"/>
  <c r="T927" i="48"/>
  <c r="S927" i="48"/>
  <c r="R927" i="48"/>
  <c r="L927" i="48"/>
  <c r="M927" i="48" s="1"/>
  <c r="N927" i="48" s="1"/>
  <c r="O927" i="48" s="1"/>
  <c r="P927" i="48" s="1"/>
  <c r="K927" i="48"/>
  <c r="W926" i="48"/>
  <c r="V926" i="48"/>
  <c r="T926" i="48"/>
  <c r="S926" i="48"/>
  <c r="R926" i="48"/>
  <c r="Q926" i="48"/>
  <c r="L926" i="48"/>
  <c r="M926" i="48" s="1"/>
  <c r="N926" i="48" s="1"/>
  <c r="O926" i="48" s="1"/>
  <c r="P926" i="48" s="1"/>
  <c r="K926" i="48"/>
  <c r="W925" i="48"/>
  <c r="V925" i="48"/>
  <c r="T925" i="48"/>
  <c r="S925" i="48"/>
  <c r="R925" i="48"/>
  <c r="Q925" i="48"/>
  <c r="L925" i="48"/>
  <c r="M925" i="48" s="1"/>
  <c r="N925" i="48" s="1"/>
  <c r="O925" i="48" s="1"/>
  <c r="P925" i="48" s="1"/>
  <c r="K925" i="48"/>
  <c r="X925" i="48"/>
  <c r="AA925" i="48" s="1"/>
  <c r="W924" i="48"/>
  <c r="V924" i="48"/>
  <c r="T924" i="48"/>
  <c r="S924" i="48"/>
  <c r="R924" i="48"/>
  <c r="Q924" i="48"/>
  <c r="L924" i="48"/>
  <c r="M924" i="48" s="1"/>
  <c r="N924" i="48" s="1"/>
  <c r="O924" i="48" s="1"/>
  <c r="P924" i="48" s="1"/>
  <c r="K924" i="48"/>
  <c r="W923" i="48"/>
  <c r="V923" i="48"/>
  <c r="T923" i="48"/>
  <c r="S923" i="48"/>
  <c r="R923" i="48"/>
  <c r="Q923" i="48"/>
  <c r="L923" i="48"/>
  <c r="M923" i="48" s="1"/>
  <c r="N923" i="48" s="1"/>
  <c r="O923" i="48" s="1"/>
  <c r="P923" i="48" s="1"/>
  <c r="K923" i="48"/>
  <c r="W922" i="48"/>
  <c r="V922" i="48"/>
  <c r="T922" i="48"/>
  <c r="S922" i="48"/>
  <c r="R922" i="48"/>
  <c r="L922" i="48"/>
  <c r="M922" i="48" s="1"/>
  <c r="N922" i="48" s="1"/>
  <c r="O922" i="48" s="1"/>
  <c r="P922" i="48" s="1"/>
  <c r="K922" i="48"/>
  <c r="X922" i="48"/>
  <c r="AA922" i="48" s="1"/>
  <c r="W921" i="48"/>
  <c r="V921" i="48"/>
  <c r="T921" i="48"/>
  <c r="S921" i="48"/>
  <c r="R921" i="48"/>
  <c r="L921" i="48"/>
  <c r="M921" i="48" s="1"/>
  <c r="N921" i="48" s="1"/>
  <c r="O921" i="48" s="1"/>
  <c r="P921" i="48" s="1"/>
  <c r="K921" i="48"/>
  <c r="W920" i="48"/>
  <c r="V920" i="48"/>
  <c r="T920" i="48"/>
  <c r="S920" i="48"/>
  <c r="R920" i="48"/>
  <c r="Q920" i="48"/>
  <c r="L920" i="48"/>
  <c r="M920" i="48" s="1"/>
  <c r="N920" i="48" s="1"/>
  <c r="O920" i="48" s="1"/>
  <c r="P920" i="48" s="1"/>
  <c r="K920" i="48"/>
  <c r="W919" i="48"/>
  <c r="V919" i="48"/>
  <c r="T919" i="48"/>
  <c r="S919" i="48"/>
  <c r="R919" i="48"/>
  <c r="Q919" i="48"/>
  <c r="L919" i="48"/>
  <c r="M919" i="48" s="1"/>
  <c r="N919" i="48" s="1"/>
  <c r="O919" i="48" s="1"/>
  <c r="P919" i="48" s="1"/>
  <c r="K919" i="48"/>
  <c r="X919" i="48"/>
  <c r="AA919" i="48" s="1"/>
  <c r="W918" i="48"/>
  <c r="V918" i="48"/>
  <c r="T918" i="48"/>
  <c r="S918" i="48"/>
  <c r="R918" i="48"/>
  <c r="Q918" i="48"/>
  <c r="L918" i="48"/>
  <c r="M918" i="48" s="1"/>
  <c r="N918" i="48" s="1"/>
  <c r="O918" i="48" s="1"/>
  <c r="P918" i="48" s="1"/>
  <c r="K918" i="48"/>
  <c r="X918" i="48"/>
  <c r="AA918" i="48" s="1"/>
  <c r="W917" i="48"/>
  <c r="V917" i="48"/>
  <c r="T917" i="48"/>
  <c r="S917" i="48"/>
  <c r="R917" i="48"/>
  <c r="Q917" i="48"/>
  <c r="L917" i="48"/>
  <c r="M917" i="48" s="1"/>
  <c r="N917" i="48" s="1"/>
  <c r="O917" i="48" s="1"/>
  <c r="P917" i="48" s="1"/>
  <c r="K917" i="48"/>
  <c r="W916" i="48"/>
  <c r="V916" i="48"/>
  <c r="T916" i="48"/>
  <c r="S916" i="48"/>
  <c r="R916" i="48"/>
  <c r="L916" i="48"/>
  <c r="M916" i="48" s="1"/>
  <c r="N916" i="48" s="1"/>
  <c r="O916" i="48" s="1"/>
  <c r="P916" i="48" s="1"/>
  <c r="K916" i="48"/>
  <c r="W915" i="48"/>
  <c r="V915" i="48"/>
  <c r="T915" i="48"/>
  <c r="S915" i="48"/>
  <c r="R915" i="48"/>
  <c r="L915" i="48"/>
  <c r="M915" i="48" s="1"/>
  <c r="N915" i="48" s="1"/>
  <c r="O915" i="48" s="1"/>
  <c r="P915" i="48" s="1"/>
  <c r="K915" i="48"/>
  <c r="W914" i="48"/>
  <c r="V914" i="48"/>
  <c r="T914" i="48"/>
  <c r="S914" i="48"/>
  <c r="R914" i="48"/>
  <c r="Q914" i="48"/>
  <c r="L914" i="48"/>
  <c r="M914" i="48" s="1"/>
  <c r="N914" i="48" s="1"/>
  <c r="O914" i="48" s="1"/>
  <c r="P914" i="48" s="1"/>
  <c r="K914" i="48"/>
  <c r="X914" i="48"/>
  <c r="AA914" i="48" s="1"/>
  <c r="W913" i="48"/>
  <c r="V913" i="48"/>
  <c r="T913" i="48"/>
  <c r="S913" i="48"/>
  <c r="R913" i="48"/>
  <c r="Q913" i="48"/>
  <c r="L913" i="48"/>
  <c r="M913" i="48" s="1"/>
  <c r="N913" i="48" s="1"/>
  <c r="O913" i="48" s="1"/>
  <c r="P913" i="48" s="1"/>
  <c r="K913" i="48"/>
  <c r="W912" i="48"/>
  <c r="V912" i="48"/>
  <c r="T912" i="48"/>
  <c r="S912" i="48"/>
  <c r="R912" i="48"/>
  <c r="Q912" i="48"/>
  <c r="L912" i="48"/>
  <c r="M912" i="48" s="1"/>
  <c r="N912" i="48" s="1"/>
  <c r="O912" i="48" s="1"/>
  <c r="P912" i="48" s="1"/>
  <c r="K912" i="48"/>
  <c r="W911" i="48"/>
  <c r="V911" i="48"/>
  <c r="T911" i="48"/>
  <c r="S911" i="48"/>
  <c r="R911" i="48"/>
  <c r="Q911" i="48"/>
  <c r="L911" i="48"/>
  <c r="M911" i="48" s="1"/>
  <c r="N911" i="48" s="1"/>
  <c r="O911" i="48" s="1"/>
  <c r="P911" i="48" s="1"/>
  <c r="K911" i="48"/>
  <c r="X911" i="48"/>
  <c r="AA911" i="48" s="1"/>
  <c r="W910" i="48"/>
  <c r="V910" i="48"/>
  <c r="T910" i="48"/>
  <c r="S910" i="48"/>
  <c r="R910" i="48"/>
  <c r="L910" i="48"/>
  <c r="M910" i="48" s="1"/>
  <c r="N910" i="48" s="1"/>
  <c r="O910" i="48" s="1"/>
  <c r="P910" i="48" s="1"/>
  <c r="K910" i="48"/>
  <c r="X910" i="48"/>
  <c r="AA910" i="48" s="1"/>
  <c r="W909" i="48"/>
  <c r="V909" i="48"/>
  <c r="T909" i="48"/>
  <c r="S909" i="48"/>
  <c r="R909" i="48"/>
  <c r="L909" i="48"/>
  <c r="M909" i="48" s="1"/>
  <c r="N909" i="48" s="1"/>
  <c r="O909" i="48" s="1"/>
  <c r="P909" i="48" s="1"/>
  <c r="K909" i="48"/>
  <c r="W908" i="48"/>
  <c r="V908" i="48"/>
  <c r="T908" i="48"/>
  <c r="S908" i="48"/>
  <c r="R908" i="48"/>
  <c r="Q908" i="48"/>
  <c r="L908" i="48"/>
  <c r="M908" i="48" s="1"/>
  <c r="N908" i="48" s="1"/>
  <c r="O908" i="48" s="1"/>
  <c r="P908" i="48" s="1"/>
  <c r="K908" i="48"/>
  <c r="W907" i="48"/>
  <c r="V907" i="48"/>
  <c r="T907" i="48"/>
  <c r="S907" i="48"/>
  <c r="R907" i="48"/>
  <c r="Q907" i="48"/>
  <c r="L907" i="48"/>
  <c r="M907" i="48" s="1"/>
  <c r="N907" i="48" s="1"/>
  <c r="O907" i="48" s="1"/>
  <c r="P907" i="48" s="1"/>
  <c r="K907" i="48"/>
  <c r="X907" i="48"/>
  <c r="AA907" i="48" s="1"/>
  <c r="W906" i="48"/>
  <c r="V906" i="48"/>
  <c r="T906" i="48"/>
  <c r="S906" i="48"/>
  <c r="R906" i="48"/>
  <c r="Q906" i="48"/>
  <c r="L906" i="48"/>
  <c r="M906" i="48" s="1"/>
  <c r="N906" i="48" s="1"/>
  <c r="O906" i="48" s="1"/>
  <c r="P906" i="48" s="1"/>
  <c r="K906" i="48"/>
  <c r="X906" i="48"/>
  <c r="AA906" i="48" s="1"/>
  <c r="W905" i="48"/>
  <c r="V905" i="48"/>
  <c r="T905" i="48"/>
  <c r="S905" i="48"/>
  <c r="R905" i="48"/>
  <c r="Q905" i="48"/>
  <c r="L905" i="48"/>
  <c r="M905" i="48" s="1"/>
  <c r="N905" i="48" s="1"/>
  <c r="O905" i="48" s="1"/>
  <c r="P905" i="48" s="1"/>
  <c r="K905" i="48"/>
  <c r="W904" i="48"/>
  <c r="V904" i="48"/>
  <c r="T904" i="48"/>
  <c r="S904" i="48"/>
  <c r="R904" i="48"/>
  <c r="Q904" i="48"/>
  <c r="L904" i="48"/>
  <c r="M904" i="48" s="1"/>
  <c r="N904" i="48" s="1"/>
  <c r="O904" i="48" s="1"/>
  <c r="P904" i="48" s="1"/>
  <c r="K904" i="48"/>
  <c r="J904" i="48"/>
  <c r="H904" i="48"/>
  <c r="I904" i="48" s="1"/>
  <c r="W903" i="48"/>
  <c r="V903" i="48"/>
  <c r="T903" i="48"/>
  <c r="S903" i="48"/>
  <c r="R903" i="48"/>
  <c r="Q903" i="48"/>
  <c r="L903" i="48"/>
  <c r="M903" i="48" s="1"/>
  <c r="N903" i="48" s="1"/>
  <c r="O903" i="48" s="1"/>
  <c r="P903" i="48" s="1"/>
  <c r="K903" i="48"/>
  <c r="J903" i="48"/>
  <c r="H903" i="48"/>
  <c r="W902" i="48"/>
  <c r="V902" i="48"/>
  <c r="T902" i="48"/>
  <c r="S902" i="48"/>
  <c r="R902" i="48"/>
  <c r="Q902" i="48"/>
  <c r="L902" i="48"/>
  <c r="M902" i="48" s="1"/>
  <c r="N902" i="48" s="1"/>
  <c r="O902" i="48" s="1"/>
  <c r="P902" i="48" s="1"/>
  <c r="K902" i="48"/>
  <c r="J902" i="48"/>
  <c r="H902" i="48"/>
  <c r="X902" i="48" s="1"/>
  <c r="AA902" i="48" s="1"/>
  <c r="W901" i="48"/>
  <c r="V901" i="48"/>
  <c r="T901" i="48"/>
  <c r="S901" i="48"/>
  <c r="R901" i="48"/>
  <c r="Q901" i="48"/>
  <c r="L901" i="48"/>
  <c r="M901" i="48" s="1"/>
  <c r="N901" i="48" s="1"/>
  <c r="O901" i="48" s="1"/>
  <c r="P901" i="48" s="1"/>
  <c r="K901" i="48"/>
  <c r="J901" i="48"/>
  <c r="H901" i="48"/>
  <c r="I901" i="48" s="1"/>
  <c r="W900" i="48"/>
  <c r="V900" i="48"/>
  <c r="T900" i="48"/>
  <c r="S900" i="48"/>
  <c r="R900" i="48"/>
  <c r="Q900" i="48"/>
  <c r="L900" i="48"/>
  <c r="M900" i="48" s="1"/>
  <c r="N900" i="48" s="1"/>
  <c r="O900" i="48" s="1"/>
  <c r="P900" i="48" s="1"/>
  <c r="K900" i="48"/>
  <c r="J900" i="48"/>
  <c r="H900" i="48"/>
  <c r="I900" i="48" s="1"/>
  <c r="W899" i="48"/>
  <c r="V899" i="48"/>
  <c r="T899" i="48"/>
  <c r="S899" i="48"/>
  <c r="R899" i="48"/>
  <c r="Q899" i="48"/>
  <c r="L899" i="48"/>
  <c r="M899" i="48" s="1"/>
  <c r="N899" i="48" s="1"/>
  <c r="O899" i="48" s="1"/>
  <c r="P899" i="48" s="1"/>
  <c r="K899" i="48"/>
  <c r="J899" i="48"/>
  <c r="H899" i="48"/>
  <c r="W898" i="48"/>
  <c r="V898" i="48"/>
  <c r="T898" i="48"/>
  <c r="S898" i="48"/>
  <c r="R898" i="48"/>
  <c r="Q898" i="48"/>
  <c r="L898" i="48"/>
  <c r="M898" i="48" s="1"/>
  <c r="N898" i="48" s="1"/>
  <c r="O898" i="48" s="1"/>
  <c r="P898" i="48" s="1"/>
  <c r="K898" i="48"/>
  <c r="J898" i="48"/>
  <c r="H898" i="48"/>
  <c r="X898" i="48" s="1"/>
  <c r="AA898" i="48" s="1"/>
  <c r="W897" i="48"/>
  <c r="V897" i="48"/>
  <c r="T897" i="48"/>
  <c r="S897" i="48"/>
  <c r="R897" i="48"/>
  <c r="Q897" i="48"/>
  <c r="L897" i="48"/>
  <c r="M897" i="48" s="1"/>
  <c r="N897" i="48" s="1"/>
  <c r="O897" i="48" s="1"/>
  <c r="P897" i="48" s="1"/>
  <c r="K897" i="48"/>
  <c r="J897" i="48"/>
  <c r="H897" i="48"/>
  <c r="I897" i="48" s="1"/>
  <c r="W896" i="48"/>
  <c r="V896" i="48"/>
  <c r="T896" i="48"/>
  <c r="S896" i="48"/>
  <c r="R896" i="48"/>
  <c r="Q896" i="48"/>
  <c r="L896" i="48"/>
  <c r="M896" i="48" s="1"/>
  <c r="N896" i="48" s="1"/>
  <c r="O896" i="48" s="1"/>
  <c r="P896" i="48" s="1"/>
  <c r="K896" i="48"/>
  <c r="J896" i="48"/>
  <c r="H896" i="48"/>
  <c r="W895" i="48"/>
  <c r="V895" i="48"/>
  <c r="T895" i="48"/>
  <c r="S895" i="48"/>
  <c r="R895" i="48"/>
  <c r="Q895" i="48"/>
  <c r="L895" i="48"/>
  <c r="M895" i="48" s="1"/>
  <c r="N895" i="48" s="1"/>
  <c r="O895" i="48" s="1"/>
  <c r="P895" i="48" s="1"/>
  <c r="K895" i="48"/>
  <c r="J895" i="48"/>
  <c r="H895" i="48"/>
  <c r="X895" i="48" s="1"/>
  <c r="AA895" i="48" s="1"/>
  <c r="W894" i="48"/>
  <c r="V894" i="48"/>
  <c r="T894" i="48"/>
  <c r="S894" i="48"/>
  <c r="R894" i="48"/>
  <c r="Q894" i="48"/>
  <c r="L894" i="48"/>
  <c r="M894" i="48" s="1"/>
  <c r="N894" i="48" s="1"/>
  <c r="O894" i="48" s="1"/>
  <c r="P894" i="48" s="1"/>
  <c r="K894" i="48"/>
  <c r="J894" i="48"/>
  <c r="H894" i="48"/>
  <c r="X894" i="48" s="1"/>
  <c r="AA894" i="48" s="1"/>
  <c r="W893" i="48"/>
  <c r="V893" i="48"/>
  <c r="T893" i="48"/>
  <c r="S893" i="48"/>
  <c r="R893" i="48"/>
  <c r="Q893" i="48"/>
  <c r="L893" i="48"/>
  <c r="M893" i="48" s="1"/>
  <c r="N893" i="48" s="1"/>
  <c r="O893" i="48" s="1"/>
  <c r="P893" i="48" s="1"/>
  <c r="K893" i="48"/>
  <c r="J893" i="48"/>
  <c r="H893" i="48"/>
  <c r="I893" i="48" s="1"/>
  <c r="W892" i="48"/>
  <c r="V892" i="48"/>
  <c r="T892" i="48"/>
  <c r="S892" i="48"/>
  <c r="R892" i="48"/>
  <c r="Q892" i="48"/>
  <c r="L892" i="48"/>
  <c r="M892" i="48" s="1"/>
  <c r="N892" i="48" s="1"/>
  <c r="O892" i="48" s="1"/>
  <c r="P892" i="48" s="1"/>
  <c r="K892" i="48"/>
  <c r="J892" i="48"/>
  <c r="H892" i="48"/>
  <c r="W891" i="48"/>
  <c r="V891" i="48"/>
  <c r="T891" i="48"/>
  <c r="S891" i="48"/>
  <c r="R891" i="48"/>
  <c r="Q891" i="48"/>
  <c r="L891" i="48"/>
  <c r="M891" i="48" s="1"/>
  <c r="N891" i="48" s="1"/>
  <c r="O891" i="48" s="1"/>
  <c r="P891" i="48" s="1"/>
  <c r="K891" i="48"/>
  <c r="J891" i="48"/>
  <c r="H891" i="48"/>
  <c r="X891" i="48" s="1"/>
  <c r="AA891" i="48" s="1"/>
  <c r="W890" i="48"/>
  <c r="V890" i="48"/>
  <c r="T890" i="48"/>
  <c r="S890" i="48"/>
  <c r="R890" i="48"/>
  <c r="Q890" i="48"/>
  <c r="L890" i="48"/>
  <c r="M890" i="48" s="1"/>
  <c r="N890" i="48" s="1"/>
  <c r="O890" i="48" s="1"/>
  <c r="P890" i="48" s="1"/>
  <c r="K890" i="48"/>
  <c r="J890" i="48"/>
  <c r="H890" i="48"/>
  <c r="W889" i="48"/>
  <c r="V889" i="48"/>
  <c r="T889" i="48"/>
  <c r="S889" i="48"/>
  <c r="R889" i="48"/>
  <c r="Q889" i="48"/>
  <c r="L889" i="48"/>
  <c r="M889" i="48" s="1"/>
  <c r="N889" i="48" s="1"/>
  <c r="O889" i="48" s="1"/>
  <c r="P889" i="48" s="1"/>
  <c r="K889" i="48"/>
  <c r="J889" i="48"/>
  <c r="H889" i="48"/>
  <c r="I889" i="48" s="1"/>
  <c r="W888" i="48"/>
  <c r="V888" i="48"/>
  <c r="T888" i="48"/>
  <c r="S888" i="48"/>
  <c r="R888" i="48"/>
  <c r="Q888" i="48"/>
  <c r="L888" i="48"/>
  <c r="M888" i="48" s="1"/>
  <c r="N888" i="48" s="1"/>
  <c r="O888" i="48" s="1"/>
  <c r="P888" i="48" s="1"/>
  <c r="K888" i="48"/>
  <c r="J888" i="48"/>
  <c r="H888" i="48"/>
  <c r="I888" i="48" s="1"/>
  <c r="W887" i="48"/>
  <c r="V887" i="48"/>
  <c r="T887" i="48"/>
  <c r="S887" i="48"/>
  <c r="R887" i="48"/>
  <c r="Q887" i="48"/>
  <c r="L887" i="48"/>
  <c r="M887" i="48" s="1"/>
  <c r="N887" i="48" s="1"/>
  <c r="O887" i="48" s="1"/>
  <c r="P887" i="48" s="1"/>
  <c r="K887" i="48"/>
  <c r="J887" i="48"/>
  <c r="H887" i="48"/>
  <c r="X887" i="48" s="1"/>
  <c r="AA887" i="48" s="1"/>
  <c r="W886" i="48"/>
  <c r="V886" i="48"/>
  <c r="T886" i="48"/>
  <c r="S886" i="48"/>
  <c r="R886" i="48"/>
  <c r="Q886" i="48"/>
  <c r="L886" i="48"/>
  <c r="M886" i="48" s="1"/>
  <c r="N886" i="48" s="1"/>
  <c r="O886" i="48" s="1"/>
  <c r="P886" i="48" s="1"/>
  <c r="K886" i="48"/>
  <c r="J886" i="48"/>
  <c r="H886" i="48"/>
  <c r="X886" i="48" s="1"/>
  <c r="AA886" i="48" s="1"/>
  <c r="W885" i="48"/>
  <c r="V885" i="48"/>
  <c r="T885" i="48"/>
  <c r="S885" i="48"/>
  <c r="R885" i="48"/>
  <c r="Q885" i="48"/>
  <c r="L885" i="48"/>
  <c r="M885" i="48" s="1"/>
  <c r="N885" i="48" s="1"/>
  <c r="O885" i="48" s="1"/>
  <c r="P885" i="48" s="1"/>
  <c r="K885" i="48"/>
  <c r="J885" i="48"/>
  <c r="H885" i="48"/>
  <c r="I885" i="48" s="1"/>
  <c r="W884" i="48"/>
  <c r="V884" i="48"/>
  <c r="T884" i="48"/>
  <c r="S884" i="48"/>
  <c r="R884" i="48"/>
  <c r="Q884" i="48"/>
  <c r="L884" i="48"/>
  <c r="M884" i="48" s="1"/>
  <c r="N884" i="48" s="1"/>
  <c r="O884" i="48" s="1"/>
  <c r="P884" i="48" s="1"/>
  <c r="K884" i="48"/>
  <c r="J884" i="48"/>
  <c r="H884" i="48"/>
  <c r="I884" i="48" s="1"/>
  <c r="W883" i="48"/>
  <c r="V883" i="48"/>
  <c r="T883" i="48"/>
  <c r="S883" i="48"/>
  <c r="R883" i="48"/>
  <c r="Q883" i="48"/>
  <c r="L883" i="48"/>
  <c r="M883" i="48" s="1"/>
  <c r="N883" i="48" s="1"/>
  <c r="O883" i="48" s="1"/>
  <c r="P883" i="48" s="1"/>
  <c r="K883" i="48"/>
  <c r="J883" i="48"/>
  <c r="H883" i="48"/>
  <c r="X883" i="48" s="1"/>
  <c r="AA883" i="48" s="1"/>
  <c r="W882" i="48"/>
  <c r="V882" i="48"/>
  <c r="T882" i="48"/>
  <c r="S882" i="48"/>
  <c r="R882" i="48"/>
  <c r="Q882" i="48"/>
  <c r="L882" i="48"/>
  <c r="M882" i="48" s="1"/>
  <c r="N882" i="48" s="1"/>
  <c r="O882" i="48" s="1"/>
  <c r="P882" i="48" s="1"/>
  <c r="K882" i="48"/>
  <c r="J882" i="48"/>
  <c r="H882" i="48"/>
  <c r="X882" i="48" s="1"/>
  <c r="AA882" i="48" s="1"/>
  <c r="W881" i="48"/>
  <c r="V881" i="48"/>
  <c r="T881" i="48"/>
  <c r="S881" i="48"/>
  <c r="R881" i="48"/>
  <c r="Q881" i="48"/>
  <c r="L881" i="48"/>
  <c r="M881" i="48" s="1"/>
  <c r="N881" i="48" s="1"/>
  <c r="O881" i="48" s="1"/>
  <c r="P881" i="48" s="1"/>
  <c r="K881" i="48"/>
  <c r="J881" i="48"/>
  <c r="H881" i="48"/>
  <c r="I881" i="48" s="1"/>
  <c r="W880" i="48"/>
  <c r="V880" i="48"/>
  <c r="T880" i="48"/>
  <c r="S880" i="48"/>
  <c r="R880" i="48"/>
  <c r="Q880" i="48"/>
  <c r="L880" i="48"/>
  <c r="M880" i="48" s="1"/>
  <c r="N880" i="48" s="1"/>
  <c r="O880" i="48" s="1"/>
  <c r="P880" i="48" s="1"/>
  <c r="K880" i="48"/>
  <c r="J880" i="48"/>
  <c r="H880" i="48"/>
  <c r="I880" i="48" s="1"/>
  <c r="W879" i="48"/>
  <c r="V879" i="48"/>
  <c r="T879" i="48"/>
  <c r="S879" i="48"/>
  <c r="R879" i="48"/>
  <c r="Q879" i="48"/>
  <c r="L879" i="48"/>
  <c r="M879" i="48" s="1"/>
  <c r="N879" i="48" s="1"/>
  <c r="O879" i="48" s="1"/>
  <c r="P879" i="48" s="1"/>
  <c r="K879" i="48"/>
  <c r="J879" i="48"/>
  <c r="H879" i="48"/>
  <c r="W878" i="48"/>
  <c r="V878" i="48"/>
  <c r="T878" i="48"/>
  <c r="S878" i="48"/>
  <c r="R878" i="48"/>
  <c r="Q878" i="48"/>
  <c r="L878" i="48"/>
  <c r="M878" i="48" s="1"/>
  <c r="N878" i="48" s="1"/>
  <c r="O878" i="48" s="1"/>
  <c r="P878" i="48" s="1"/>
  <c r="K878" i="48"/>
  <c r="J878" i="48"/>
  <c r="H878" i="48"/>
  <c r="X878" i="48" s="1"/>
  <c r="AA878" i="48" s="1"/>
  <c r="W877" i="48"/>
  <c r="V877" i="48"/>
  <c r="T877" i="48"/>
  <c r="S877" i="48"/>
  <c r="R877" i="48"/>
  <c r="Q877" i="48"/>
  <c r="L877" i="48"/>
  <c r="M877" i="48" s="1"/>
  <c r="N877" i="48" s="1"/>
  <c r="O877" i="48" s="1"/>
  <c r="P877" i="48" s="1"/>
  <c r="K877" i="48"/>
  <c r="J877" i="48"/>
  <c r="H877" i="48"/>
  <c r="I877" i="48" s="1"/>
  <c r="W876" i="48"/>
  <c r="V876" i="48"/>
  <c r="T876" i="48"/>
  <c r="S876" i="48"/>
  <c r="R876" i="48"/>
  <c r="Q876" i="48"/>
  <c r="L876" i="48"/>
  <c r="M876" i="48" s="1"/>
  <c r="N876" i="48" s="1"/>
  <c r="O876" i="48" s="1"/>
  <c r="P876" i="48" s="1"/>
  <c r="K876" i="48"/>
  <c r="J876" i="48"/>
  <c r="H876" i="48"/>
  <c r="I876" i="48" s="1"/>
  <c r="W875" i="48"/>
  <c r="V875" i="48"/>
  <c r="T875" i="48"/>
  <c r="S875" i="48"/>
  <c r="R875" i="48"/>
  <c r="Q875" i="48"/>
  <c r="L875" i="48"/>
  <c r="M875" i="48" s="1"/>
  <c r="N875" i="48" s="1"/>
  <c r="O875" i="48" s="1"/>
  <c r="P875" i="48" s="1"/>
  <c r="K875" i="48"/>
  <c r="J875" i="48"/>
  <c r="H875" i="48"/>
  <c r="X875" i="48" s="1"/>
  <c r="AA875" i="48" s="1"/>
  <c r="W874" i="48"/>
  <c r="V874" i="48"/>
  <c r="T874" i="48"/>
  <c r="S874" i="48"/>
  <c r="R874" i="48"/>
  <c r="Q874" i="48"/>
  <c r="L874" i="48"/>
  <c r="M874" i="48" s="1"/>
  <c r="N874" i="48" s="1"/>
  <c r="O874" i="48" s="1"/>
  <c r="P874" i="48" s="1"/>
  <c r="K874" i="48"/>
  <c r="J874" i="48"/>
  <c r="H874" i="48"/>
  <c r="X874" i="48" s="1"/>
  <c r="AA874" i="48" s="1"/>
  <c r="W873" i="48"/>
  <c r="V873" i="48"/>
  <c r="T873" i="48"/>
  <c r="S873" i="48"/>
  <c r="R873" i="48"/>
  <c r="Q873" i="48"/>
  <c r="L873" i="48"/>
  <c r="M873" i="48" s="1"/>
  <c r="N873" i="48" s="1"/>
  <c r="O873" i="48" s="1"/>
  <c r="P873" i="48" s="1"/>
  <c r="K873" i="48"/>
  <c r="J873" i="48"/>
  <c r="H873" i="48"/>
  <c r="I873" i="48" s="1"/>
  <c r="W872" i="48"/>
  <c r="V872" i="48"/>
  <c r="T872" i="48"/>
  <c r="S872" i="48"/>
  <c r="R872" i="48"/>
  <c r="Q872" i="48"/>
  <c r="L872" i="48"/>
  <c r="M872" i="48" s="1"/>
  <c r="N872" i="48" s="1"/>
  <c r="O872" i="48" s="1"/>
  <c r="P872" i="48" s="1"/>
  <c r="K872" i="48"/>
  <c r="J872" i="48"/>
  <c r="H872" i="48"/>
  <c r="I872" i="48" s="1"/>
  <c r="W871" i="48"/>
  <c r="V871" i="48"/>
  <c r="T871" i="48"/>
  <c r="S871" i="48"/>
  <c r="R871" i="48"/>
  <c r="Q871" i="48"/>
  <c r="L871" i="48"/>
  <c r="M871" i="48" s="1"/>
  <c r="N871" i="48" s="1"/>
  <c r="O871" i="48" s="1"/>
  <c r="P871" i="48" s="1"/>
  <c r="K871" i="48"/>
  <c r="J871" i="48"/>
  <c r="H871" i="48"/>
  <c r="X871" i="48" s="1"/>
  <c r="AA871" i="48" s="1"/>
  <c r="W870" i="48"/>
  <c r="V870" i="48"/>
  <c r="T870" i="48"/>
  <c r="S870" i="48"/>
  <c r="R870" i="48"/>
  <c r="Q870" i="48"/>
  <c r="L870" i="48"/>
  <c r="M870" i="48" s="1"/>
  <c r="N870" i="48" s="1"/>
  <c r="O870" i="48" s="1"/>
  <c r="P870" i="48" s="1"/>
  <c r="K870" i="48"/>
  <c r="J870" i="48"/>
  <c r="H870" i="48"/>
  <c r="X870" i="48" s="1"/>
  <c r="AA870" i="48" s="1"/>
  <c r="W869" i="48"/>
  <c r="V869" i="48"/>
  <c r="T869" i="48"/>
  <c r="S869" i="48"/>
  <c r="R869" i="48"/>
  <c r="Q869" i="48"/>
  <c r="L869" i="48"/>
  <c r="M869" i="48" s="1"/>
  <c r="N869" i="48" s="1"/>
  <c r="O869" i="48" s="1"/>
  <c r="P869" i="48" s="1"/>
  <c r="K869" i="48"/>
  <c r="J869" i="48"/>
  <c r="H869" i="48"/>
  <c r="I869" i="48" s="1"/>
  <c r="W868" i="48"/>
  <c r="V868" i="48"/>
  <c r="T868" i="48"/>
  <c r="S868" i="48"/>
  <c r="R868" i="48"/>
  <c r="Q868" i="48"/>
  <c r="L868" i="48"/>
  <c r="M868" i="48" s="1"/>
  <c r="N868" i="48" s="1"/>
  <c r="O868" i="48" s="1"/>
  <c r="P868" i="48" s="1"/>
  <c r="K868" i="48"/>
  <c r="J868" i="48"/>
  <c r="H868" i="48"/>
  <c r="I868" i="48" s="1"/>
  <c r="W867" i="48"/>
  <c r="V867" i="48"/>
  <c r="T867" i="48"/>
  <c r="S867" i="48"/>
  <c r="R867" i="48"/>
  <c r="Q867" i="48"/>
  <c r="L867" i="48"/>
  <c r="M867" i="48" s="1"/>
  <c r="N867" i="48" s="1"/>
  <c r="O867" i="48" s="1"/>
  <c r="P867" i="48" s="1"/>
  <c r="K867" i="48"/>
  <c r="J867" i="48"/>
  <c r="H867" i="48"/>
  <c r="X867" i="48" s="1"/>
  <c r="AA867" i="48" s="1"/>
  <c r="W866" i="48"/>
  <c r="V866" i="48"/>
  <c r="T866" i="48"/>
  <c r="S866" i="48"/>
  <c r="R866" i="48"/>
  <c r="Q866" i="48"/>
  <c r="L866" i="48"/>
  <c r="M866" i="48" s="1"/>
  <c r="N866" i="48" s="1"/>
  <c r="O866" i="48" s="1"/>
  <c r="P866" i="48" s="1"/>
  <c r="K866" i="48"/>
  <c r="J866" i="48"/>
  <c r="H866" i="48"/>
  <c r="W865" i="48"/>
  <c r="V865" i="48"/>
  <c r="T865" i="48"/>
  <c r="S865" i="48"/>
  <c r="R865" i="48"/>
  <c r="Q865" i="48"/>
  <c r="L865" i="48"/>
  <c r="M865" i="48" s="1"/>
  <c r="N865" i="48" s="1"/>
  <c r="O865" i="48" s="1"/>
  <c r="P865" i="48" s="1"/>
  <c r="K865" i="48"/>
  <c r="J865" i="48"/>
  <c r="H865" i="48"/>
  <c r="W864" i="48"/>
  <c r="V864" i="48"/>
  <c r="T864" i="48"/>
  <c r="S864" i="48"/>
  <c r="R864" i="48"/>
  <c r="Q864" i="48"/>
  <c r="L864" i="48"/>
  <c r="M864" i="48" s="1"/>
  <c r="N864" i="48" s="1"/>
  <c r="O864" i="48" s="1"/>
  <c r="P864" i="48" s="1"/>
  <c r="K864" i="48"/>
  <c r="J864" i="48"/>
  <c r="H864" i="48"/>
  <c r="W863" i="48"/>
  <c r="V863" i="48"/>
  <c r="T863" i="48"/>
  <c r="S863" i="48"/>
  <c r="R863" i="48"/>
  <c r="Q863" i="48"/>
  <c r="L863" i="48"/>
  <c r="M863" i="48" s="1"/>
  <c r="N863" i="48" s="1"/>
  <c r="O863" i="48" s="1"/>
  <c r="P863" i="48" s="1"/>
  <c r="K863" i="48"/>
  <c r="J863" i="48"/>
  <c r="H863" i="48"/>
  <c r="X863" i="48" s="1"/>
  <c r="AA863" i="48" s="1"/>
  <c r="W862" i="48"/>
  <c r="V862" i="48"/>
  <c r="T862" i="48"/>
  <c r="S862" i="48"/>
  <c r="R862" i="48"/>
  <c r="Q862" i="48"/>
  <c r="L862" i="48"/>
  <c r="M862" i="48" s="1"/>
  <c r="N862" i="48" s="1"/>
  <c r="O862" i="48" s="1"/>
  <c r="P862" i="48" s="1"/>
  <c r="K862" i="48"/>
  <c r="J862" i="48"/>
  <c r="H862" i="48"/>
  <c r="W861" i="48"/>
  <c r="V861" i="48"/>
  <c r="T861" i="48"/>
  <c r="S861" i="48"/>
  <c r="R861" i="48"/>
  <c r="Q861" i="48"/>
  <c r="L861" i="48"/>
  <c r="M861" i="48" s="1"/>
  <c r="N861" i="48" s="1"/>
  <c r="O861" i="48" s="1"/>
  <c r="P861" i="48" s="1"/>
  <c r="K861" i="48"/>
  <c r="J861" i="48"/>
  <c r="H861" i="48"/>
  <c r="W860" i="48"/>
  <c r="V860" i="48"/>
  <c r="T860" i="48"/>
  <c r="S860" i="48"/>
  <c r="R860" i="48"/>
  <c r="Q860" i="48"/>
  <c r="L860" i="48"/>
  <c r="M860" i="48" s="1"/>
  <c r="N860" i="48" s="1"/>
  <c r="O860" i="48" s="1"/>
  <c r="P860" i="48" s="1"/>
  <c r="K860" i="48"/>
  <c r="J860" i="48"/>
  <c r="H860" i="48"/>
  <c r="I860" i="48" s="1"/>
  <c r="W859" i="48"/>
  <c r="V859" i="48"/>
  <c r="T859" i="48"/>
  <c r="S859" i="48"/>
  <c r="R859" i="48"/>
  <c r="Q859" i="48"/>
  <c r="L859" i="48"/>
  <c r="M859" i="48" s="1"/>
  <c r="N859" i="48" s="1"/>
  <c r="O859" i="48" s="1"/>
  <c r="P859" i="48" s="1"/>
  <c r="K859" i="48"/>
  <c r="J859" i="48"/>
  <c r="H859" i="48"/>
  <c r="X859" i="48" s="1"/>
  <c r="AA859" i="48" s="1"/>
  <c r="W858" i="48"/>
  <c r="V858" i="48"/>
  <c r="T858" i="48"/>
  <c r="S858" i="48"/>
  <c r="R858" i="48"/>
  <c r="Q858" i="48"/>
  <c r="L858" i="48"/>
  <c r="M858" i="48" s="1"/>
  <c r="N858" i="48" s="1"/>
  <c r="O858" i="48" s="1"/>
  <c r="P858" i="48" s="1"/>
  <c r="K858" i="48"/>
  <c r="J858" i="48"/>
  <c r="H858" i="48"/>
  <c r="W857" i="48"/>
  <c r="V857" i="48"/>
  <c r="T857" i="48"/>
  <c r="S857" i="48"/>
  <c r="R857" i="48"/>
  <c r="Q857" i="48"/>
  <c r="L857" i="48"/>
  <c r="M857" i="48" s="1"/>
  <c r="N857" i="48" s="1"/>
  <c r="O857" i="48" s="1"/>
  <c r="P857" i="48" s="1"/>
  <c r="K857" i="48"/>
  <c r="J857" i="48"/>
  <c r="H857" i="48"/>
  <c r="I857" i="48" s="1"/>
  <c r="W856" i="48"/>
  <c r="V856" i="48"/>
  <c r="T856" i="48"/>
  <c r="S856" i="48"/>
  <c r="R856" i="48"/>
  <c r="Q856" i="48"/>
  <c r="L856" i="48"/>
  <c r="M856" i="48" s="1"/>
  <c r="N856" i="48" s="1"/>
  <c r="O856" i="48" s="1"/>
  <c r="P856" i="48" s="1"/>
  <c r="K856" i="48"/>
  <c r="J856" i="48"/>
  <c r="H856" i="48"/>
  <c r="I856" i="48" s="1"/>
  <c r="W855" i="48"/>
  <c r="V855" i="48"/>
  <c r="T855" i="48"/>
  <c r="S855" i="48"/>
  <c r="R855" i="48"/>
  <c r="Q855" i="48"/>
  <c r="L855" i="48"/>
  <c r="M855" i="48" s="1"/>
  <c r="N855" i="48" s="1"/>
  <c r="O855" i="48" s="1"/>
  <c r="P855" i="48" s="1"/>
  <c r="K855" i="48"/>
  <c r="J855" i="48"/>
  <c r="H855" i="48"/>
  <c r="X855" i="48" s="1"/>
  <c r="AA855" i="48" s="1"/>
  <c r="W854" i="48"/>
  <c r="V854" i="48"/>
  <c r="T854" i="48"/>
  <c r="S854" i="48"/>
  <c r="R854" i="48"/>
  <c r="Q854" i="48"/>
  <c r="L854" i="48"/>
  <c r="M854" i="48" s="1"/>
  <c r="N854" i="48" s="1"/>
  <c r="O854" i="48" s="1"/>
  <c r="P854" i="48" s="1"/>
  <c r="K854" i="48"/>
  <c r="J854" i="48"/>
  <c r="H854" i="48"/>
  <c r="I854" i="48" s="1"/>
  <c r="W853" i="48"/>
  <c r="V853" i="48"/>
  <c r="T853" i="48"/>
  <c r="S853" i="48"/>
  <c r="R853" i="48"/>
  <c r="Q853" i="48"/>
  <c r="L853" i="48"/>
  <c r="M853" i="48" s="1"/>
  <c r="N853" i="48" s="1"/>
  <c r="O853" i="48" s="1"/>
  <c r="P853" i="48" s="1"/>
  <c r="K853" i="48"/>
  <c r="J853" i="48"/>
  <c r="H853" i="48"/>
  <c r="X853" i="48" s="1"/>
  <c r="AA853" i="48" s="1"/>
  <c r="W852" i="48"/>
  <c r="V852" i="48"/>
  <c r="T852" i="48"/>
  <c r="S852" i="48"/>
  <c r="R852" i="48"/>
  <c r="Q852" i="48"/>
  <c r="L852" i="48"/>
  <c r="M852" i="48" s="1"/>
  <c r="N852" i="48" s="1"/>
  <c r="O852" i="48" s="1"/>
  <c r="P852" i="48" s="1"/>
  <c r="K852" i="48"/>
  <c r="J852" i="48"/>
  <c r="H852" i="48"/>
  <c r="X852" i="48" s="1"/>
  <c r="AA852" i="48" s="1"/>
  <c r="W851" i="48"/>
  <c r="V851" i="48"/>
  <c r="T851" i="48"/>
  <c r="S851" i="48"/>
  <c r="R851" i="48"/>
  <c r="Q851" i="48"/>
  <c r="L851" i="48"/>
  <c r="M851" i="48" s="1"/>
  <c r="N851" i="48" s="1"/>
  <c r="O851" i="48" s="1"/>
  <c r="P851" i="48" s="1"/>
  <c r="K851" i="48"/>
  <c r="J851" i="48"/>
  <c r="H851" i="48"/>
  <c r="I851" i="48" s="1"/>
  <c r="W850" i="48"/>
  <c r="V850" i="48"/>
  <c r="T850" i="48"/>
  <c r="S850" i="48"/>
  <c r="R850" i="48"/>
  <c r="Q850" i="48"/>
  <c r="L850" i="48"/>
  <c r="M850" i="48" s="1"/>
  <c r="N850" i="48" s="1"/>
  <c r="O850" i="48" s="1"/>
  <c r="P850" i="48" s="1"/>
  <c r="K850" i="48"/>
  <c r="J850" i="48"/>
  <c r="H850" i="48"/>
  <c r="I850" i="48" s="1"/>
  <c r="W849" i="48"/>
  <c r="V849" i="48"/>
  <c r="T849" i="48"/>
  <c r="S849" i="48"/>
  <c r="R849" i="48"/>
  <c r="Q849" i="48"/>
  <c r="L849" i="48"/>
  <c r="M849" i="48" s="1"/>
  <c r="N849" i="48" s="1"/>
  <c r="O849" i="48" s="1"/>
  <c r="P849" i="48" s="1"/>
  <c r="K849" i="48"/>
  <c r="J849" i="48"/>
  <c r="H849" i="48"/>
  <c r="X849" i="48" s="1"/>
  <c r="AA849" i="48" s="1"/>
  <c r="W848" i="48"/>
  <c r="V848" i="48"/>
  <c r="T848" i="48"/>
  <c r="S848" i="48"/>
  <c r="R848" i="48"/>
  <c r="Q848" i="48"/>
  <c r="L848" i="48"/>
  <c r="M848" i="48" s="1"/>
  <c r="N848" i="48" s="1"/>
  <c r="O848" i="48" s="1"/>
  <c r="P848" i="48" s="1"/>
  <c r="K848" i="48"/>
  <c r="J848" i="48"/>
  <c r="H848" i="48"/>
  <c r="W847" i="48"/>
  <c r="V847" i="48"/>
  <c r="T847" i="48"/>
  <c r="S847" i="48"/>
  <c r="R847" i="48"/>
  <c r="Q847" i="48"/>
  <c r="L847" i="48"/>
  <c r="M847" i="48" s="1"/>
  <c r="N847" i="48" s="1"/>
  <c r="O847" i="48" s="1"/>
  <c r="P847" i="48" s="1"/>
  <c r="K847" i="48"/>
  <c r="J847" i="48"/>
  <c r="H847" i="48"/>
  <c r="I847" i="48" s="1"/>
  <c r="W846" i="48"/>
  <c r="V846" i="48"/>
  <c r="T846" i="48"/>
  <c r="S846" i="48"/>
  <c r="R846" i="48"/>
  <c r="Q846" i="48"/>
  <c r="L846" i="48"/>
  <c r="M846" i="48" s="1"/>
  <c r="N846" i="48" s="1"/>
  <c r="O846" i="48" s="1"/>
  <c r="P846" i="48" s="1"/>
  <c r="K846" i="48"/>
  <c r="J846" i="48"/>
  <c r="H846" i="48"/>
  <c r="I846" i="48" s="1"/>
  <c r="W845" i="48"/>
  <c r="V845" i="48"/>
  <c r="T845" i="48"/>
  <c r="S845" i="48"/>
  <c r="R845" i="48"/>
  <c r="Q845" i="48"/>
  <c r="L845" i="48"/>
  <c r="M845" i="48" s="1"/>
  <c r="N845" i="48" s="1"/>
  <c r="O845" i="48" s="1"/>
  <c r="P845" i="48" s="1"/>
  <c r="K845" i="48"/>
  <c r="J845" i="48"/>
  <c r="H845" i="48"/>
  <c r="X845" i="48" s="1"/>
  <c r="AA845" i="48" s="1"/>
  <c r="W844" i="48"/>
  <c r="V844" i="48"/>
  <c r="T844" i="48"/>
  <c r="S844" i="48"/>
  <c r="R844" i="48"/>
  <c r="Q844" i="48"/>
  <c r="L844" i="48"/>
  <c r="M844" i="48" s="1"/>
  <c r="N844" i="48" s="1"/>
  <c r="O844" i="48" s="1"/>
  <c r="P844" i="48" s="1"/>
  <c r="K844" i="48"/>
  <c r="J844" i="48"/>
  <c r="H844" i="48"/>
  <c r="X844" i="48" s="1"/>
  <c r="AA844" i="48" s="1"/>
  <c r="W843" i="48"/>
  <c r="V843" i="48"/>
  <c r="T843" i="48"/>
  <c r="S843" i="48"/>
  <c r="R843" i="48"/>
  <c r="Q843" i="48"/>
  <c r="L843" i="48"/>
  <c r="M843" i="48" s="1"/>
  <c r="N843" i="48" s="1"/>
  <c r="O843" i="48" s="1"/>
  <c r="P843" i="48" s="1"/>
  <c r="K843" i="48"/>
  <c r="J843" i="48"/>
  <c r="H843" i="48"/>
  <c r="I843" i="48" s="1"/>
  <c r="W842" i="48"/>
  <c r="V842" i="48"/>
  <c r="T842" i="48"/>
  <c r="S842" i="48"/>
  <c r="R842" i="48"/>
  <c r="Q842" i="48"/>
  <c r="L842" i="48"/>
  <c r="M842" i="48" s="1"/>
  <c r="N842" i="48" s="1"/>
  <c r="O842" i="48" s="1"/>
  <c r="P842" i="48" s="1"/>
  <c r="K842" i="48"/>
  <c r="J842" i="48"/>
  <c r="H842" i="48"/>
  <c r="I842" i="48" s="1"/>
  <c r="W841" i="48"/>
  <c r="V841" i="48"/>
  <c r="T841" i="48"/>
  <c r="S841" i="48"/>
  <c r="R841" i="48"/>
  <c r="Q841" i="48"/>
  <c r="L841" i="48"/>
  <c r="M841" i="48" s="1"/>
  <c r="N841" i="48" s="1"/>
  <c r="O841" i="48" s="1"/>
  <c r="P841" i="48" s="1"/>
  <c r="K841" i="48"/>
  <c r="J841" i="48"/>
  <c r="H841" i="48"/>
  <c r="W840" i="48"/>
  <c r="V840" i="48"/>
  <c r="T840" i="48"/>
  <c r="S840" i="48"/>
  <c r="R840" i="48"/>
  <c r="Q840" i="48"/>
  <c r="L840" i="48"/>
  <c r="M840" i="48" s="1"/>
  <c r="N840" i="48" s="1"/>
  <c r="O840" i="48" s="1"/>
  <c r="P840" i="48" s="1"/>
  <c r="K840" i="48"/>
  <c r="J840" i="48"/>
  <c r="H840" i="48"/>
  <c r="X840" i="48" s="1"/>
  <c r="AA840" i="48" s="1"/>
  <c r="W839" i="48"/>
  <c r="V839" i="48"/>
  <c r="T839" i="48"/>
  <c r="S839" i="48"/>
  <c r="R839" i="48"/>
  <c r="Q839" i="48"/>
  <c r="L839" i="48"/>
  <c r="M839" i="48" s="1"/>
  <c r="N839" i="48" s="1"/>
  <c r="O839" i="48" s="1"/>
  <c r="P839" i="48" s="1"/>
  <c r="K839" i="48"/>
  <c r="J839" i="48"/>
  <c r="H839" i="48"/>
  <c r="I839" i="48" s="1"/>
  <c r="W838" i="48"/>
  <c r="V838" i="48"/>
  <c r="T838" i="48"/>
  <c r="S838" i="48"/>
  <c r="R838" i="48"/>
  <c r="Q838" i="48"/>
  <c r="L838" i="48"/>
  <c r="M838" i="48" s="1"/>
  <c r="N838" i="48" s="1"/>
  <c r="O838" i="48" s="1"/>
  <c r="P838" i="48" s="1"/>
  <c r="K838" i="48"/>
  <c r="J838" i="48"/>
  <c r="H838" i="48"/>
  <c r="I838" i="48" s="1"/>
  <c r="W837" i="48"/>
  <c r="V837" i="48"/>
  <c r="T837" i="48"/>
  <c r="S837" i="48"/>
  <c r="R837" i="48"/>
  <c r="Q837" i="48"/>
  <c r="L837" i="48"/>
  <c r="M837" i="48" s="1"/>
  <c r="N837" i="48" s="1"/>
  <c r="O837" i="48" s="1"/>
  <c r="P837" i="48" s="1"/>
  <c r="K837" i="48"/>
  <c r="J837" i="48"/>
  <c r="H837" i="48"/>
  <c r="I837" i="48" s="1"/>
  <c r="W836" i="48"/>
  <c r="V836" i="48"/>
  <c r="T836" i="48"/>
  <c r="S836" i="48"/>
  <c r="R836" i="48"/>
  <c r="Q836" i="48"/>
  <c r="L836" i="48"/>
  <c r="M836" i="48" s="1"/>
  <c r="N836" i="48" s="1"/>
  <c r="O836" i="48" s="1"/>
  <c r="P836" i="48" s="1"/>
  <c r="K836" i="48"/>
  <c r="J836" i="48"/>
  <c r="H836" i="48"/>
  <c r="X836" i="48" s="1"/>
  <c r="AA836" i="48" s="1"/>
  <c r="W835" i="48"/>
  <c r="V835" i="48"/>
  <c r="T835" i="48"/>
  <c r="S835" i="48"/>
  <c r="R835" i="48"/>
  <c r="Q835" i="48"/>
  <c r="L835" i="48"/>
  <c r="M835" i="48" s="1"/>
  <c r="N835" i="48" s="1"/>
  <c r="O835" i="48" s="1"/>
  <c r="P835" i="48" s="1"/>
  <c r="K835" i="48"/>
  <c r="J835" i="48"/>
  <c r="H835" i="48"/>
  <c r="I835" i="48" s="1"/>
  <c r="W834" i="48"/>
  <c r="V834" i="48"/>
  <c r="T834" i="48"/>
  <c r="S834" i="48"/>
  <c r="R834" i="48"/>
  <c r="Q834" i="48"/>
  <c r="L834" i="48"/>
  <c r="M834" i="48" s="1"/>
  <c r="N834" i="48" s="1"/>
  <c r="O834" i="48" s="1"/>
  <c r="P834" i="48" s="1"/>
  <c r="K834" i="48"/>
  <c r="J834" i="48"/>
  <c r="H834" i="48"/>
  <c r="I834" i="48" s="1"/>
  <c r="W833" i="48"/>
  <c r="V833" i="48"/>
  <c r="T833" i="48"/>
  <c r="S833" i="48"/>
  <c r="R833" i="48"/>
  <c r="Q833" i="48"/>
  <c r="L833" i="48"/>
  <c r="M833" i="48" s="1"/>
  <c r="N833" i="48" s="1"/>
  <c r="O833" i="48" s="1"/>
  <c r="P833" i="48" s="1"/>
  <c r="K833" i="48"/>
  <c r="J833" i="48"/>
  <c r="H833" i="48"/>
  <c r="W832" i="48"/>
  <c r="V832" i="48"/>
  <c r="T832" i="48"/>
  <c r="S832" i="48"/>
  <c r="R832" i="48"/>
  <c r="Q832" i="48"/>
  <c r="L832" i="48"/>
  <c r="M832" i="48" s="1"/>
  <c r="N832" i="48" s="1"/>
  <c r="O832" i="48" s="1"/>
  <c r="P832" i="48" s="1"/>
  <c r="K832" i="48"/>
  <c r="J832" i="48"/>
  <c r="H832" i="48"/>
  <c r="I832" i="48" s="1"/>
  <c r="W831" i="48"/>
  <c r="V831" i="48"/>
  <c r="T831" i="48"/>
  <c r="S831" i="48"/>
  <c r="R831" i="48"/>
  <c r="Q831" i="48"/>
  <c r="L831" i="48"/>
  <c r="M831" i="48" s="1"/>
  <c r="N831" i="48" s="1"/>
  <c r="O831" i="48" s="1"/>
  <c r="P831" i="48" s="1"/>
  <c r="K831" i="48"/>
  <c r="J831" i="48"/>
  <c r="H831" i="48"/>
  <c r="I831" i="48" s="1"/>
  <c r="W830" i="48"/>
  <c r="V830" i="48"/>
  <c r="T830" i="48"/>
  <c r="S830" i="48"/>
  <c r="R830" i="48"/>
  <c r="Q830" i="48"/>
  <c r="L830" i="48"/>
  <c r="M830" i="48" s="1"/>
  <c r="N830" i="48" s="1"/>
  <c r="O830" i="48" s="1"/>
  <c r="P830" i="48" s="1"/>
  <c r="K830" i="48"/>
  <c r="J830" i="48"/>
  <c r="H830" i="48"/>
  <c r="I830" i="48" s="1"/>
  <c r="W829" i="48"/>
  <c r="V829" i="48"/>
  <c r="T829" i="48"/>
  <c r="S829" i="48"/>
  <c r="R829" i="48"/>
  <c r="Q829" i="48"/>
  <c r="L829" i="48"/>
  <c r="M829" i="48" s="1"/>
  <c r="N829" i="48" s="1"/>
  <c r="O829" i="48" s="1"/>
  <c r="P829" i="48" s="1"/>
  <c r="K829" i="48"/>
  <c r="J829" i="48"/>
  <c r="H829" i="48"/>
  <c r="X829" i="48" s="1"/>
  <c r="AA829" i="48" s="1"/>
  <c r="W828" i="48"/>
  <c r="V828" i="48"/>
  <c r="T828" i="48"/>
  <c r="S828" i="48"/>
  <c r="R828" i="48"/>
  <c r="Q828" i="48"/>
  <c r="L828" i="48"/>
  <c r="M828" i="48" s="1"/>
  <c r="N828" i="48" s="1"/>
  <c r="O828" i="48" s="1"/>
  <c r="P828" i="48" s="1"/>
  <c r="K828" i="48"/>
  <c r="J828" i="48"/>
  <c r="H828" i="48"/>
  <c r="I828" i="48" s="1"/>
  <c r="W827" i="48"/>
  <c r="V827" i="48"/>
  <c r="T827" i="48"/>
  <c r="S827" i="48"/>
  <c r="R827" i="48"/>
  <c r="Q827" i="48"/>
  <c r="L827" i="48"/>
  <c r="M827" i="48" s="1"/>
  <c r="N827" i="48" s="1"/>
  <c r="O827" i="48" s="1"/>
  <c r="P827" i="48" s="1"/>
  <c r="K827" i="48"/>
  <c r="J827" i="48"/>
  <c r="H827" i="48"/>
  <c r="I827" i="48" s="1"/>
  <c r="W826" i="48"/>
  <c r="V826" i="48"/>
  <c r="T826" i="48"/>
  <c r="S826" i="48"/>
  <c r="R826" i="48"/>
  <c r="Q826" i="48"/>
  <c r="L826" i="48"/>
  <c r="M826" i="48" s="1"/>
  <c r="N826" i="48" s="1"/>
  <c r="O826" i="48" s="1"/>
  <c r="P826" i="48" s="1"/>
  <c r="K826" i="48"/>
  <c r="J826" i="48"/>
  <c r="H826" i="48"/>
  <c r="I826" i="48" s="1"/>
  <c r="W825" i="48"/>
  <c r="V825" i="48"/>
  <c r="T825" i="48"/>
  <c r="S825" i="48"/>
  <c r="R825" i="48"/>
  <c r="Q825" i="48"/>
  <c r="L825" i="48"/>
  <c r="M825" i="48" s="1"/>
  <c r="N825" i="48" s="1"/>
  <c r="O825" i="48" s="1"/>
  <c r="P825" i="48" s="1"/>
  <c r="K825" i="48"/>
  <c r="J825" i="48"/>
  <c r="H825" i="48"/>
  <c r="X825" i="48" s="1"/>
  <c r="AA825" i="48" s="1"/>
  <c r="W824" i="48"/>
  <c r="V824" i="48"/>
  <c r="T824" i="48"/>
  <c r="S824" i="48"/>
  <c r="R824" i="48"/>
  <c r="Q824" i="48"/>
  <c r="L824" i="48"/>
  <c r="M824" i="48" s="1"/>
  <c r="N824" i="48" s="1"/>
  <c r="O824" i="48" s="1"/>
  <c r="P824" i="48" s="1"/>
  <c r="K824" i="48"/>
  <c r="J824" i="48"/>
  <c r="H824" i="48"/>
  <c r="I824" i="48" s="1"/>
  <c r="W823" i="48"/>
  <c r="V823" i="48"/>
  <c r="T823" i="48"/>
  <c r="S823" i="48"/>
  <c r="R823" i="48"/>
  <c r="Q823" i="48"/>
  <c r="L823" i="48"/>
  <c r="M823" i="48" s="1"/>
  <c r="N823" i="48" s="1"/>
  <c r="O823" i="48" s="1"/>
  <c r="P823" i="48" s="1"/>
  <c r="K823" i="48"/>
  <c r="J823" i="48"/>
  <c r="H823" i="48"/>
  <c r="I823" i="48" s="1"/>
  <c r="W822" i="48"/>
  <c r="V822" i="48"/>
  <c r="T822" i="48"/>
  <c r="S822" i="48"/>
  <c r="R822" i="48"/>
  <c r="Q822" i="48"/>
  <c r="L822" i="48"/>
  <c r="M822" i="48" s="1"/>
  <c r="N822" i="48" s="1"/>
  <c r="O822" i="48" s="1"/>
  <c r="P822" i="48" s="1"/>
  <c r="K822" i="48"/>
  <c r="J822" i="48"/>
  <c r="H822" i="48"/>
  <c r="I822" i="48" s="1"/>
  <c r="W821" i="48"/>
  <c r="V821" i="48"/>
  <c r="T821" i="48"/>
  <c r="S821" i="48"/>
  <c r="R821" i="48"/>
  <c r="Q821" i="48"/>
  <c r="L821" i="48"/>
  <c r="M821" i="48" s="1"/>
  <c r="N821" i="48" s="1"/>
  <c r="O821" i="48" s="1"/>
  <c r="P821" i="48" s="1"/>
  <c r="K821" i="48"/>
  <c r="J821" i="48"/>
  <c r="H821" i="48"/>
  <c r="X821" i="48" s="1"/>
  <c r="AA821" i="48" s="1"/>
  <c r="W820" i="48"/>
  <c r="V820" i="48"/>
  <c r="T820" i="48"/>
  <c r="S820" i="48"/>
  <c r="R820" i="48"/>
  <c r="Q820" i="48"/>
  <c r="L820" i="48"/>
  <c r="M820" i="48" s="1"/>
  <c r="N820" i="48" s="1"/>
  <c r="O820" i="48" s="1"/>
  <c r="P820" i="48" s="1"/>
  <c r="K820" i="48"/>
  <c r="J820" i="48"/>
  <c r="H820" i="48"/>
  <c r="I820" i="48" s="1"/>
  <c r="W819" i="48"/>
  <c r="V819" i="48"/>
  <c r="T819" i="48"/>
  <c r="S819" i="48"/>
  <c r="R819" i="48"/>
  <c r="Q819" i="48"/>
  <c r="L819" i="48"/>
  <c r="M819" i="48" s="1"/>
  <c r="N819" i="48" s="1"/>
  <c r="O819" i="48" s="1"/>
  <c r="P819" i="48" s="1"/>
  <c r="K819" i="48"/>
  <c r="J819" i="48"/>
  <c r="H819" i="48"/>
  <c r="W818" i="48"/>
  <c r="V818" i="48"/>
  <c r="T818" i="48"/>
  <c r="S818" i="48"/>
  <c r="R818" i="48"/>
  <c r="Q818" i="48"/>
  <c r="L818" i="48"/>
  <c r="M818" i="48" s="1"/>
  <c r="N818" i="48" s="1"/>
  <c r="O818" i="48" s="1"/>
  <c r="P818" i="48" s="1"/>
  <c r="K818" i="48"/>
  <c r="J818" i="48"/>
  <c r="H818" i="48"/>
  <c r="W817" i="48"/>
  <c r="V817" i="48"/>
  <c r="T817" i="48"/>
  <c r="S817" i="48"/>
  <c r="R817" i="48"/>
  <c r="Q817" i="48"/>
  <c r="L817" i="48"/>
  <c r="M817" i="48" s="1"/>
  <c r="N817" i="48" s="1"/>
  <c r="O817" i="48" s="1"/>
  <c r="P817" i="48" s="1"/>
  <c r="K817" i="48"/>
  <c r="J817" i="48"/>
  <c r="H817" i="48"/>
  <c r="W816" i="48"/>
  <c r="V816" i="48"/>
  <c r="T816" i="48"/>
  <c r="S816" i="48"/>
  <c r="R816" i="48"/>
  <c r="Q816" i="48"/>
  <c r="L816" i="48"/>
  <c r="M816" i="48" s="1"/>
  <c r="N816" i="48" s="1"/>
  <c r="O816" i="48" s="1"/>
  <c r="P816" i="48" s="1"/>
  <c r="K816" i="48"/>
  <c r="J816" i="48"/>
  <c r="H816" i="48"/>
  <c r="X816" i="48" s="1"/>
  <c r="AA816" i="48" s="1"/>
  <c r="W815" i="48"/>
  <c r="V815" i="48"/>
  <c r="T815" i="48"/>
  <c r="S815" i="48"/>
  <c r="R815" i="48"/>
  <c r="Q815" i="48"/>
  <c r="L815" i="48"/>
  <c r="M815" i="48" s="1"/>
  <c r="N815" i="48" s="1"/>
  <c r="O815" i="48" s="1"/>
  <c r="P815" i="48" s="1"/>
  <c r="K815" i="48"/>
  <c r="J815" i="48"/>
  <c r="H815" i="48"/>
  <c r="W814" i="48"/>
  <c r="V814" i="48"/>
  <c r="T814" i="48"/>
  <c r="S814" i="48"/>
  <c r="R814" i="48"/>
  <c r="Q814" i="48"/>
  <c r="L814" i="48"/>
  <c r="M814" i="48" s="1"/>
  <c r="N814" i="48" s="1"/>
  <c r="O814" i="48" s="1"/>
  <c r="P814" i="48" s="1"/>
  <c r="K814" i="48"/>
  <c r="J814" i="48"/>
  <c r="H814" i="48"/>
  <c r="I814" i="48" s="1"/>
  <c r="W813" i="48"/>
  <c r="V813" i="48"/>
  <c r="T813" i="48"/>
  <c r="S813" i="48"/>
  <c r="R813" i="48"/>
  <c r="Q813" i="48"/>
  <c r="L813" i="48"/>
  <c r="M813" i="48" s="1"/>
  <c r="N813" i="48" s="1"/>
  <c r="O813" i="48" s="1"/>
  <c r="P813" i="48" s="1"/>
  <c r="K813" i="48"/>
  <c r="J813" i="48"/>
  <c r="H813" i="48"/>
  <c r="I813" i="48" s="1"/>
  <c r="W812" i="48"/>
  <c r="V812" i="48"/>
  <c r="T812" i="48"/>
  <c r="S812" i="48"/>
  <c r="R812" i="48"/>
  <c r="Q812" i="48"/>
  <c r="L812" i="48"/>
  <c r="M812" i="48" s="1"/>
  <c r="N812" i="48" s="1"/>
  <c r="O812" i="48" s="1"/>
  <c r="P812" i="48" s="1"/>
  <c r="K812" i="48"/>
  <c r="J812" i="48"/>
  <c r="H812" i="48"/>
  <c r="W811" i="48"/>
  <c r="V811" i="48"/>
  <c r="T811" i="48"/>
  <c r="S811" i="48"/>
  <c r="R811" i="48"/>
  <c r="Q811" i="48"/>
  <c r="L811" i="48"/>
  <c r="M811" i="48" s="1"/>
  <c r="N811" i="48" s="1"/>
  <c r="O811" i="48" s="1"/>
  <c r="P811" i="48" s="1"/>
  <c r="K811" i="48"/>
  <c r="J811" i="48"/>
  <c r="H811" i="48"/>
  <c r="I811" i="48" s="1"/>
  <c r="W810" i="48"/>
  <c r="V810" i="48"/>
  <c r="T810" i="48"/>
  <c r="S810" i="48"/>
  <c r="R810" i="48"/>
  <c r="Q810" i="48"/>
  <c r="L810" i="48"/>
  <c r="M810" i="48" s="1"/>
  <c r="N810" i="48" s="1"/>
  <c r="O810" i="48" s="1"/>
  <c r="P810" i="48" s="1"/>
  <c r="K810" i="48"/>
  <c r="J810" i="48"/>
  <c r="H810" i="48"/>
  <c r="I810" i="48" s="1"/>
  <c r="W809" i="48"/>
  <c r="V809" i="48"/>
  <c r="T809" i="48"/>
  <c r="S809" i="48"/>
  <c r="R809" i="48"/>
  <c r="Q809" i="48"/>
  <c r="L809" i="48"/>
  <c r="M809" i="48" s="1"/>
  <c r="N809" i="48" s="1"/>
  <c r="O809" i="48" s="1"/>
  <c r="P809" i="48" s="1"/>
  <c r="K809" i="48"/>
  <c r="J809" i="48"/>
  <c r="H809" i="48"/>
  <c r="I809" i="48" s="1"/>
  <c r="W808" i="48"/>
  <c r="V808" i="48"/>
  <c r="T808" i="48"/>
  <c r="S808" i="48"/>
  <c r="R808" i="48"/>
  <c r="Q808" i="48"/>
  <c r="L808" i="48"/>
  <c r="M808" i="48" s="1"/>
  <c r="N808" i="48" s="1"/>
  <c r="O808" i="48" s="1"/>
  <c r="P808" i="48" s="1"/>
  <c r="K808" i="48"/>
  <c r="J808" i="48"/>
  <c r="H808" i="48"/>
  <c r="I808" i="48" s="1"/>
  <c r="W807" i="48"/>
  <c r="V807" i="48"/>
  <c r="T807" i="48"/>
  <c r="S807" i="48"/>
  <c r="R807" i="48"/>
  <c r="Q807" i="48"/>
  <c r="L807" i="48"/>
  <c r="M807" i="48" s="1"/>
  <c r="N807" i="48" s="1"/>
  <c r="O807" i="48" s="1"/>
  <c r="P807" i="48" s="1"/>
  <c r="K807" i="48"/>
  <c r="J807" i="48"/>
  <c r="H807" i="48"/>
  <c r="I807" i="48" s="1"/>
  <c r="W806" i="48"/>
  <c r="V806" i="48"/>
  <c r="T806" i="48"/>
  <c r="S806" i="48"/>
  <c r="R806" i="48"/>
  <c r="Q806" i="48"/>
  <c r="L806" i="48"/>
  <c r="M806" i="48" s="1"/>
  <c r="N806" i="48" s="1"/>
  <c r="O806" i="48" s="1"/>
  <c r="P806" i="48" s="1"/>
  <c r="K806" i="48"/>
  <c r="J806" i="48"/>
  <c r="H806" i="48"/>
  <c r="I806" i="48" s="1"/>
  <c r="W805" i="48"/>
  <c r="V805" i="48"/>
  <c r="T805" i="48"/>
  <c r="S805" i="48"/>
  <c r="R805" i="48"/>
  <c r="Q805" i="48"/>
  <c r="L805" i="48"/>
  <c r="M805" i="48" s="1"/>
  <c r="N805" i="48" s="1"/>
  <c r="O805" i="48" s="1"/>
  <c r="P805" i="48" s="1"/>
  <c r="K805" i="48"/>
  <c r="J805" i="48"/>
  <c r="H805" i="48"/>
  <c r="I805" i="48" s="1"/>
  <c r="W804" i="48"/>
  <c r="V804" i="48"/>
  <c r="T804" i="48"/>
  <c r="S804" i="48"/>
  <c r="R804" i="48"/>
  <c r="Q804" i="48"/>
  <c r="L804" i="48"/>
  <c r="M804" i="48" s="1"/>
  <c r="N804" i="48" s="1"/>
  <c r="O804" i="48" s="1"/>
  <c r="P804" i="48" s="1"/>
  <c r="K804" i="48"/>
  <c r="J804" i="48"/>
  <c r="H804" i="48"/>
  <c r="I804" i="48" s="1"/>
  <c r="W803" i="48"/>
  <c r="V803" i="48"/>
  <c r="T803" i="48"/>
  <c r="S803" i="48"/>
  <c r="R803" i="48"/>
  <c r="Q803" i="48"/>
  <c r="L803" i="48"/>
  <c r="M803" i="48" s="1"/>
  <c r="N803" i="48" s="1"/>
  <c r="O803" i="48" s="1"/>
  <c r="P803" i="48" s="1"/>
  <c r="K803" i="48"/>
  <c r="J803" i="48"/>
  <c r="H803" i="48"/>
  <c r="I803" i="48" s="1"/>
  <c r="W802" i="48"/>
  <c r="V802" i="48"/>
  <c r="T802" i="48"/>
  <c r="S802" i="48"/>
  <c r="R802" i="48"/>
  <c r="Q802" i="48"/>
  <c r="L802" i="48"/>
  <c r="M802" i="48" s="1"/>
  <c r="N802" i="48" s="1"/>
  <c r="O802" i="48" s="1"/>
  <c r="P802" i="48" s="1"/>
  <c r="K802" i="48"/>
  <c r="J802" i="48"/>
  <c r="H802" i="48"/>
  <c r="I802" i="48" s="1"/>
  <c r="W801" i="48"/>
  <c r="V801" i="48"/>
  <c r="T801" i="48"/>
  <c r="S801" i="48"/>
  <c r="R801" i="48"/>
  <c r="Q801" i="48"/>
  <c r="L801" i="48"/>
  <c r="M801" i="48" s="1"/>
  <c r="N801" i="48" s="1"/>
  <c r="O801" i="48" s="1"/>
  <c r="P801" i="48" s="1"/>
  <c r="K801" i="48"/>
  <c r="J801" i="48"/>
  <c r="H801" i="48"/>
  <c r="I801" i="48" s="1"/>
  <c r="W800" i="48"/>
  <c r="V800" i="48"/>
  <c r="T800" i="48"/>
  <c r="S800" i="48"/>
  <c r="R800" i="48"/>
  <c r="Q800" i="48"/>
  <c r="L800" i="48"/>
  <c r="M800" i="48" s="1"/>
  <c r="N800" i="48" s="1"/>
  <c r="O800" i="48" s="1"/>
  <c r="P800" i="48" s="1"/>
  <c r="K800" i="48"/>
  <c r="J800" i="48"/>
  <c r="H800" i="48"/>
  <c r="W799" i="48"/>
  <c r="V799" i="48"/>
  <c r="T799" i="48"/>
  <c r="S799" i="48"/>
  <c r="R799" i="48"/>
  <c r="Q799" i="48"/>
  <c r="L799" i="48"/>
  <c r="M799" i="48" s="1"/>
  <c r="N799" i="48" s="1"/>
  <c r="O799" i="48" s="1"/>
  <c r="P799" i="48" s="1"/>
  <c r="K799" i="48"/>
  <c r="J799" i="48"/>
  <c r="H799" i="48"/>
  <c r="I799" i="48" s="1"/>
  <c r="W798" i="48"/>
  <c r="V798" i="48"/>
  <c r="T798" i="48"/>
  <c r="S798" i="48"/>
  <c r="R798" i="48"/>
  <c r="Q798" i="48"/>
  <c r="L798" i="48"/>
  <c r="M798" i="48" s="1"/>
  <c r="N798" i="48" s="1"/>
  <c r="O798" i="48" s="1"/>
  <c r="P798" i="48" s="1"/>
  <c r="K798" i="48"/>
  <c r="J798" i="48"/>
  <c r="H798" i="48"/>
  <c r="I798" i="48" s="1"/>
  <c r="W797" i="48"/>
  <c r="V797" i="48"/>
  <c r="T797" i="48"/>
  <c r="S797" i="48"/>
  <c r="R797" i="48"/>
  <c r="Q797" i="48"/>
  <c r="L797" i="48"/>
  <c r="M797" i="48" s="1"/>
  <c r="N797" i="48" s="1"/>
  <c r="O797" i="48" s="1"/>
  <c r="P797" i="48" s="1"/>
  <c r="K797" i="48"/>
  <c r="J797" i="48"/>
  <c r="H797" i="48"/>
  <c r="I797" i="48" s="1"/>
  <c r="W796" i="48"/>
  <c r="V796" i="48"/>
  <c r="T796" i="48"/>
  <c r="S796" i="48"/>
  <c r="R796" i="48"/>
  <c r="Q796" i="48"/>
  <c r="L796" i="48"/>
  <c r="M796" i="48" s="1"/>
  <c r="N796" i="48" s="1"/>
  <c r="O796" i="48" s="1"/>
  <c r="P796" i="48" s="1"/>
  <c r="K796" i="48"/>
  <c r="J796" i="48"/>
  <c r="H796" i="48"/>
  <c r="I796" i="48" s="1"/>
  <c r="W795" i="48"/>
  <c r="V795" i="48"/>
  <c r="T795" i="48"/>
  <c r="S795" i="48"/>
  <c r="R795" i="48"/>
  <c r="Q795" i="48"/>
  <c r="L795" i="48"/>
  <c r="M795" i="48" s="1"/>
  <c r="N795" i="48" s="1"/>
  <c r="O795" i="48" s="1"/>
  <c r="P795" i="48" s="1"/>
  <c r="K795" i="48"/>
  <c r="J795" i="48"/>
  <c r="H795" i="48"/>
  <c r="X795" i="48" s="1"/>
  <c r="AA795" i="48" s="1"/>
  <c r="W794" i="48"/>
  <c r="V794" i="48"/>
  <c r="T794" i="48"/>
  <c r="S794" i="48"/>
  <c r="R794" i="48"/>
  <c r="Q794" i="48"/>
  <c r="L794" i="48"/>
  <c r="M794" i="48" s="1"/>
  <c r="N794" i="48" s="1"/>
  <c r="O794" i="48" s="1"/>
  <c r="P794" i="48" s="1"/>
  <c r="K794" i="48"/>
  <c r="J794" i="48"/>
  <c r="H794" i="48"/>
  <c r="I794" i="48" s="1"/>
  <c r="W793" i="48"/>
  <c r="V793" i="48"/>
  <c r="T793" i="48"/>
  <c r="S793" i="48"/>
  <c r="R793" i="48"/>
  <c r="Q793" i="48"/>
  <c r="L793" i="48"/>
  <c r="M793" i="48" s="1"/>
  <c r="N793" i="48" s="1"/>
  <c r="O793" i="48" s="1"/>
  <c r="P793" i="48" s="1"/>
  <c r="K793" i="48"/>
  <c r="J793" i="48"/>
  <c r="H793" i="48"/>
  <c r="I793" i="48" s="1"/>
  <c r="W792" i="48"/>
  <c r="V792" i="48"/>
  <c r="T792" i="48"/>
  <c r="S792" i="48"/>
  <c r="R792" i="48"/>
  <c r="Q792" i="48"/>
  <c r="L792" i="48"/>
  <c r="M792" i="48" s="1"/>
  <c r="N792" i="48" s="1"/>
  <c r="O792" i="48" s="1"/>
  <c r="P792" i="48" s="1"/>
  <c r="K792" i="48"/>
  <c r="J792" i="48"/>
  <c r="H792" i="48"/>
  <c r="X792" i="48" s="1"/>
  <c r="AA792" i="48" s="1"/>
  <c r="W791" i="48"/>
  <c r="V791" i="48"/>
  <c r="T791" i="48"/>
  <c r="S791" i="48"/>
  <c r="R791" i="48"/>
  <c r="Q791" i="48"/>
  <c r="L791" i="48"/>
  <c r="M791" i="48" s="1"/>
  <c r="N791" i="48" s="1"/>
  <c r="O791" i="48" s="1"/>
  <c r="P791" i="48" s="1"/>
  <c r="K791" i="48"/>
  <c r="J791" i="48"/>
  <c r="H791" i="48"/>
  <c r="X791" i="48" s="1"/>
  <c r="AA791" i="48" s="1"/>
  <c r="W790" i="48"/>
  <c r="V790" i="48"/>
  <c r="T790" i="48"/>
  <c r="S790" i="48"/>
  <c r="R790" i="48"/>
  <c r="Q790" i="48"/>
  <c r="L790" i="48"/>
  <c r="M790" i="48" s="1"/>
  <c r="N790" i="48" s="1"/>
  <c r="O790" i="48" s="1"/>
  <c r="P790" i="48" s="1"/>
  <c r="K790" i="48"/>
  <c r="J790" i="48"/>
  <c r="H790" i="48"/>
  <c r="I790" i="48" s="1"/>
  <c r="W789" i="48"/>
  <c r="V789" i="48"/>
  <c r="T789" i="48"/>
  <c r="S789" i="48"/>
  <c r="R789" i="48"/>
  <c r="Q789" i="48"/>
  <c r="L789" i="48"/>
  <c r="M789" i="48" s="1"/>
  <c r="N789" i="48" s="1"/>
  <c r="O789" i="48" s="1"/>
  <c r="P789" i="48" s="1"/>
  <c r="K789" i="48"/>
  <c r="J789" i="48"/>
  <c r="H789" i="48"/>
  <c r="I789" i="48" s="1"/>
  <c r="W788" i="48"/>
  <c r="V788" i="48"/>
  <c r="T788" i="48"/>
  <c r="S788" i="48"/>
  <c r="R788" i="48"/>
  <c r="Q788" i="48"/>
  <c r="L788" i="48"/>
  <c r="M788" i="48" s="1"/>
  <c r="N788" i="48" s="1"/>
  <c r="O788" i="48" s="1"/>
  <c r="P788" i="48" s="1"/>
  <c r="K788" i="48"/>
  <c r="J788" i="48"/>
  <c r="H788" i="48"/>
  <c r="X788" i="48" s="1"/>
  <c r="AA788" i="48" s="1"/>
  <c r="W787" i="48"/>
  <c r="V787" i="48"/>
  <c r="T787" i="48"/>
  <c r="S787" i="48"/>
  <c r="R787" i="48"/>
  <c r="Q787" i="48"/>
  <c r="L787" i="48"/>
  <c r="M787" i="48" s="1"/>
  <c r="N787" i="48" s="1"/>
  <c r="O787" i="48" s="1"/>
  <c r="P787" i="48" s="1"/>
  <c r="K787" i="48"/>
  <c r="J787" i="48"/>
  <c r="H787" i="48"/>
  <c r="X787" i="48" s="1"/>
  <c r="AA787" i="48" s="1"/>
  <c r="W786" i="48"/>
  <c r="V786" i="48"/>
  <c r="T786" i="48"/>
  <c r="S786" i="48"/>
  <c r="R786" i="48"/>
  <c r="Q786" i="48"/>
  <c r="L786" i="48"/>
  <c r="M786" i="48" s="1"/>
  <c r="N786" i="48" s="1"/>
  <c r="O786" i="48" s="1"/>
  <c r="P786" i="48" s="1"/>
  <c r="K786" i="48"/>
  <c r="J786" i="48"/>
  <c r="H786" i="48"/>
  <c r="I786" i="48" s="1"/>
  <c r="W785" i="48"/>
  <c r="V785" i="48"/>
  <c r="T785" i="48"/>
  <c r="S785" i="48"/>
  <c r="R785" i="48"/>
  <c r="Q785" i="48"/>
  <c r="L785" i="48"/>
  <c r="M785" i="48" s="1"/>
  <c r="N785" i="48" s="1"/>
  <c r="O785" i="48" s="1"/>
  <c r="P785" i="48" s="1"/>
  <c r="K785" i="48"/>
  <c r="J785" i="48"/>
  <c r="H785" i="48"/>
  <c r="W784" i="48"/>
  <c r="V784" i="48"/>
  <c r="T784" i="48"/>
  <c r="S784" i="48"/>
  <c r="R784" i="48"/>
  <c r="Q784" i="48"/>
  <c r="L784" i="48"/>
  <c r="M784" i="48" s="1"/>
  <c r="N784" i="48" s="1"/>
  <c r="O784" i="48" s="1"/>
  <c r="P784" i="48" s="1"/>
  <c r="K784" i="48"/>
  <c r="J784" i="48"/>
  <c r="H784" i="48"/>
  <c r="X784" i="48" s="1"/>
  <c r="AA784" i="48" s="1"/>
  <c r="W783" i="48"/>
  <c r="V783" i="48"/>
  <c r="T783" i="48"/>
  <c r="S783" i="48"/>
  <c r="R783" i="48"/>
  <c r="Q783" i="48"/>
  <c r="L783" i="48"/>
  <c r="M783" i="48" s="1"/>
  <c r="N783" i="48" s="1"/>
  <c r="O783" i="48" s="1"/>
  <c r="P783" i="48" s="1"/>
  <c r="K783" i="48"/>
  <c r="J783" i="48"/>
  <c r="H783" i="48"/>
  <c r="W782" i="48"/>
  <c r="V782" i="48"/>
  <c r="T782" i="48"/>
  <c r="S782" i="48"/>
  <c r="R782" i="48"/>
  <c r="Q782" i="48"/>
  <c r="L782" i="48"/>
  <c r="M782" i="48" s="1"/>
  <c r="N782" i="48" s="1"/>
  <c r="O782" i="48" s="1"/>
  <c r="P782" i="48" s="1"/>
  <c r="K782" i="48"/>
  <c r="J782" i="48"/>
  <c r="H782" i="48"/>
  <c r="I782" i="48" s="1"/>
  <c r="W781" i="48"/>
  <c r="V781" i="48"/>
  <c r="T781" i="48"/>
  <c r="S781" i="48"/>
  <c r="R781" i="48"/>
  <c r="Q781" i="48"/>
  <c r="L781" i="48"/>
  <c r="M781" i="48" s="1"/>
  <c r="N781" i="48" s="1"/>
  <c r="O781" i="48" s="1"/>
  <c r="P781" i="48" s="1"/>
  <c r="K781" i="48"/>
  <c r="J781" i="48"/>
  <c r="H781" i="48"/>
  <c r="I781" i="48" s="1"/>
  <c r="W780" i="48"/>
  <c r="V780" i="48"/>
  <c r="T780" i="48"/>
  <c r="S780" i="48"/>
  <c r="R780" i="48"/>
  <c r="Q780" i="48"/>
  <c r="L780" i="48"/>
  <c r="M780" i="48" s="1"/>
  <c r="N780" i="48" s="1"/>
  <c r="O780" i="48" s="1"/>
  <c r="P780" i="48" s="1"/>
  <c r="K780" i="48"/>
  <c r="J780" i="48"/>
  <c r="H780" i="48"/>
  <c r="X780" i="48" s="1"/>
  <c r="AA780" i="48" s="1"/>
  <c r="W779" i="48"/>
  <c r="V779" i="48"/>
  <c r="T779" i="48"/>
  <c r="S779" i="48"/>
  <c r="R779" i="48"/>
  <c r="Q779" i="48"/>
  <c r="L779" i="48"/>
  <c r="M779" i="48" s="1"/>
  <c r="N779" i="48" s="1"/>
  <c r="O779" i="48" s="1"/>
  <c r="P779" i="48" s="1"/>
  <c r="K779" i="48"/>
  <c r="J779" i="48"/>
  <c r="H779" i="48"/>
  <c r="X779" i="48" s="1"/>
  <c r="AA779" i="48" s="1"/>
  <c r="W778" i="48"/>
  <c r="V778" i="48"/>
  <c r="T778" i="48"/>
  <c r="S778" i="48"/>
  <c r="R778" i="48"/>
  <c r="Q778" i="48"/>
  <c r="L778" i="48"/>
  <c r="M778" i="48" s="1"/>
  <c r="N778" i="48" s="1"/>
  <c r="O778" i="48" s="1"/>
  <c r="P778" i="48" s="1"/>
  <c r="K778" i="48"/>
  <c r="J778" i="48"/>
  <c r="H778" i="48"/>
  <c r="I778" i="48" s="1"/>
  <c r="W777" i="48"/>
  <c r="V777" i="48"/>
  <c r="T777" i="48"/>
  <c r="S777" i="48"/>
  <c r="R777" i="48"/>
  <c r="Q777" i="48"/>
  <c r="L777" i="48"/>
  <c r="M777" i="48" s="1"/>
  <c r="N777" i="48" s="1"/>
  <c r="O777" i="48" s="1"/>
  <c r="P777" i="48" s="1"/>
  <c r="K777" i="48"/>
  <c r="J777" i="48"/>
  <c r="H777" i="48"/>
  <c r="I777" i="48" s="1"/>
  <c r="W776" i="48"/>
  <c r="V776" i="48"/>
  <c r="T776" i="48"/>
  <c r="S776" i="48"/>
  <c r="R776" i="48"/>
  <c r="Q776" i="48"/>
  <c r="L776" i="48"/>
  <c r="M776" i="48" s="1"/>
  <c r="N776" i="48" s="1"/>
  <c r="O776" i="48" s="1"/>
  <c r="P776" i="48" s="1"/>
  <c r="K776" i="48"/>
  <c r="J776" i="48"/>
  <c r="H776" i="48"/>
  <c r="X776" i="48" s="1"/>
  <c r="AA776" i="48" s="1"/>
  <c r="W775" i="48"/>
  <c r="V775" i="48"/>
  <c r="T775" i="48"/>
  <c r="S775" i="48"/>
  <c r="R775" i="48"/>
  <c r="Q775" i="48"/>
  <c r="L775" i="48"/>
  <c r="M775" i="48" s="1"/>
  <c r="N775" i="48" s="1"/>
  <c r="O775" i="48" s="1"/>
  <c r="P775" i="48" s="1"/>
  <c r="K775" i="48"/>
  <c r="J775" i="48"/>
  <c r="H775" i="48"/>
  <c r="X775" i="48" s="1"/>
  <c r="AA775" i="48" s="1"/>
  <c r="W774" i="48"/>
  <c r="V774" i="48"/>
  <c r="T774" i="48"/>
  <c r="S774" i="48"/>
  <c r="R774" i="48"/>
  <c r="Q774" i="48"/>
  <c r="L774" i="48"/>
  <c r="M774" i="48" s="1"/>
  <c r="N774" i="48" s="1"/>
  <c r="O774" i="48" s="1"/>
  <c r="P774" i="48" s="1"/>
  <c r="K774" i="48"/>
  <c r="J774" i="48"/>
  <c r="H774" i="48"/>
  <c r="I774" i="48" s="1"/>
  <c r="W773" i="48"/>
  <c r="V773" i="48"/>
  <c r="T773" i="48"/>
  <c r="S773" i="48"/>
  <c r="R773" i="48"/>
  <c r="Q773" i="48"/>
  <c r="L773" i="48"/>
  <c r="M773" i="48" s="1"/>
  <c r="N773" i="48" s="1"/>
  <c r="O773" i="48" s="1"/>
  <c r="P773" i="48" s="1"/>
  <c r="K773" i="48"/>
  <c r="J773" i="48"/>
  <c r="H773" i="48"/>
  <c r="I773" i="48" s="1"/>
  <c r="W772" i="48"/>
  <c r="V772" i="48"/>
  <c r="T772" i="48"/>
  <c r="S772" i="48"/>
  <c r="R772" i="48"/>
  <c r="Q772" i="48"/>
  <c r="L772" i="48"/>
  <c r="M772" i="48" s="1"/>
  <c r="N772" i="48" s="1"/>
  <c r="O772" i="48" s="1"/>
  <c r="P772" i="48" s="1"/>
  <c r="K772" i="48"/>
  <c r="J772" i="48"/>
  <c r="H772" i="48"/>
  <c r="X772" i="48" s="1"/>
  <c r="AA772" i="48" s="1"/>
  <c r="W771" i="48"/>
  <c r="V771" i="48"/>
  <c r="T771" i="48"/>
  <c r="S771" i="48"/>
  <c r="R771" i="48"/>
  <c r="Q771" i="48"/>
  <c r="L771" i="48"/>
  <c r="M771" i="48" s="1"/>
  <c r="N771" i="48" s="1"/>
  <c r="O771" i="48" s="1"/>
  <c r="P771" i="48" s="1"/>
  <c r="K771" i="48"/>
  <c r="J771" i="48"/>
  <c r="H771" i="48"/>
  <c r="X771" i="48" s="1"/>
  <c r="AA771" i="48" s="1"/>
  <c r="W770" i="48"/>
  <c r="V770" i="48"/>
  <c r="T770" i="48"/>
  <c r="S770" i="48"/>
  <c r="R770" i="48"/>
  <c r="Q770" i="48"/>
  <c r="L770" i="48"/>
  <c r="M770" i="48" s="1"/>
  <c r="N770" i="48" s="1"/>
  <c r="O770" i="48" s="1"/>
  <c r="P770" i="48" s="1"/>
  <c r="K770" i="48"/>
  <c r="J770" i="48"/>
  <c r="H770" i="48"/>
  <c r="I770" i="48" s="1"/>
  <c r="W769" i="48"/>
  <c r="V769" i="48"/>
  <c r="T769" i="48"/>
  <c r="S769" i="48"/>
  <c r="R769" i="48"/>
  <c r="Q769" i="48"/>
  <c r="L769" i="48"/>
  <c r="M769" i="48" s="1"/>
  <c r="N769" i="48" s="1"/>
  <c r="O769" i="48" s="1"/>
  <c r="P769" i="48" s="1"/>
  <c r="K769" i="48"/>
  <c r="J769" i="48"/>
  <c r="H769" i="48"/>
  <c r="W768" i="48"/>
  <c r="V768" i="48"/>
  <c r="T768" i="48"/>
  <c r="S768" i="48"/>
  <c r="R768" i="48"/>
  <c r="Q768" i="48"/>
  <c r="L768" i="48"/>
  <c r="M768" i="48" s="1"/>
  <c r="N768" i="48" s="1"/>
  <c r="O768" i="48" s="1"/>
  <c r="P768" i="48" s="1"/>
  <c r="K768" i="48"/>
  <c r="J768" i="48"/>
  <c r="H768" i="48"/>
  <c r="X768" i="48" s="1"/>
  <c r="AA768" i="48" s="1"/>
  <c r="W767" i="48"/>
  <c r="V767" i="48"/>
  <c r="T767" i="48"/>
  <c r="S767" i="48"/>
  <c r="R767" i="48"/>
  <c r="Q767" i="48"/>
  <c r="L767" i="48"/>
  <c r="M767" i="48" s="1"/>
  <c r="N767" i="48" s="1"/>
  <c r="O767" i="48" s="1"/>
  <c r="P767" i="48" s="1"/>
  <c r="K767" i="48"/>
  <c r="J767" i="48"/>
  <c r="H767" i="48"/>
  <c r="X767" i="48" s="1"/>
  <c r="AA767" i="48" s="1"/>
  <c r="W766" i="48"/>
  <c r="V766" i="48"/>
  <c r="T766" i="48"/>
  <c r="S766" i="48"/>
  <c r="R766" i="48"/>
  <c r="Q766" i="48"/>
  <c r="L766" i="48"/>
  <c r="M766" i="48" s="1"/>
  <c r="N766" i="48" s="1"/>
  <c r="O766" i="48" s="1"/>
  <c r="P766" i="48" s="1"/>
  <c r="K766" i="48"/>
  <c r="J766" i="48"/>
  <c r="H766" i="48"/>
  <c r="I766" i="48" s="1"/>
  <c r="W765" i="48"/>
  <c r="V765" i="48"/>
  <c r="T765" i="48"/>
  <c r="S765" i="48"/>
  <c r="R765" i="48"/>
  <c r="Q765" i="48"/>
  <c r="L765" i="48"/>
  <c r="M765" i="48" s="1"/>
  <c r="N765" i="48" s="1"/>
  <c r="O765" i="48" s="1"/>
  <c r="P765" i="48" s="1"/>
  <c r="K765" i="48"/>
  <c r="J765" i="48"/>
  <c r="H765" i="48"/>
  <c r="I765" i="48" s="1"/>
  <c r="W764" i="48"/>
  <c r="V764" i="48"/>
  <c r="T764" i="48"/>
  <c r="S764" i="48"/>
  <c r="R764" i="48"/>
  <c r="Q764" i="48"/>
  <c r="L764" i="48"/>
  <c r="M764" i="48" s="1"/>
  <c r="N764" i="48" s="1"/>
  <c r="O764" i="48" s="1"/>
  <c r="P764" i="48" s="1"/>
  <c r="K764" i="48"/>
  <c r="J764" i="48"/>
  <c r="H764" i="48"/>
  <c r="X764" i="48" s="1"/>
  <c r="AA764" i="48" s="1"/>
  <c r="W763" i="48"/>
  <c r="V763" i="48"/>
  <c r="T763" i="48"/>
  <c r="S763" i="48"/>
  <c r="R763" i="48"/>
  <c r="Q763" i="48"/>
  <c r="L763" i="48"/>
  <c r="M763" i="48" s="1"/>
  <c r="N763" i="48" s="1"/>
  <c r="O763" i="48" s="1"/>
  <c r="P763" i="48" s="1"/>
  <c r="K763" i="48"/>
  <c r="J763" i="48"/>
  <c r="H763" i="48"/>
  <c r="X763" i="48" s="1"/>
  <c r="AA763" i="48" s="1"/>
  <c r="W762" i="48"/>
  <c r="V762" i="48"/>
  <c r="T762" i="48"/>
  <c r="S762" i="48"/>
  <c r="R762" i="48"/>
  <c r="Q762" i="48"/>
  <c r="L762" i="48"/>
  <c r="M762" i="48" s="1"/>
  <c r="N762" i="48" s="1"/>
  <c r="O762" i="48" s="1"/>
  <c r="P762" i="48" s="1"/>
  <c r="K762" i="48"/>
  <c r="J762" i="48"/>
  <c r="H762" i="48"/>
  <c r="I762" i="48" s="1"/>
  <c r="W761" i="48"/>
  <c r="V761" i="48"/>
  <c r="T761" i="48"/>
  <c r="S761" i="48"/>
  <c r="R761" i="48"/>
  <c r="Q761" i="48"/>
  <c r="L761" i="48"/>
  <c r="M761" i="48" s="1"/>
  <c r="N761" i="48" s="1"/>
  <c r="O761" i="48" s="1"/>
  <c r="P761" i="48" s="1"/>
  <c r="K761" i="48"/>
  <c r="J761" i="48"/>
  <c r="H761" i="48"/>
  <c r="I761" i="48" s="1"/>
  <c r="W760" i="48"/>
  <c r="V760" i="48"/>
  <c r="T760" i="48"/>
  <c r="S760" i="48"/>
  <c r="R760" i="48"/>
  <c r="Q760" i="48"/>
  <c r="L760" i="48"/>
  <c r="M760" i="48" s="1"/>
  <c r="N760" i="48" s="1"/>
  <c r="O760" i="48" s="1"/>
  <c r="P760" i="48" s="1"/>
  <c r="K760" i="48"/>
  <c r="J760" i="48"/>
  <c r="H760" i="48"/>
  <c r="X760" i="48" s="1"/>
  <c r="AA760" i="48" s="1"/>
  <c r="W759" i="48"/>
  <c r="V759" i="48"/>
  <c r="T759" i="48"/>
  <c r="S759" i="48"/>
  <c r="R759" i="48"/>
  <c r="Q759" i="48"/>
  <c r="L759" i="48"/>
  <c r="M759" i="48" s="1"/>
  <c r="N759" i="48" s="1"/>
  <c r="O759" i="48" s="1"/>
  <c r="P759" i="48" s="1"/>
  <c r="K759" i="48"/>
  <c r="J759" i="48"/>
  <c r="H759" i="48"/>
  <c r="X759" i="48" s="1"/>
  <c r="AA759" i="48" s="1"/>
  <c r="W758" i="48"/>
  <c r="V758" i="48"/>
  <c r="T758" i="48"/>
  <c r="S758" i="48"/>
  <c r="R758" i="48"/>
  <c r="Q758" i="48"/>
  <c r="L758" i="48"/>
  <c r="M758" i="48" s="1"/>
  <c r="N758" i="48" s="1"/>
  <c r="O758" i="48" s="1"/>
  <c r="P758" i="48" s="1"/>
  <c r="K758" i="48"/>
  <c r="J758" i="48"/>
  <c r="H758" i="48"/>
  <c r="I758" i="48" s="1"/>
  <c r="W757" i="48"/>
  <c r="V757" i="48"/>
  <c r="T757" i="48"/>
  <c r="S757" i="48"/>
  <c r="R757" i="48"/>
  <c r="Q757" i="48"/>
  <c r="L757" i="48"/>
  <c r="M757" i="48" s="1"/>
  <c r="N757" i="48" s="1"/>
  <c r="O757" i="48" s="1"/>
  <c r="P757" i="48" s="1"/>
  <c r="K757" i="48"/>
  <c r="J757" i="48"/>
  <c r="H757" i="48"/>
  <c r="I757" i="48" s="1"/>
  <c r="W756" i="48"/>
  <c r="V756" i="48"/>
  <c r="T756" i="48"/>
  <c r="S756" i="48"/>
  <c r="R756" i="48"/>
  <c r="Q756" i="48"/>
  <c r="L756" i="48"/>
  <c r="M756" i="48" s="1"/>
  <c r="N756" i="48" s="1"/>
  <c r="O756" i="48" s="1"/>
  <c r="P756" i="48" s="1"/>
  <c r="K756" i="48"/>
  <c r="J756" i="48"/>
  <c r="H756" i="48"/>
  <c r="X756" i="48" s="1"/>
  <c r="AA756" i="48" s="1"/>
  <c r="W755" i="48"/>
  <c r="V755" i="48"/>
  <c r="T755" i="48"/>
  <c r="S755" i="48"/>
  <c r="R755" i="48"/>
  <c r="Q755" i="48"/>
  <c r="L755" i="48"/>
  <c r="M755" i="48" s="1"/>
  <c r="N755" i="48" s="1"/>
  <c r="O755" i="48" s="1"/>
  <c r="P755" i="48" s="1"/>
  <c r="K755" i="48"/>
  <c r="J755" i="48"/>
  <c r="H755" i="48"/>
  <c r="X755" i="48" s="1"/>
  <c r="AA755" i="48" s="1"/>
  <c r="W754" i="48"/>
  <c r="V754" i="48"/>
  <c r="T754" i="48"/>
  <c r="S754" i="48"/>
  <c r="R754" i="48"/>
  <c r="Q754" i="48"/>
  <c r="L754" i="48"/>
  <c r="M754" i="48" s="1"/>
  <c r="N754" i="48" s="1"/>
  <c r="O754" i="48" s="1"/>
  <c r="P754" i="48" s="1"/>
  <c r="K754" i="48"/>
  <c r="J754" i="48"/>
  <c r="H754" i="48"/>
  <c r="I754" i="48" s="1"/>
  <c r="W753" i="48"/>
  <c r="V753" i="48"/>
  <c r="T753" i="48"/>
  <c r="S753" i="48"/>
  <c r="R753" i="48"/>
  <c r="Q753" i="48"/>
  <c r="L753" i="48"/>
  <c r="M753" i="48" s="1"/>
  <c r="N753" i="48" s="1"/>
  <c r="O753" i="48" s="1"/>
  <c r="P753" i="48" s="1"/>
  <c r="K753" i="48"/>
  <c r="J753" i="48"/>
  <c r="H753" i="48"/>
  <c r="I753" i="48" s="1"/>
  <c r="W752" i="48"/>
  <c r="V752" i="48"/>
  <c r="T752" i="48"/>
  <c r="S752" i="48"/>
  <c r="R752" i="48"/>
  <c r="Q752" i="48"/>
  <c r="L752" i="48"/>
  <c r="M752" i="48" s="1"/>
  <c r="N752" i="48" s="1"/>
  <c r="O752" i="48" s="1"/>
  <c r="P752" i="48" s="1"/>
  <c r="K752" i="48"/>
  <c r="J752" i="48"/>
  <c r="H752" i="48"/>
  <c r="X752" i="48" s="1"/>
  <c r="AA752" i="48" s="1"/>
  <c r="W751" i="48"/>
  <c r="V751" i="48"/>
  <c r="T751" i="48"/>
  <c r="S751" i="48"/>
  <c r="R751" i="48"/>
  <c r="Q751" i="48"/>
  <c r="L751" i="48"/>
  <c r="M751" i="48" s="1"/>
  <c r="N751" i="48" s="1"/>
  <c r="O751" i="48" s="1"/>
  <c r="P751" i="48" s="1"/>
  <c r="K751" i="48"/>
  <c r="J751" i="48"/>
  <c r="H751" i="48"/>
  <c r="X751" i="48" s="1"/>
  <c r="AA751" i="48" s="1"/>
  <c r="W750" i="48"/>
  <c r="V750" i="48"/>
  <c r="T750" i="48"/>
  <c r="S750" i="48"/>
  <c r="R750" i="48"/>
  <c r="Q750" i="48"/>
  <c r="L750" i="48"/>
  <c r="M750" i="48" s="1"/>
  <c r="N750" i="48" s="1"/>
  <c r="O750" i="48" s="1"/>
  <c r="P750" i="48" s="1"/>
  <c r="K750" i="48"/>
  <c r="J750" i="48"/>
  <c r="H750" i="48"/>
  <c r="I750" i="48" s="1"/>
  <c r="W749" i="48"/>
  <c r="V749" i="48"/>
  <c r="T749" i="48"/>
  <c r="S749" i="48"/>
  <c r="R749" i="48"/>
  <c r="Q749" i="48"/>
  <c r="L749" i="48"/>
  <c r="M749" i="48" s="1"/>
  <c r="N749" i="48" s="1"/>
  <c r="O749" i="48" s="1"/>
  <c r="P749" i="48" s="1"/>
  <c r="K749" i="48"/>
  <c r="J749" i="48"/>
  <c r="H749" i="48"/>
  <c r="I749" i="48" s="1"/>
  <c r="W748" i="48"/>
  <c r="V748" i="48"/>
  <c r="T748" i="48"/>
  <c r="S748" i="48"/>
  <c r="R748" i="48"/>
  <c r="Q748" i="48"/>
  <c r="L748" i="48"/>
  <c r="M748" i="48" s="1"/>
  <c r="N748" i="48" s="1"/>
  <c r="O748" i="48" s="1"/>
  <c r="P748" i="48" s="1"/>
  <c r="K748" i="48"/>
  <c r="J748" i="48"/>
  <c r="H748" i="48"/>
  <c r="X748" i="48" s="1"/>
  <c r="AA748" i="48" s="1"/>
  <c r="W747" i="48"/>
  <c r="V747" i="48"/>
  <c r="T747" i="48"/>
  <c r="S747" i="48"/>
  <c r="R747" i="48"/>
  <c r="Q747" i="48"/>
  <c r="L747" i="48"/>
  <c r="M747" i="48" s="1"/>
  <c r="N747" i="48" s="1"/>
  <c r="O747" i="48" s="1"/>
  <c r="P747" i="48" s="1"/>
  <c r="K747" i="48"/>
  <c r="J747" i="48"/>
  <c r="H747" i="48"/>
  <c r="X747" i="48" s="1"/>
  <c r="AA747" i="48" s="1"/>
  <c r="W746" i="48"/>
  <c r="V746" i="48"/>
  <c r="T746" i="48"/>
  <c r="S746" i="48"/>
  <c r="R746" i="48"/>
  <c r="Q746" i="48"/>
  <c r="L746" i="48"/>
  <c r="M746" i="48" s="1"/>
  <c r="N746" i="48" s="1"/>
  <c r="O746" i="48" s="1"/>
  <c r="P746" i="48" s="1"/>
  <c r="K746" i="48"/>
  <c r="J746" i="48"/>
  <c r="H746" i="48"/>
  <c r="I746" i="48" s="1"/>
  <c r="W745" i="48"/>
  <c r="V745" i="48"/>
  <c r="T745" i="48"/>
  <c r="S745" i="48"/>
  <c r="R745" i="48"/>
  <c r="Q745" i="48"/>
  <c r="L745" i="48"/>
  <c r="M745" i="48" s="1"/>
  <c r="N745" i="48" s="1"/>
  <c r="O745" i="48" s="1"/>
  <c r="P745" i="48" s="1"/>
  <c r="K745" i="48"/>
  <c r="J745" i="48"/>
  <c r="H745" i="48"/>
  <c r="I745" i="48" s="1"/>
  <c r="W744" i="48"/>
  <c r="V744" i="48"/>
  <c r="T744" i="48"/>
  <c r="S744" i="48"/>
  <c r="R744" i="48"/>
  <c r="Q744" i="48"/>
  <c r="L744" i="48"/>
  <c r="M744" i="48" s="1"/>
  <c r="N744" i="48" s="1"/>
  <c r="O744" i="48" s="1"/>
  <c r="P744" i="48" s="1"/>
  <c r="K744" i="48"/>
  <c r="J744" i="48"/>
  <c r="H744" i="48"/>
  <c r="X744" i="48" s="1"/>
  <c r="AA744" i="48" s="1"/>
  <c r="W743" i="48"/>
  <c r="V743" i="48"/>
  <c r="T743" i="48"/>
  <c r="S743" i="48"/>
  <c r="R743" i="48"/>
  <c r="Q743" i="48"/>
  <c r="L743" i="48"/>
  <c r="M743" i="48" s="1"/>
  <c r="N743" i="48" s="1"/>
  <c r="O743" i="48" s="1"/>
  <c r="P743" i="48" s="1"/>
  <c r="K743" i="48"/>
  <c r="J743" i="48"/>
  <c r="H743" i="48"/>
  <c r="W742" i="48"/>
  <c r="V742" i="48"/>
  <c r="T742" i="48"/>
  <c r="S742" i="48"/>
  <c r="R742" i="48"/>
  <c r="Q742" i="48"/>
  <c r="L742" i="48"/>
  <c r="M742" i="48" s="1"/>
  <c r="N742" i="48" s="1"/>
  <c r="O742" i="48" s="1"/>
  <c r="P742" i="48" s="1"/>
  <c r="K742" i="48"/>
  <c r="J742" i="48"/>
  <c r="H742" i="48"/>
  <c r="I742" i="48" s="1"/>
  <c r="W741" i="48"/>
  <c r="V741" i="48"/>
  <c r="T741" i="48"/>
  <c r="S741" i="48"/>
  <c r="R741" i="48"/>
  <c r="Q741" i="48"/>
  <c r="L741" i="48"/>
  <c r="M741" i="48" s="1"/>
  <c r="N741" i="48" s="1"/>
  <c r="O741" i="48" s="1"/>
  <c r="P741" i="48" s="1"/>
  <c r="K741" i="48"/>
  <c r="J741" i="48"/>
  <c r="H741" i="48"/>
  <c r="I741" i="48" s="1"/>
  <c r="W740" i="48"/>
  <c r="V740" i="48"/>
  <c r="T740" i="48"/>
  <c r="S740" i="48"/>
  <c r="R740" i="48"/>
  <c r="Q740" i="48"/>
  <c r="L740" i="48"/>
  <c r="M740" i="48" s="1"/>
  <c r="N740" i="48" s="1"/>
  <c r="O740" i="48" s="1"/>
  <c r="P740" i="48" s="1"/>
  <c r="K740" i="48"/>
  <c r="J740" i="48"/>
  <c r="H740" i="48"/>
  <c r="X740" i="48" s="1"/>
  <c r="AA740" i="48" s="1"/>
  <c r="W739" i="48"/>
  <c r="V739" i="48"/>
  <c r="T739" i="48"/>
  <c r="S739" i="48"/>
  <c r="R739" i="48"/>
  <c r="Q739" i="48"/>
  <c r="L739" i="48"/>
  <c r="M739" i="48" s="1"/>
  <c r="N739" i="48" s="1"/>
  <c r="O739" i="48" s="1"/>
  <c r="P739" i="48" s="1"/>
  <c r="K739" i="48"/>
  <c r="J739" i="48"/>
  <c r="H739" i="48"/>
  <c r="X739" i="48" s="1"/>
  <c r="AA739" i="48" s="1"/>
  <c r="W738" i="48"/>
  <c r="V738" i="48"/>
  <c r="T738" i="48"/>
  <c r="S738" i="48"/>
  <c r="R738" i="48"/>
  <c r="Q738" i="48"/>
  <c r="L738" i="48"/>
  <c r="M738" i="48" s="1"/>
  <c r="N738" i="48" s="1"/>
  <c r="O738" i="48" s="1"/>
  <c r="P738" i="48" s="1"/>
  <c r="K738" i="48"/>
  <c r="J738" i="48"/>
  <c r="H738" i="48"/>
  <c r="I738" i="48" s="1"/>
  <c r="W737" i="48"/>
  <c r="V737" i="48"/>
  <c r="T737" i="48"/>
  <c r="S737" i="48"/>
  <c r="R737" i="48"/>
  <c r="Q737" i="48"/>
  <c r="L737" i="48"/>
  <c r="M737" i="48" s="1"/>
  <c r="N737" i="48" s="1"/>
  <c r="O737" i="48" s="1"/>
  <c r="P737" i="48" s="1"/>
  <c r="K737" i="48"/>
  <c r="J737" i="48"/>
  <c r="H737" i="48"/>
  <c r="W736" i="48"/>
  <c r="V736" i="48"/>
  <c r="T736" i="48"/>
  <c r="S736" i="48"/>
  <c r="R736" i="48"/>
  <c r="Q736" i="48"/>
  <c r="L736" i="48"/>
  <c r="M736" i="48" s="1"/>
  <c r="N736" i="48" s="1"/>
  <c r="O736" i="48" s="1"/>
  <c r="P736" i="48" s="1"/>
  <c r="K736" i="48"/>
  <c r="J736" i="48"/>
  <c r="H736" i="48"/>
  <c r="X736" i="48" s="1"/>
  <c r="AA736" i="48" s="1"/>
  <c r="W735" i="48"/>
  <c r="V735" i="48"/>
  <c r="T735" i="48"/>
  <c r="S735" i="48"/>
  <c r="R735" i="48"/>
  <c r="Q735" i="48"/>
  <c r="L735" i="48"/>
  <c r="M735" i="48" s="1"/>
  <c r="N735" i="48" s="1"/>
  <c r="O735" i="48" s="1"/>
  <c r="P735" i="48" s="1"/>
  <c r="K735" i="48"/>
  <c r="J735" i="48"/>
  <c r="H735" i="48"/>
  <c r="X735" i="48" s="1"/>
  <c r="AA735" i="48" s="1"/>
  <c r="W734" i="48"/>
  <c r="V734" i="48"/>
  <c r="T734" i="48"/>
  <c r="S734" i="48"/>
  <c r="R734" i="48"/>
  <c r="Q734" i="48"/>
  <c r="L734" i="48"/>
  <c r="M734" i="48" s="1"/>
  <c r="N734" i="48" s="1"/>
  <c r="O734" i="48" s="1"/>
  <c r="P734" i="48" s="1"/>
  <c r="K734" i="48"/>
  <c r="J734" i="48"/>
  <c r="H734" i="48"/>
  <c r="I734" i="48" s="1"/>
  <c r="W733" i="48"/>
  <c r="V733" i="48"/>
  <c r="T733" i="48"/>
  <c r="S733" i="48"/>
  <c r="R733" i="48"/>
  <c r="Q733" i="48"/>
  <c r="L733" i="48"/>
  <c r="M733" i="48" s="1"/>
  <c r="N733" i="48" s="1"/>
  <c r="O733" i="48" s="1"/>
  <c r="P733" i="48" s="1"/>
  <c r="K733" i="48"/>
  <c r="J733" i="48"/>
  <c r="H733" i="48"/>
  <c r="I733" i="48" s="1"/>
  <c r="W732" i="48"/>
  <c r="V732" i="48"/>
  <c r="T732" i="48"/>
  <c r="S732" i="48"/>
  <c r="R732" i="48"/>
  <c r="Q732" i="48"/>
  <c r="L732" i="48"/>
  <c r="M732" i="48" s="1"/>
  <c r="N732" i="48" s="1"/>
  <c r="O732" i="48" s="1"/>
  <c r="P732" i="48" s="1"/>
  <c r="K732" i="48"/>
  <c r="J732" i="48"/>
  <c r="H732" i="48"/>
  <c r="X732" i="48" s="1"/>
  <c r="AA732" i="48" s="1"/>
  <c r="W731" i="48"/>
  <c r="V731" i="48"/>
  <c r="T731" i="48"/>
  <c r="S731" i="48"/>
  <c r="R731" i="48"/>
  <c r="Q731" i="48"/>
  <c r="L731" i="48"/>
  <c r="M731" i="48" s="1"/>
  <c r="N731" i="48" s="1"/>
  <c r="O731" i="48" s="1"/>
  <c r="P731" i="48" s="1"/>
  <c r="K731" i="48"/>
  <c r="J731" i="48"/>
  <c r="H731" i="48"/>
  <c r="W730" i="48"/>
  <c r="V730" i="48"/>
  <c r="T730" i="48"/>
  <c r="S730" i="48"/>
  <c r="R730" i="48"/>
  <c r="Q730" i="48"/>
  <c r="L730" i="48"/>
  <c r="M730" i="48" s="1"/>
  <c r="N730" i="48" s="1"/>
  <c r="O730" i="48" s="1"/>
  <c r="P730" i="48" s="1"/>
  <c r="K730" i="48"/>
  <c r="J730" i="48"/>
  <c r="H730" i="48"/>
  <c r="I730" i="48" s="1"/>
  <c r="W729" i="48"/>
  <c r="V729" i="48"/>
  <c r="T729" i="48"/>
  <c r="S729" i="48"/>
  <c r="R729" i="48"/>
  <c r="Q729" i="48"/>
  <c r="L729" i="48"/>
  <c r="M729" i="48" s="1"/>
  <c r="N729" i="48" s="1"/>
  <c r="O729" i="48" s="1"/>
  <c r="P729" i="48" s="1"/>
  <c r="K729" i="48"/>
  <c r="J729" i="48"/>
  <c r="H729" i="48"/>
  <c r="W728" i="48"/>
  <c r="V728" i="48"/>
  <c r="T728" i="48"/>
  <c r="S728" i="48"/>
  <c r="R728" i="48"/>
  <c r="Q728" i="48"/>
  <c r="L728" i="48"/>
  <c r="M728" i="48" s="1"/>
  <c r="N728" i="48" s="1"/>
  <c r="O728" i="48" s="1"/>
  <c r="P728" i="48" s="1"/>
  <c r="K728" i="48"/>
  <c r="J728" i="48"/>
  <c r="H728" i="48"/>
  <c r="X728" i="48" s="1"/>
  <c r="AA728" i="48" s="1"/>
  <c r="W727" i="48"/>
  <c r="V727" i="48"/>
  <c r="T727" i="48"/>
  <c r="S727" i="48"/>
  <c r="R727" i="48"/>
  <c r="Q727" i="48"/>
  <c r="L727" i="48"/>
  <c r="M727" i="48" s="1"/>
  <c r="N727" i="48" s="1"/>
  <c r="O727" i="48" s="1"/>
  <c r="P727" i="48" s="1"/>
  <c r="K727" i="48"/>
  <c r="J727" i="48"/>
  <c r="H727" i="48"/>
  <c r="W726" i="48"/>
  <c r="V726" i="48"/>
  <c r="T726" i="48"/>
  <c r="S726" i="48"/>
  <c r="R726" i="48"/>
  <c r="Q726" i="48"/>
  <c r="L726" i="48"/>
  <c r="M726" i="48" s="1"/>
  <c r="N726" i="48" s="1"/>
  <c r="O726" i="48" s="1"/>
  <c r="P726" i="48" s="1"/>
  <c r="K726" i="48"/>
  <c r="J726" i="48"/>
  <c r="H726" i="48"/>
  <c r="I726" i="48" s="1"/>
  <c r="W725" i="48"/>
  <c r="V725" i="48"/>
  <c r="T725" i="48"/>
  <c r="S725" i="48"/>
  <c r="R725" i="48"/>
  <c r="Q725" i="48"/>
  <c r="L725" i="48"/>
  <c r="M725" i="48" s="1"/>
  <c r="N725" i="48" s="1"/>
  <c r="O725" i="48" s="1"/>
  <c r="P725" i="48" s="1"/>
  <c r="K725" i="48"/>
  <c r="J725" i="48"/>
  <c r="H725" i="48"/>
  <c r="I725" i="48" s="1"/>
  <c r="W724" i="48"/>
  <c r="V724" i="48"/>
  <c r="T724" i="48"/>
  <c r="S724" i="48"/>
  <c r="R724" i="48"/>
  <c r="Q724" i="48"/>
  <c r="L724" i="48"/>
  <c r="M724" i="48" s="1"/>
  <c r="N724" i="48" s="1"/>
  <c r="O724" i="48" s="1"/>
  <c r="P724" i="48" s="1"/>
  <c r="K724" i="48"/>
  <c r="J724" i="48"/>
  <c r="H724" i="48"/>
  <c r="W723" i="48"/>
  <c r="V723" i="48"/>
  <c r="T723" i="48"/>
  <c r="S723" i="48"/>
  <c r="R723" i="48"/>
  <c r="Q723" i="48"/>
  <c r="L723" i="48"/>
  <c r="M723" i="48" s="1"/>
  <c r="N723" i="48" s="1"/>
  <c r="O723" i="48" s="1"/>
  <c r="P723" i="48" s="1"/>
  <c r="K723" i="48"/>
  <c r="J723" i="48"/>
  <c r="H723" i="48"/>
  <c r="X723" i="48" s="1"/>
  <c r="AA723" i="48" s="1"/>
  <c r="W722" i="48"/>
  <c r="V722" i="48"/>
  <c r="T722" i="48"/>
  <c r="S722" i="48"/>
  <c r="R722" i="48"/>
  <c r="Q722" i="48"/>
  <c r="L722" i="48"/>
  <c r="M722" i="48" s="1"/>
  <c r="N722" i="48" s="1"/>
  <c r="O722" i="48" s="1"/>
  <c r="P722" i="48" s="1"/>
  <c r="K722" i="48"/>
  <c r="J722" i="48"/>
  <c r="H722" i="48"/>
  <c r="I722" i="48" s="1"/>
  <c r="W721" i="48"/>
  <c r="V721" i="48"/>
  <c r="T721" i="48"/>
  <c r="S721" i="48"/>
  <c r="R721" i="48"/>
  <c r="Q721" i="48"/>
  <c r="L721" i="48"/>
  <c r="M721" i="48" s="1"/>
  <c r="N721" i="48" s="1"/>
  <c r="O721" i="48" s="1"/>
  <c r="P721" i="48" s="1"/>
  <c r="K721" i="48"/>
  <c r="J721" i="48"/>
  <c r="H721" i="48"/>
  <c r="I721" i="48" s="1"/>
  <c r="W720" i="48"/>
  <c r="V720" i="48"/>
  <c r="T720" i="48"/>
  <c r="S720" i="48"/>
  <c r="R720" i="48"/>
  <c r="Q720" i="48"/>
  <c r="L720" i="48"/>
  <c r="M720" i="48" s="1"/>
  <c r="N720" i="48" s="1"/>
  <c r="O720" i="48" s="1"/>
  <c r="P720" i="48" s="1"/>
  <c r="K720" i="48"/>
  <c r="J720" i="48"/>
  <c r="H720" i="48"/>
  <c r="W719" i="48"/>
  <c r="V719" i="48"/>
  <c r="T719" i="48"/>
  <c r="S719" i="48"/>
  <c r="R719" i="48"/>
  <c r="Q719" i="48"/>
  <c r="L719" i="48"/>
  <c r="M719" i="48" s="1"/>
  <c r="N719" i="48" s="1"/>
  <c r="O719" i="48" s="1"/>
  <c r="P719" i="48" s="1"/>
  <c r="K719" i="48"/>
  <c r="J719" i="48"/>
  <c r="H719" i="48"/>
  <c r="X719" i="48" s="1"/>
  <c r="AA719" i="48" s="1"/>
  <c r="W718" i="48"/>
  <c r="V718" i="48"/>
  <c r="T718" i="48"/>
  <c r="S718" i="48"/>
  <c r="R718" i="48"/>
  <c r="Q718" i="48"/>
  <c r="L718" i="48"/>
  <c r="M718" i="48" s="1"/>
  <c r="N718" i="48" s="1"/>
  <c r="O718" i="48" s="1"/>
  <c r="P718" i="48" s="1"/>
  <c r="K718" i="48"/>
  <c r="J718" i="48"/>
  <c r="H718" i="48"/>
  <c r="I718" i="48" s="1"/>
  <c r="W717" i="48"/>
  <c r="V717" i="48"/>
  <c r="T717" i="48"/>
  <c r="S717" i="48"/>
  <c r="R717" i="48"/>
  <c r="Q717" i="48"/>
  <c r="L717" i="48"/>
  <c r="M717" i="48" s="1"/>
  <c r="N717" i="48" s="1"/>
  <c r="O717" i="48" s="1"/>
  <c r="P717" i="48" s="1"/>
  <c r="K717" i="48"/>
  <c r="J717" i="48"/>
  <c r="H717" i="48"/>
  <c r="I717" i="48" s="1"/>
  <c r="W716" i="48"/>
  <c r="V716" i="48"/>
  <c r="T716" i="48"/>
  <c r="S716" i="48"/>
  <c r="R716" i="48"/>
  <c r="Q716" i="48"/>
  <c r="L716" i="48"/>
  <c r="M716" i="48" s="1"/>
  <c r="N716" i="48" s="1"/>
  <c r="O716" i="48" s="1"/>
  <c r="P716" i="48" s="1"/>
  <c r="K716" i="48"/>
  <c r="J716" i="48"/>
  <c r="H716" i="48"/>
  <c r="W715" i="48"/>
  <c r="V715" i="48"/>
  <c r="T715" i="48"/>
  <c r="S715" i="48"/>
  <c r="R715" i="48"/>
  <c r="Q715" i="48"/>
  <c r="L715" i="48"/>
  <c r="M715" i="48" s="1"/>
  <c r="N715" i="48" s="1"/>
  <c r="O715" i="48" s="1"/>
  <c r="P715" i="48" s="1"/>
  <c r="K715" i="48"/>
  <c r="J715" i="48"/>
  <c r="H715" i="48"/>
  <c r="X715" i="48" s="1"/>
  <c r="AA715" i="48" s="1"/>
  <c r="W714" i="48"/>
  <c r="V714" i="48"/>
  <c r="T714" i="48"/>
  <c r="S714" i="48"/>
  <c r="R714" i="48"/>
  <c r="Q714" i="48"/>
  <c r="L714" i="48"/>
  <c r="M714" i="48" s="1"/>
  <c r="N714" i="48" s="1"/>
  <c r="O714" i="48" s="1"/>
  <c r="P714" i="48" s="1"/>
  <c r="K714" i="48"/>
  <c r="J714" i="48"/>
  <c r="H714" i="48"/>
  <c r="I714" i="48" s="1"/>
  <c r="W713" i="48"/>
  <c r="V713" i="48"/>
  <c r="T713" i="48"/>
  <c r="S713" i="48"/>
  <c r="R713" i="48"/>
  <c r="Q713" i="48"/>
  <c r="L713" i="48"/>
  <c r="M713" i="48" s="1"/>
  <c r="N713" i="48" s="1"/>
  <c r="O713" i="48" s="1"/>
  <c r="P713" i="48" s="1"/>
  <c r="K713" i="48"/>
  <c r="J713" i="48"/>
  <c r="H713" i="48"/>
  <c r="W712" i="48"/>
  <c r="V712" i="48"/>
  <c r="T712" i="48"/>
  <c r="S712" i="48"/>
  <c r="R712" i="48"/>
  <c r="Q712" i="48"/>
  <c r="L712" i="48"/>
  <c r="M712" i="48" s="1"/>
  <c r="N712" i="48" s="1"/>
  <c r="O712" i="48" s="1"/>
  <c r="P712" i="48" s="1"/>
  <c r="K712" i="48"/>
  <c r="J712" i="48"/>
  <c r="H712" i="48"/>
  <c r="X712" i="48" s="1"/>
  <c r="AA712" i="48" s="1"/>
  <c r="W711" i="48"/>
  <c r="V711" i="48"/>
  <c r="T711" i="48"/>
  <c r="S711" i="48"/>
  <c r="R711" i="48"/>
  <c r="Q711" i="48"/>
  <c r="L711" i="48"/>
  <c r="M711" i="48" s="1"/>
  <c r="N711" i="48" s="1"/>
  <c r="O711" i="48" s="1"/>
  <c r="P711" i="48" s="1"/>
  <c r="K711" i="48"/>
  <c r="J711" i="48"/>
  <c r="H711" i="48"/>
  <c r="X711" i="48" s="1"/>
  <c r="AA711" i="48" s="1"/>
  <c r="W710" i="48"/>
  <c r="V710" i="48"/>
  <c r="T710" i="48"/>
  <c r="S710" i="48"/>
  <c r="R710" i="48"/>
  <c r="Q710" i="48"/>
  <c r="L710" i="48"/>
  <c r="M710" i="48" s="1"/>
  <c r="N710" i="48" s="1"/>
  <c r="O710" i="48" s="1"/>
  <c r="P710" i="48" s="1"/>
  <c r="K710" i="48"/>
  <c r="J710" i="48"/>
  <c r="H710" i="48"/>
  <c r="W709" i="48"/>
  <c r="V709" i="48"/>
  <c r="T709" i="48"/>
  <c r="S709" i="48"/>
  <c r="R709" i="48"/>
  <c r="Q709" i="48"/>
  <c r="L709" i="48"/>
  <c r="M709" i="48" s="1"/>
  <c r="N709" i="48" s="1"/>
  <c r="O709" i="48" s="1"/>
  <c r="P709" i="48" s="1"/>
  <c r="K709" i="48"/>
  <c r="J709" i="48"/>
  <c r="H709" i="48"/>
  <c r="W708" i="48"/>
  <c r="V708" i="48"/>
  <c r="T708" i="48"/>
  <c r="S708" i="48"/>
  <c r="R708" i="48"/>
  <c r="Q708" i="48"/>
  <c r="L708" i="48"/>
  <c r="M708" i="48" s="1"/>
  <c r="N708" i="48" s="1"/>
  <c r="O708" i="48" s="1"/>
  <c r="P708" i="48" s="1"/>
  <c r="K708" i="48"/>
  <c r="J708" i="48"/>
  <c r="H708" i="48"/>
  <c r="W707" i="48"/>
  <c r="V707" i="48"/>
  <c r="T707" i="48"/>
  <c r="S707" i="48"/>
  <c r="R707" i="48"/>
  <c r="Q707" i="48"/>
  <c r="L707" i="48"/>
  <c r="M707" i="48" s="1"/>
  <c r="N707" i="48" s="1"/>
  <c r="O707" i="48" s="1"/>
  <c r="P707" i="48" s="1"/>
  <c r="K707" i="48"/>
  <c r="J707" i="48"/>
  <c r="H707" i="48"/>
  <c r="X707" i="48" s="1"/>
  <c r="AA707" i="48" s="1"/>
  <c r="W706" i="48"/>
  <c r="V706" i="48"/>
  <c r="T706" i="48"/>
  <c r="S706" i="48"/>
  <c r="R706" i="48"/>
  <c r="Q706" i="48"/>
  <c r="L706" i="48"/>
  <c r="M706" i="48" s="1"/>
  <c r="N706" i="48" s="1"/>
  <c r="O706" i="48" s="1"/>
  <c r="P706" i="48" s="1"/>
  <c r="K706" i="48"/>
  <c r="J706" i="48"/>
  <c r="H706" i="48"/>
  <c r="W705" i="48"/>
  <c r="V705" i="48"/>
  <c r="T705" i="48"/>
  <c r="S705" i="48"/>
  <c r="R705" i="48"/>
  <c r="Q705" i="48"/>
  <c r="L705" i="48"/>
  <c r="M705" i="48" s="1"/>
  <c r="N705" i="48" s="1"/>
  <c r="O705" i="48" s="1"/>
  <c r="P705" i="48" s="1"/>
  <c r="K705" i="48"/>
  <c r="J705" i="48"/>
  <c r="H705" i="48"/>
  <c r="I705" i="48" s="1"/>
  <c r="W704" i="48"/>
  <c r="V704" i="48"/>
  <c r="T704" i="48"/>
  <c r="S704" i="48"/>
  <c r="R704" i="48"/>
  <c r="Q704" i="48"/>
  <c r="L704" i="48"/>
  <c r="M704" i="48" s="1"/>
  <c r="N704" i="48" s="1"/>
  <c r="O704" i="48" s="1"/>
  <c r="P704" i="48" s="1"/>
  <c r="K704" i="48"/>
  <c r="J704" i="48"/>
  <c r="H704" i="48"/>
  <c r="W703" i="48"/>
  <c r="V703" i="48"/>
  <c r="T703" i="48"/>
  <c r="S703" i="48"/>
  <c r="R703" i="48"/>
  <c r="Q703" i="48"/>
  <c r="L703" i="48"/>
  <c r="M703" i="48" s="1"/>
  <c r="N703" i="48" s="1"/>
  <c r="O703" i="48" s="1"/>
  <c r="P703" i="48" s="1"/>
  <c r="K703" i="48"/>
  <c r="J703" i="48"/>
  <c r="H703" i="48"/>
  <c r="W702" i="48"/>
  <c r="V702" i="48"/>
  <c r="T702" i="48"/>
  <c r="S702" i="48"/>
  <c r="R702" i="48"/>
  <c r="Q702" i="48"/>
  <c r="L702" i="48"/>
  <c r="M702" i="48" s="1"/>
  <c r="N702" i="48" s="1"/>
  <c r="O702" i="48" s="1"/>
  <c r="P702" i="48" s="1"/>
  <c r="K702" i="48"/>
  <c r="J702" i="48"/>
  <c r="H702" i="48"/>
  <c r="W701" i="48"/>
  <c r="V701" i="48"/>
  <c r="T701" i="48"/>
  <c r="S701" i="48"/>
  <c r="R701" i="48"/>
  <c r="Q701" i="48"/>
  <c r="L701" i="48"/>
  <c r="M701" i="48" s="1"/>
  <c r="N701" i="48" s="1"/>
  <c r="O701" i="48" s="1"/>
  <c r="P701" i="48" s="1"/>
  <c r="K701" i="48"/>
  <c r="J701" i="48"/>
  <c r="H701" i="48"/>
  <c r="I701" i="48" s="1"/>
  <c r="W700" i="48"/>
  <c r="V700" i="48"/>
  <c r="T700" i="48"/>
  <c r="S700" i="48"/>
  <c r="R700" i="48"/>
  <c r="Q700" i="48"/>
  <c r="L700" i="48"/>
  <c r="M700" i="48" s="1"/>
  <c r="N700" i="48" s="1"/>
  <c r="O700" i="48" s="1"/>
  <c r="P700" i="48" s="1"/>
  <c r="K700" i="48"/>
  <c r="J700" i="48"/>
  <c r="H700" i="48"/>
  <c r="X700" i="48" s="1"/>
  <c r="AA700" i="48" s="1"/>
  <c r="W699" i="48"/>
  <c r="V699" i="48"/>
  <c r="T699" i="48"/>
  <c r="S699" i="48"/>
  <c r="R699" i="48"/>
  <c r="Q699" i="48"/>
  <c r="L699" i="48"/>
  <c r="M699" i="48" s="1"/>
  <c r="N699" i="48" s="1"/>
  <c r="O699" i="48" s="1"/>
  <c r="P699" i="48" s="1"/>
  <c r="K699" i="48"/>
  <c r="J699" i="48"/>
  <c r="H699" i="48"/>
  <c r="W698" i="48"/>
  <c r="V698" i="48"/>
  <c r="T698" i="48"/>
  <c r="S698" i="48"/>
  <c r="R698" i="48"/>
  <c r="Q698" i="48"/>
  <c r="L698" i="48"/>
  <c r="M698" i="48" s="1"/>
  <c r="N698" i="48" s="1"/>
  <c r="O698" i="48" s="1"/>
  <c r="P698" i="48" s="1"/>
  <c r="K698" i="48"/>
  <c r="J698" i="48"/>
  <c r="H698" i="48"/>
  <c r="I698" i="48" s="1"/>
  <c r="W697" i="48"/>
  <c r="V697" i="48"/>
  <c r="T697" i="48"/>
  <c r="S697" i="48"/>
  <c r="R697" i="48"/>
  <c r="Q697" i="48"/>
  <c r="L697" i="48"/>
  <c r="M697" i="48" s="1"/>
  <c r="N697" i="48" s="1"/>
  <c r="O697" i="48" s="1"/>
  <c r="P697" i="48" s="1"/>
  <c r="K697" i="48"/>
  <c r="J697" i="48"/>
  <c r="H697" i="48"/>
  <c r="W696" i="48"/>
  <c r="V696" i="48"/>
  <c r="T696" i="48"/>
  <c r="S696" i="48"/>
  <c r="R696" i="48"/>
  <c r="Q696" i="48"/>
  <c r="L696" i="48"/>
  <c r="M696" i="48" s="1"/>
  <c r="N696" i="48" s="1"/>
  <c r="O696" i="48" s="1"/>
  <c r="P696" i="48" s="1"/>
  <c r="K696" i="48"/>
  <c r="J696" i="48"/>
  <c r="H696" i="48"/>
  <c r="W695" i="48"/>
  <c r="V695" i="48"/>
  <c r="T695" i="48"/>
  <c r="S695" i="48"/>
  <c r="R695" i="48"/>
  <c r="Q695" i="48"/>
  <c r="L695" i="48"/>
  <c r="M695" i="48" s="1"/>
  <c r="N695" i="48" s="1"/>
  <c r="O695" i="48" s="1"/>
  <c r="P695" i="48" s="1"/>
  <c r="K695" i="48"/>
  <c r="J695" i="48"/>
  <c r="H695" i="48"/>
  <c r="W694" i="48"/>
  <c r="V694" i="48"/>
  <c r="T694" i="48"/>
  <c r="S694" i="48"/>
  <c r="R694" i="48"/>
  <c r="Q694" i="48"/>
  <c r="L694" i="48"/>
  <c r="M694" i="48" s="1"/>
  <c r="N694" i="48" s="1"/>
  <c r="O694" i="48" s="1"/>
  <c r="P694" i="48" s="1"/>
  <c r="K694" i="48"/>
  <c r="J694" i="48"/>
  <c r="H694" i="48"/>
  <c r="W693" i="48"/>
  <c r="V693" i="48"/>
  <c r="T693" i="48"/>
  <c r="S693" i="48"/>
  <c r="R693" i="48"/>
  <c r="Q693" i="48"/>
  <c r="L693" i="48"/>
  <c r="M693" i="48" s="1"/>
  <c r="N693" i="48" s="1"/>
  <c r="O693" i="48" s="1"/>
  <c r="P693" i="48" s="1"/>
  <c r="K693" i="48"/>
  <c r="J693" i="48"/>
  <c r="H693" i="48"/>
  <c r="I693" i="48" s="1"/>
  <c r="W692" i="48"/>
  <c r="V692" i="48"/>
  <c r="T692" i="48"/>
  <c r="S692" i="48"/>
  <c r="R692" i="48"/>
  <c r="Q692" i="48"/>
  <c r="L692" i="48"/>
  <c r="M692" i="48" s="1"/>
  <c r="N692" i="48" s="1"/>
  <c r="O692" i="48" s="1"/>
  <c r="P692" i="48" s="1"/>
  <c r="K692" i="48"/>
  <c r="J692" i="48"/>
  <c r="H692" i="48"/>
  <c r="I692" i="48" s="1"/>
  <c r="W691" i="48"/>
  <c r="V691" i="48"/>
  <c r="T691" i="48"/>
  <c r="S691" i="48"/>
  <c r="R691" i="48"/>
  <c r="Q691" i="48"/>
  <c r="L691" i="48"/>
  <c r="M691" i="48" s="1"/>
  <c r="N691" i="48" s="1"/>
  <c r="O691" i="48" s="1"/>
  <c r="P691" i="48" s="1"/>
  <c r="K691" i="48"/>
  <c r="J691" i="48"/>
  <c r="H691" i="48"/>
  <c r="I691" i="48" s="1"/>
  <c r="W690" i="48"/>
  <c r="V690" i="48"/>
  <c r="T690" i="48"/>
  <c r="S690" i="48"/>
  <c r="R690" i="48"/>
  <c r="Q690" i="48"/>
  <c r="L690" i="48"/>
  <c r="M690" i="48" s="1"/>
  <c r="N690" i="48" s="1"/>
  <c r="O690" i="48" s="1"/>
  <c r="P690" i="48" s="1"/>
  <c r="K690" i="48"/>
  <c r="J690" i="48"/>
  <c r="H690" i="48"/>
  <c r="W689" i="48"/>
  <c r="V689" i="48"/>
  <c r="T689" i="48"/>
  <c r="S689" i="48"/>
  <c r="R689" i="48"/>
  <c r="Q689" i="48"/>
  <c r="L689" i="48"/>
  <c r="M689" i="48" s="1"/>
  <c r="N689" i="48" s="1"/>
  <c r="O689" i="48" s="1"/>
  <c r="P689" i="48" s="1"/>
  <c r="K689" i="48"/>
  <c r="J689" i="48"/>
  <c r="H689" i="48"/>
  <c r="X689" i="48" s="1"/>
  <c r="AA689" i="48" s="1"/>
  <c r="W688" i="48"/>
  <c r="V688" i="48"/>
  <c r="T688" i="48"/>
  <c r="S688" i="48"/>
  <c r="R688" i="48"/>
  <c r="Q688" i="48"/>
  <c r="L688" i="48"/>
  <c r="M688" i="48" s="1"/>
  <c r="N688" i="48" s="1"/>
  <c r="O688" i="48" s="1"/>
  <c r="P688" i="48" s="1"/>
  <c r="K688" i="48"/>
  <c r="J688" i="48"/>
  <c r="H688" i="48"/>
  <c r="W687" i="48"/>
  <c r="V687" i="48"/>
  <c r="T687" i="48"/>
  <c r="S687" i="48"/>
  <c r="R687" i="48"/>
  <c r="Q687" i="48"/>
  <c r="L687" i="48"/>
  <c r="M687" i="48" s="1"/>
  <c r="N687" i="48" s="1"/>
  <c r="O687" i="48" s="1"/>
  <c r="P687" i="48" s="1"/>
  <c r="K687" i="48"/>
  <c r="J687" i="48"/>
  <c r="H687" i="48"/>
  <c r="W686" i="48"/>
  <c r="V686" i="48"/>
  <c r="T686" i="48"/>
  <c r="S686" i="48"/>
  <c r="R686" i="48"/>
  <c r="Q686" i="48"/>
  <c r="L686" i="48"/>
  <c r="M686" i="48" s="1"/>
  <c r="N686" i="48" s="1"/>
  <c r="O686" i="48" s="1"/>
  <c r="P686" i="48" s="1"/>
  <c r="K686" i="48"/>
  <c r="J686" i="48"/>
  <c r="H686" i="48"/>
  <c r="I686" i="48" s="1"/>
  <c r="W685" i="48"/>
  <c r="V685" i="48"/>
  <c r="T685" i="48"/>
  <c r="S685" i="48"/>
  <c r="R685" i="48"/>
  <c r="Q685" i="48"/>
  <c r="L685" i="48"/>
  <c r="M685" i="48" s="1"/>
  <c r="N685" i="48" s="1"/>
  <c r="O685" i="48" s="1"/>
  <c r="P685" i="48" s="1"/>
  <c r="K685" i="48"/>
  <c r="J685" i="48"/>
  <c r="H685" i="48"/>
  <c r="X685" i="48" s="1"/>
  <c r="AA685" i="48" s="1"/>
  <c r="W684" i="48"/>
  <c r="V684" i="48"/>
  <c r="T684" i="48"/>
  <c r="S684" i="48"/>
  <c r="R684" i="48"/>
  <c r="Q684" i="48"/>
  <c r="L684" i="48"/>
  <c r="M684" i="48" s="1"/>
  <c r="N684" i="48" s="1"/>
  <c r="O684" i="48" s="1"/>
  <c r="P684" i="48" s="1"/>
  <c r="K684" i="48"/>
  <c r="J684" i="48"/>
  <c r="H684" i="48"/>
  <c r="X684" i="48" s="1"/>
  <c r="AA684" i="48" s="1"/>
  <c r="W683" i="48"/>
  <c r="V683" i="48"/>
  <c r="T683" i="48"/>
  <c r="S683" i="48"/>
  <c r="R683" i="48"/>
  <c r="Q683" i="48"/>
  <c r="L683" i="48"/>
  <c r="M683" i="48" s="1"/>
  <c r="N683" i="48" s="1"/>
  <c r="O683" i="48" s="1"/>
  <c r="P683" i="48" s="1"/>
  <c r="K683" i="48"/>
  <c r="J683" i="48"/>
  <c r="H683" i="48"/>
  <c r="X683" i="48" s="1"/>
  <c r="AA683" i="48" s="1"/>
  <c r="W682" i="48"/>
  <c r="V682" i="48"/>
  <c r="T682" i="48"/>
  <c r="S682" i="48"/>
  <c r="R682" i="48"/>
  <c r="Q682" i="48"/>
  <c r="L682" i="48"/>
  <c r="M682" i="48" s="1"/>
  <c r="N682" i="48" s="1"/>
  <c r="O682" i="48" s="1"/>
  <c r="P682" i="48" s="1"/>
  <c r="K682" i="48"/>
  <c r="J682" i="48"/>
  <c r="H682" i="48"/>
  <c r="I682" i="48" s="1"/>
  <c r="W681" i="48"/>
  <c r="V681" i="48"/>
  <c r="T681" i="48"/>
  <c r="S681" i="48"/>
  <c r="R681" i="48"/>
  <c r="Q681" i="48"/>
  <c r="L681" i="48"/>
  <c r="M681" i="48" s="1"/>
  <c r="N681" i="48" s="1"/>
  <c r="O681" i="48" s="1"/>
  <c r="P681" i="48" s="1"/>
  <c r="K681" i="48"/>
  <c r="J681" i="48"/>
  <c r="H681" i="48"/>
  <c r="W680" i="48"/>
  <c r="V680" i="48"/>
  <c r="T680" i="48"/>
  <c r="S680" i="48"/>
  <c r="R680" i="48"/>
  <c r="Q680" i="48"/>
  <c r="L680" i="48"/>
  <c r="M680" i="48" s="1"/>
  <c r="N680" i="48" s="1"/>
  <c r="O680" i="48" s="1"/>
  <c r="P680" i="48" s="1"/>
  <c r="K680" i="48"/>
  <c r="J680" i="48"/>
  <c r="H680" i="48"/>
  <c r="W679" i="48"/>
  <c r="V679" i="48"/>
  <c r="T679" i="48"/>
  <c r="S679" i="48"/>
  <c r="R679" i="48"/>
  <c r="Q679" i="48"/>
  <c r="L679" i="48"/>
  <c r="M679" i="48" s="1"/>
  <c r="N679" i="48" s="1"/>
  <c r="O679" i="48" s="1"/>
  <c r="P679" i="48" s="1"/>
  <c r="K679" i="48"/>
  <c r="J679" i="48"/>
  <c r="H679" i="48"/>
  <c r="I679" i="48" s="1"/>
  <c r="W678" i="48"/>
  <c r="V678" i="48"/>
  <c r="T678" i="48"/>
  <c r="S678" i="48"/>
  <c r="R678" i="48"/>
  <c r="Q678" i="48"/>
  <c r="L678" i="48"/>
  <c r="M678" i="48" s="1"/>
  <c r="N678" i="48" s="1"/>
  <c r="O678" i="48" s="1"/>
  <c r="P678" i="48" s="1"/>
  <c r="K678" i="48"/>
  <c r="J678" i="48"/>
  <c r="H678" i="48"/>
  <c r="I678" i="48" s="1"/>
  <c r="W677" i="48"/>
  <c r="V677" i="48"/>
  <c r="T677" i="48"/>
  <c r="S677" i="48"/>
  <c r="R677" i="48"/>
  <c r="Q677" i="48"/>
  <c r="L677" i="48"/>
  <c r="M677" i="48" s="1"/>
  <c r="N677" i="48" s="1"/>
  <c r="O677" i="48" s="1"/>
  <c r="P677" i="48" s="1"/>
  <c r="K677" i="48"/>
  <c r="J677" i="48"/>
  <c r="H677" i="48"/>
  <c r="W676" i="48"/>
  <c r="V676" i="48"/>
  <c r="T676" i="48"/>
  <c r="S676" i="48"/>
  <c r="R676" i="48"/>
  <c r="Q676" i="48"/>
  <c r="L676" i="48"/>
  <c r="M676" i="48" s="1"/>
  <c r="N676" i="48" s="1"/>
  <c r="O676" i="48" s="1"/>
  <c r="P676" i="48" s="1"/>
  <c r="K676" i="48"/>
  <c r="J676" i="48"/>
  <c r="H676" i="48"/>
  <c r="W675" i="48"/>
  <c r="V675" i="48"/>
  <c r="T675" i="48"/>
  <c r="S675" i="48"/>
  <c r="R675" i="48"/>
  <c r="Q675" i="48"/>
  <c r="L675" i="48"/>
  <c r="M675" i="48" s="1"/>
  <c r="N675" i="48" s="1"/>
  <c r="O675" i="48" s="1"/>
  <c r="P675" i="48" s="1"/>
  <c r="K675" i="48"/>
  <c r="J675" i="48"/>
  <c r="H675" i="48"/>
  <c r="W674" i="48"/>
  <c r="V674" i="48"/>
  <c r="T674" i="48"/>
  <c r="S674" i="48"/>
  <c r="R674" i="48"/>
  <c r="Q674" i="48"/>
  <c r="L674" i="48"/>
  <c r="M674" i="48" s="1"/>
  <c r="N674" i="48" s="1"/>
  <c r="O674" i="48" s="1"/>
  <c r="P674" i="48" s="1"/>
  <c r="K674" i="48"/>
  <c r="J674" i="48"/>
  <c r="H674" i="48"/>
  <c r="W673" i="48"/>
  <c r="V673" i="48"/>
  <c r="T673" i="48"/>
  <c r="S673" i="48"/>
  <c r="R673" i="48"/>
  <c r="Q673" i="48"/>
  <c r="L673" i="48"/>
  <c r="M673" i="48" s="1"/>
  <c r="N673" i="48" s="1"/>
  <c r="O673" i="48" s="1"/>
  <c r="P673" i="48" s="1"/>
  <c r="K673" i="48"/>
  <c r="J673" i="48"/>
  <c r="H673" i="48"/>
  <c r="X673" i="48" s="1"/>
  <c r="AA673" i="48" s="1"/>
  <c r="W672" i="48"/>
  <c r="V672" i="48"/>
  <c r="T672" i="48"/>
  <c r="S672" i="48"/>
  <c r="R672" i="48"/>
  <c r="Q672" i="48"/>
  <c r="L672" i="48"/>
  <c r="M672" i="48" s="1"/>
  <c r="N672" i="48" s="1"/>
  <c r="O672" i="48" s="1"/>
  <c r="P672" i="48" s="1"/>
  <c r="K672" i="48"/>
  <c r="J672" i="48"/>
  <c r="H672" i="48"/>
  <c r="W671" i="48"/>
  <c r="V671" i="48"/>
  <c r="T671" i="48"/>
  <c r="S671" i="48"/>
  <c r="R671" i="48"/>
  <c r="Q671" i="48"/>
  <c r="L671" i="48"/>
  <c r="M671" i="48" s="1"/>
  <c r="N671" i="48" s="1"/>
  <c r="O671" i="48" s="1"/>
  <c r="P671" i="48" s="1"/>
  <c r="K671" i="48"/>
  <c r="J671" i="48"/>
  <c r="H671" i="48"/>
  <c r="X671" i="48" s="1"/>
  <c r="AA671" i="48" s="1"/>
  <c r="W670" i="48"/>
  <c r="V670" i="48"/>
  <c r="T670" i="48"/>
  <c r="S670" i="48"/>
  <c r="R670" i="48"/>
  <c r="Q670" i="48"/>
  <c r="L670" i="48"/>
  <c r="M670" i="48" s="1"/>
  <c r="N670" i="48" s="1"/>
  <c r="O670" i="48" s="1"/>
  <c r="P670" i="48" s="1"/>
  <c r="K670" i="48"/>
  <c r="J670" i="48"/>
  <c r="H670" i="48"/>
  <c r="W669" i="48"/>
  <c r="V669" i="48"/>
  <c r="T669" i="48"/>
  <c r="S669" i="48"/>
  <c r="R669" i="48"/>
  <c r="Q669" i="48"/>
  <c r="L669" i="48"/>
  <c r="M669" i="48" s="1"/>
  <c r="N669" i="48" s="1"/>
  <c r="O669" i="48" s="1"/>
  <c r="P669" i="48" s="1"/>
  <c r="K669" i="48"/>
  <c r="J669" i="48"/>
  <c r="H669" i="48"/>
  <c r="X669" i="48" s="1"/>
  <c r="AA669" i="48" s="1"/>
  <c r="W668" i="48"/>
  <c r="V668" i="48"/>
  <c r="T668" i="48"/>
  <c r="S668" i="48"/>
  <c r="R668" i="48"/>
  <c r="Q668" i="48"/>
  <c r="L668" i="48"/>
  <c r="M668" i="48" s="1"/>
  <c r="N668" i="48" s="1"/>
  <c r="O668" i="48" s="1"/>
  <c r="P668" i="48" s="1"/>
  <c r="K668" i="48"/>
  <c r="J668" i="48"/>
  <c r="H668" i="48"/>
  <c r="W667" i="48"/>
  <c r="V667" i="48"/>
  <c r="T667" i="48"/>
  <c r="S667" i="48"/>
  <c r="R667" i="48"/>
  <c r="Q667" i="48"/>
  <c r="L667" i="48"/>
  <c r="M667" i="48" s="1"/>
  <c r="N667" i="48" s="1"/>
  <c r="O667" i="48" s="1"/>
  <c r="P667" i="48" s="1"/>
  <c r="K667" i="48"/>
  <c r="J667" i="48"/>
  <c r="H667" i="48"/>
  <c r="X667" i="48" s="1"/>
  <c r="AA667" i="48" s="1"/>
  <c r="W666" i="48"/>
  <c r="V666" i="48"/>
  <c r="T666" i="48"/>
  <c r="S666" i="48"/>
  <c r="R666" i="48"/>
  <c r="Q666" i="48"/>
  <c r="L666" i="48"/>
  <c r="M666" i="48" s="1"/>
  <c r="N666" i="48" s="1"/>
  <c r="O666" i="48" s="1"/>
  <c r="P666" i="48" s="1"/>
  <c r="K666" i="48"/>
  <c r="J666" i="48"/>
  <c r="H666" i="48"/>
  <c r="W665" i="48"/>
  <c r="V665" i="48"/>
  <c r="T665" i="48"/>
  <c r="S665" i="48"/>
  <c r="R665" i="48"/>
  <c r="Q665" i="48"/>
  <c r="L665" i="48"/>
  <c r="M665" i="48" s="1"/>
  <c r="N665" i="48" s="1"/>
  <c r="O665" i="48" s="1"/>
  <c r="P665" i="48" s="1"/>
  <c r="K665" i="48"/>
  <c r="J665" i="48"/>
  <c r="H665" i="48"/>
  <c r="X665" i="48" s="1"/>
  <c r="AA665" i="48" s="1"/>
  <c r="W664" i="48"/>
  <c r="V664" i="48"/>
  <c r="T664" i="48"/>
  <c r="S664" i="48"/>
  <c r="R664" i="48"/>
  <c r="Q664" i="48"/>
  <c r="L664" i="48"/>
  <c r="M664" i="48" s="1"/>
  <c r="N664" i="48" s="1"/>
  <c r="O664" i="48" s="1"/>
  <c r="P664" i="48" s="1"/>
  <c r="K664" i="48"/>
  <c r="J664" i="48"/>
  <c r="H664" i="48"/>
  <c r="X664" i="48" s="1"/>
  <c r="AA664" i="48" s="1"/>
  <c r="W663" i="48"/>
  <c r="V663" i="48"/>
  <c r="T663" i="48"/>
  <c r="S663" i="48"/>
  <c r="R663" i="48"/>
  <c r="Q663" i="48"/>
  <c r="L663" i="48"/>
  <c r="M663" i="48" s="1"/>
  <c r="N663" i="48" s="1"/>
  <c r="O663" i="48" s="1"/>
  <c r="P663" i="48" s="1"/>
  <c r="K663" i="48"/>
  <c r="J663" i="48"/>
  <c r="H663" i="48"/>
  <c r="W662" i="48"/>
  <c r="V662" i="48"/>
  <c r="T662" i="48"/>
  <c r="S662" i="48"/>
  <c r="R662" i="48"/>
  <c r="Q662" i="48"/>
  <c r="L662" i="48"/>
  <c r="M662" i="48" s="1"/>
  <c r="N662" i="48" s="1"/>
  <c r="O662" i="48" s="1"/>
  <c r="P662" i="48" s="1"/>
  <c r="K662" i="48"/>
  <c r="J662" i="48"/>
  <c r="H662" i="48"/>
  <c r="X662" i="48" s="1"/>
  <c r="AA662" i="48" s="1"/>
  <c r="W661" i="48"/>
  <c r="V661" i="48"/>
  <c r="T661" i="48"/>
  <c r="S661" i="48"/>
  <c r="R661" i="48"/>
  <c r="Q661" i="48"/>
  <c r="L661" i="48"/>
  <c r="M661" i="48" s="1"/>
  <c r="N661" i="48" s="1"/>
  <c r="O661" i="48" s="1"/>
  <c r="P661" i="48" s="1"/>
  <c r="K661" i="48"/>
  <c r="J661" i="48"/>
  <c r="H661" i="48"/>
  <c r="X661" i="48" s="1"/>
  <c r="AA661" i="48" s="1"/>
  <c r="W660" i="48"/>
  <c r="V660" i="48"/>
  <c r="T660" i="48"/>
  <c r="S660" i="48"/>
  <c r="R660" i="48"/>
  <c r="Q660" i="48"/>
  <c r="L660" i="48"/>
  <c r="M660" i="48" s="1"/>
  <c r="N660" i="48" s="1"/>
  <c r="O660" i="48" s="1"/>
  <c r="P660" i="48" s="1"/>
  <c r="K660" i="48"/>
  <c r="J660" i="48"/>
  <c r="H660" i="48"/>
  <c r="X660" i="48" s="1"/>
  <c r="AA660" i="48" s="1"/>
  <c r="W659" i="48"/>
  <c r="V659" i="48"/>
  <c r="T659" i="48"/>
  <c r="S659" i="48"/>
  <c r="R659" i="48"/>
  <c r="Q659" i="48"/>
  <c r="L659" i="48"/>
  <c r="M659" i="48" s="1"/>
  <c r="N659" i="48" s="1"/>
  <c r="O659" i="48" s="1"/>
  <c r="P659" i="48" s="1"/>
  <c r="K659" i="48"/>
  <c r="J659" i="48"/>
  <c r="H659" i="48"/>
  <c r="W658" i="48"/>
  <c r="V658" i="48"/>
  <c r="T658" i="48"/>
  <c r="S658" i="48"/>
  <c r="R658" i="48"/>
  <c r="Q658" i="48"/>
  <c r="L658" i="48"/>
  <c r="M658" i="48" s="1"/>
  <c r="N658" i="48" s="1"/>
  <c r="O658" i="48" s="1"/>
  <c r="P658" i="48" s="1"/>
  <c r="K658" i="48"/>
  <c r="J658" i="48"/>
  <c r="H658" i="48"/>
  <c r="X658" i="48" s="1"/>
  <c r="AA658" i="48" s="1"/>
  <c r="W657" i="48"/>
  <c r="V657" i="48"/>
  <c r="T657" i="48"/>
  <c r="S657" i="48"/>
  <c r="R657" i="48"/>
  <c r="Q657" i="48"/>
  <c r="L657" i="48"/>
  <c r="M657" i="48" s="1"/>
  <c r="N657" i="48" s="1"/>
  <c r="O657" i="48" s="1"/>
  <c r="P657" i="48" s="1"/>
  <c r="K657" i="48"/>
  <c r="J657" i="48"/>
  <c r="H657" i="48"/>
  <c r="W656" i="48"/>
  <c r="V656" i="48"/>
  <c r="T656" i="48"/>
  <c r="S656" i="48"/>
  <c r="R656" i="48"/>
  <c r="Q656" i="48"/>
  <c r="L656" i="48"/>
  <c r="M656" i="48" s="1"/>
  <c r="N656" i="48" s="1"/>
  <c r="O656" i="48" s="1"/>
  <c r="P656" i="48" s="1"/>
  <c r="K656" i="48"/>
  <c r="J656" i="48"/>
  <c r="H656" i="48"/>
  <c r="X656" i="48" s="1"/>
  <c r="AA656" i="48" s="1"/>
  <c r="W655" i="48"/>
  <c r="V655" i="48"/>
  <c r="T655" i="48"/>
  <c r="S655" i="48"/>
  <c r="R655" i="48"/>
  <c r="Q655" i="48"/>
  <c r="L655" i="48"/>
  <c r="M655" i="48" s="1"/>
  <c r="N655" i="48" s="1"/>
  <c r="O655" i="48" s="1"/>
  <c r="P655" i="48" s="1"/>
  <c r="K655" i="48"/>
  <c r="J655" i="48"/>
  <c r="H655" i="48"/>
  <c r="X655" i="48" s="1"/>
  <c r="AA655" i="48" s="1"/>
  <c r="W654" i="48"/>
  <c r="V654" i="48"/>
  <c r="T654" i="48"/>
  <c r="S654" i="48"/>
  <c r="R654" i="48"/>
  <c r="Q654" i="48"/>
  <c r="L654" i="48"/>
  <c r="M654" i="48" s="1"/>
  <c r="N654" i="48" s="1"/>
  <c r="O654" i="48" s="1"/>
  <c r="P654" i="48" s="1"/>
  <c r="K654" i="48"/>
  <c r="J654" i="48"/>
  <c r="H654" i="48"/>
  <c r="X654" i="48" s="1"/>
  <c r="AA654" i="48" s="1"/>
  <c r="W653" i="48"/>
  <c r="V653" i="48"/>
  <c r="T653" i="48"/>
  <c r="S653" i="48"/>
  <c r="R653" i="48"/>
  <c r="Q653" i="48"/>
  <c r="L653" i="48"/>
  <c r="M653" i="48" s="1"/>
  <c r="N653" i="48" s="1"/>
  <c r="O653" i="48" s="1"/>
  <c r="P653" i="48" s="1"/>
  <c r="K653" i="48"/>
  <c r="J653" i="48"/>
  <c r="H653" i="48"/>
  <c r="X653" i="48" s="1"/>
  <c r="AA653" i="48" s="1"/>
  <c r="W652" i="48"/>
  <c r="V652" i="48"/>
  <c r="T652" i="48"/>
  <c r="S652" i="48"/>
  <c r="R652" i="48"/>
  <c r="Q652" i="48"/>
  <c r="L652" i="48"/>
  <c r="M652" i="48" s="1"/>
  <c r="N652" i="48" s="1"/>
  <c r="O652" i="48" s="1"/>
  <c r="P652" i="48" s="1"/>
  <c r="K652" i="48"/>
  <c r="J652" i="48"/>
  <c r="H652" i="48"/>
  <c r="W651" i="48"/>
  <c r="V651" i="48"/>
  <c r="T651" i="48"/>
  <c r="S651" i="48"/>
  <c r="R651" i="48"/>
  <c r="Q651" i="48"/>
  <c r="L651" i="48"/>
  <c r="M651" i="48" s="1"/>
  <c r="N651" i="48" s="1"/>
  <c r="O651" i="48" s="1"/>
  <c r="P651" i="48" s="1"/>
  <c r="K651" i="48"/>
  <c r="J651" i="48"/>
  <c r="H651" i="48"/>
  <c r="X651" i="48" s="1"/>
  <c r="AA651" i="48" s="1"/>
  <c r="W650" i="48"/>
  <c r="V650" i="48"/>
  <c r="T650" i="48"/>
  <c r="S650" i="48"/>
  <c r="R650" i="48"/>
  <c r="Q650" i="48"/>
  <c r="L650" i="48"/>
  <c r="M650" i="48" s="1"/>
  <c r="N650" i="48" s="1"/>
  <c r="O650" i="48" s="1"/>
  <c r="P650" i="48" s="1"/>
  <c r="K650" i="48"/>
  <c r="J650" i="48"/>
  <c r="H650" i="48"/>
  <c r="X650" i="48" s="1"/>
  <c r="AA650" i="48" s="1"/>
  <c r="W649" i="48"/>
  <c r="V649" i="48"/>
  <c r="T649" i="48"/>
  <c r="S649" i="48"/>
  <c r="R649" i="48"/>
  <c r="Q649" i="48"/>
  <c r="L649" i="48"/>
  <c r="M649" i="48" s="1"/>
  <c r="N649" i="48" s="1"/>
  <c r="O649" i="48" s="1"/>
  <c r="P649" i="48" s="1"/>
  <c r="K649" i="48"/>
  <c r="J649" i="48"/>
  <c r="H649" i="48"/>
  <c r="X649" i="48" s="1"/>
  <c r="AA649" i="48" s="1"/>
  <c r="W648" i="48"/>
  <c r="V648" i="48"/>
  <c r="T648" i="48"/>
  <c r="S648" i="48"/>
  <c r="R648" i="48"/>
  <c r="Q648" i="48"/>
  <c r="L648" i="48"/>
  <c r="M648" i="48" s="1"/>
  <c r="N648" i="48" s="1"/>
  <c r="O648" i="48" s="1"/>
  <c r="P648" i="48" s="1"/>
  <c r="K648" i="48"/>
  <c r="J648" i="48"/>
  <c r="H648" i="48"/>
  <c r="X648" i="48" s="1"/>
  <c r="AA648" i="48" s="1"/>
  <c r="W647" i="48"/>
  <c r="V647" i="48"/>
  <c r="T647" i="48"/>
  <c r="S647" i="48"/>
  <c r="R647" i="48"/>
  <c r="Q647" i="48"/>
  <c r="L647" i="48"/>
  <c r="M647" i="48" s="1"/>
  <c r="N647" i="48" s="1"/>
  <c r="O647" i="48" s="1"/>
  <c r="P647" i="48" s="1"/>
  <c r="K647" i="48"/>
  <c r="J647" i="48"/>
  <c r="H647" i="48"/>
  <c r="X647" i="48" s="1"/>
  <c r="AA647" i="48" s="1"/>
  <c r="W646" i="48"/>
  <c r="V646" i="48"/>
  <c r="T646" i="48"/>
  <c r="S646" i="48"/>
  <c r="R646" i="48"/>
  <c r="Q646" i="48"/>
  <c r="L646" i="48"/>
  <c r="M646" i="48" s="1"/>
  <c r="N646" i="48" s="1"/>
  <c r="O646" i="48" s="1"/>
  <c r="P646" i="48" s="1"/>
  <c r="K646" i="48"/>
  <c r="J646" i="48"/>
  <c r="H646" i="48"/>
  <c r="I646" i="48" s="1"/>
  <c r="W645" i="48"/>
  <c r="V645" i="48"/>
  <c r="T645" i="48"/>
  <c r="S645" i="48"/>
  <c r="R645" i="48"/>
  <c r="Q645" i="48"/>
  <c r="L645" i="48"/>
  <c r="M645" i="48" s="1"/>
  <c r="N645" i="48" s="1"/>
  <c r="O645" i="48" s="1"/>
  <c r="P645" i="48" s="1"/>
  <c r="K645" i="48"/>
  <c r="J645" i="48"/>
  <c r="H645" i="48"/>
  <c r="X645" i="48" s="1"/>
  <c r="AA645" i="48" s="1"/>
  <c r="W644" i="48"/>
  <c r="V644" i="48"/>
  <c r="T644" i="48"/>
  <c r="S644" i="48"/>
  <c r="R644" i="48"/>
  <c r="Q644" i="48"/>
  <c r="L644" i="48"/>
  <c r="M644" i="48" s="1"/>
  <c r="N644" i="48" s="1"/>
  <c r="O644" i="48" s="1"/>
  <c r="P644" i="48" s="1"/>
  <c r="K644" i="48"/>
  <c r="J644" i="48"/>
  <c r="H644" i="48"/>
  <c r="X644" i="48" s="1"/>
  <c r="AA644" i="48" s="1"/>
  <c r="W643" i="48"/>
  <c r="V643" i="48"/>
  <c r="T643" i="48"/>
  <c r="S643" i="48"/>
  <c r="R643" i="48"/>
  <c r="Q643" i="48"/>
  <c r="L643" i="48"/>
  <c r="M643" i="48" s="1"/>
  <c r="N643" i="48" s="1"/>
  <c r="O643" i="48" s="1"/>
  <c r="P643" i="48" s="1"/>
  <c r="K643" i="48"/>
  <c r="J643" i="48"/>
  <c r="H643" i="48"/>
  <c r="X643" i="48" s="1"/>
  <c r="AA643" i="48" s="1"/>
  <c r="W642" i="48"/>
  <c r="V642" i="48"/>
  <c r="T642" i="48"/>
  <c r="S642" i="48"/>
  <c r="R642" i="48"/>
  <c r="Q642" i="48"/>
  <c r="L642" i="48"/>
  <c r="M642" i="48" s="1"/>
  <c r="N642" i="48" s="1"/>
  <c r="O642" i="48" s="1"/>
  <c r="P642" i="48" s="1"/>
  <c r="K642" i="48"/>
  <c r="J642" i="48"/>
  <c r="H642" i="48"/>
  <c r="I642" i="48" s="1"/>
  <c r="W641" i="48"/>
  <c r="V641" i="48"/>
  <c r="T641" i="48"/>
  <c r="S641" i="48"/>
  <c r="R641" i="48"/>
  <c r="Q641" i="48"/>
  <c r="L641" i="48"/>
  <c r="M641" i="48" s="1"/>
  <c r="N641" i="48" s="1"/>
  <c r="O641" i="48" s="1"/>
  <c r="P641" i="48" s="1"/>
  <c r="K641" i="48"/>
  <c r="J641" i="48"/>
  <c r="H641" i="48"/>
  <c r="X641" i="48" s="1"/>
  <c r="AA641" i="48" s="1"/>
  <c r="W640" i="48"/>
  <c r="V640" i="48"/>
  <c r="T640" i="48"/>
  <c r="S640" i="48"/>
  <c r="R640" i="48"/>
  <c r="Q640" i="48"/>
  <c r="L640" i="48"/>
  <c r="M640" i="48" s="1"/>
  <c r="N640" i="48" s="1"/>
  <c r="O640" i="48" s="1"/>
  <c r="P640" i="48" s="1"/>
  <c r="K640" i="48"/>
  <c r="J640" i="48"/>
  <c r="H640" i="48"/>
  <c r="X640" i="48" s="1"/>
  <c r="AA640" i="48" s="1"/>
  <c r="W639" i="48"/>
  <c r="V639" i="48"/>
  <c r="T639" i="48"/>
  <c r="S639" i="48"/>
  <c r="R639" i="48"/>
  <c r="Q639" i="48"/>
  <c r="L639" i="48"/>
  <c r="M639" i="48" s="1"/>
  <c r="N639" i="48" s="1"/>
  <c r="O639" i="48" s="1"/>
  <c r="P639" i="48" s="1"/>
  <c r="K639" i="48"/>
  <c r="J639" i="48"/>
  <c r="H639" i="48"/>
  <c r="X639" i="48" s="1"/>
  <c r="AA639" i="48" s="1"/>
  <c r="W638" i="48"/>
  <c r="V638" i="48"/>
  <c r="T638" i="48"/>
  <c r="S638" i="48"/>
  <c r="R638" i="48"/>
  <c r="Q638" i="48"/>
  <c r="L638" i="48"/>
  <c r="M638" i="48" s="1"/>
  <c r="N638" i="48" s="1"/>
  <c r="O638" i="48" s="1"/>
  <c r="P638" i="48" s="1"/>
  <c r="K638" i="48"/>
  <c r="J638" i="48"/>
  <c r="H638" i="48"/>
  <c r="I638" i="48" s="1"/>
  <c r="W637" i="48"/>
  <c r="V637" i="48"/>
  <c r="T637" i="48"/>
  <c r="S637" i="48"/>
  <c r="R637" i="48"/>
  <c r="Q637" i="48"/>
  <c r="L637" i="48"/>
  <c r="M637" i="48" s="1"/>
  <c r="N637" i="48" s="1"/>
  <c r="O637" i="48" s="1"/>
  <c r="P637" i="48" s="1"/>
  <c r="K637" i="48"/>
  <c r="J637" i="48"/>
  <c r="H637" i="48"/>
  <c r="X637" i="48" s="1"/>
  <c r="AA637" i="48" s="1"/>
  <c r="W636" i="48"/>
  <c r="V636" i="48"/>
  <c r="T636" i="48"/>
  <c r="S636" i="48"/>
  <c r="R636" i="48"/>
  <c r="Q636" i="48"/>
  <c r="L636" i="48"/>
  <c r="M636" i="48" s="1"/>
  <c r="N636" i="48" s="1"/>
  <c r="O636" i="48" s="1"/>
  <c r="P636" i="48" s="1"/>
  <c r="K636" i="48"/>
  <c r="J636" i="48"/>
  <c r="H636" i="48"/>
  <c r="X636" i="48" s="1"/>
  <c r="AA636" i="48" s="1"/>
  <c r="W635" i="48"/>
  <c r="V635" i="48"/>
  <c r="T635" i="48"/>
  <c r="S635" i="48"/>
  <c r="R635" i="48"/>
  <c r="Q635" i="48"/>
  <c r="L635" i="48"/>
  <c r="M635" i="48" s="1"/>
  <c r="N635" i="48" s="1"/>
  <c r="O635" i="48" s="1"/>
  <c r="P635" i="48" s="1"/>
  <c r="K635" i="48"/>
  <c r="J635" i="48"/>
  <c r="H635" i="48"/>
  <c r="X635" i="48" s="1"/>
  <c r="AA635" i="48" s="1"/>
  <c r="W634" i="48"/>
  <c r="V634" i="48"/>
  <c r="T634" i="48"/>
  <c r="S634" i="48"/>
  <c r="R634" i="48"/>
  <c r="Q634" i="48"/>
  <c r="L634" i="48"/>
  <c r="M634" i="48" s="1"/>
  <c r="N634" i="48" s="1"/>
  <c r="O634" i="48" s="1"/>
  <c r="P634" i="48" s="1"/>
  <c r="K634" i="48"/>
  <c r="J634" i="48"/>
  <c r="H634" i="48"/>
  <c r="I634" i="48" s="1"/>
  <c r="W633" i="48"/>
  <c r="V633" i="48"/>
  <c r="T633" i="48"/>
  <c r="S633" i="48"/>
  <c r="R633" i="48"/>
  <c r="Q633" i="48"/>
  <c r="L633" i="48"/>
  <c r="M633" i="48" s="1"/>
  <c r="N633" i="48" s="1"/>
  <c r="O633" i="48" s="1"/>
  <c r="P633" i="48" s="1"/>
  <c r="K633" i="48"/>
  <c r="J633" i="48"/>
  <c r="H633" i="48"/>
  <c r="X633" i="48" s="1"/>
  <c r="AA633" i="48" s="1"/>
  <c r="W632" i="48"/>
  <c r="V632" i="48"/>
  <c r="T632" i="48"/>
  <c r="S632" i="48"/>
  <c r="R632" i="48"/>
  <c r="Q632" i="48"/>
  <c r="L632" i="48"/>
  <c r="M632" i="48" s="1"/>
  <c r="N632" i="48" s="1"/>
  <c r="O632" i="48" s="1"/>
  <c r="P632" i="48" s="1"/>
  <c r="K632" i="48"/>
  <c r="J632" i="48"/>
  <c r="H632" i="48"/>
  <c r="X632" i="48" s="1"/>
  <c r="AA632" i="48" s="1"/>
  <c r="W631" i="48"/>
  <c r="V631" i="48"/>
  <c r="T631" i="48"/>
  <c r="S631" i="48"/>
  <c r="R631" i="48"/>
  <c r="Q631" i="48"/>
  <c r="L631" i="48"/>
  <c r="M631" i="48" s="1"/>
  <c r="N631" i="48" s="1"/>
  <c r="O631" i="48" s="1"/>
  <c r="P631" i="48" s="1"/>
  <c r="K631" i="48"/>
  <c r="J631" i="48"/>
  <c r="H631" i="48"/>
  <c r="X631" i="48" s="1"/>
  <c r="AA631" i="48" s="1"/>
  <c r="W630" i="48"/>
  <c r="V630" i="48"/>
  <c r="T630" i="48"/>
  <c r="S630" i="48"/>
  <c r="R630" i="48"/>
  <c r="Q630" i="48"/>
  <c r="L630" i="48"/>
  <c r="M630" i="48" s="1"/>
  <c r="N630" i="48" s="1"/>
  <c r="O630" i="48" s="1"/>
  <c r="P630" i="48" s="1"/>
  <c r="K630" i="48"/>
  <c r="J630" i="48"/>
  <c r="H630" i="48"/>
  <c r="I630" i="48" s="1"/>
  <c r="W629" i="48"/>
  <c r="V629" i="48"/>
  <c r="T629" i="48"/>
  <c r="S629" i="48"/>
  <c r="R629" i="48"/>
  <c r="Q629" i="48"/>
  <c r="L629" i="48"/>
  <c r="M629" i="48" s="1"/>
  <c r="N629" i="48" s="1"/>
  <c r="O629" i="48" s="1"/>
  <c r="P629" i="48" s="1"/>
  <c r="K629" i="48"/>
  <c r="J629" i="48"/>
  <c r="H629" i="48"/>
  <c r="X629" i="48" s="1"/>
  <c r="AA629" i="48" s="1"/>
  <c r="W628" i="48"/>
  <c r="V628" i="48"/>
  <c r="T628" i="48"/>
  <c r="S628" i="48"/>
  <c r="R628" i="48"/>
  <c r="Q628" i="48"/>
  <c r="L628" i="48"/>
  <c r="M628" i="48" s="1"/>
  <c r="N628" i="48" s="1"/>
  <c r="O628" i="48" s="1"/>
  <c r="P628" i="48" s="1"/>
  <c r="K628" i="48"/>
  <c r="J628" i="48"/>
  <c r="H628" i="48"/>
  <c r="X628" i="48" s="1"/>
  <c r="AA628" i="48" s="1"/>
  <c r="W627" i="48"/>
  <c r="V627" i="48"/>
  <c r="T627" i="48"/>
  <c r="S627" i="48"/>
  <c r="R627" i="48"/>
  <c r="Q627" i="48"/>
  <c r="L627" i="48"/>
  <c r="M627" i="48" s="1"/>
  <c r="N627" i="48" s="1"/>
  <c r="O627" i="48" s="1"/>
  <c r="P627" i="48" s="1"/>
  <c r="K627" i="48"/>
  <c r="J627" i="48"/>
  <c r="H627" i="48"/>
  <c r="X627" i="48" s="1"/>
  <c r="AA627" i="48" s="1"/>
  <c r="W626" i="48"/>
  <c r="V626" i="48"/>
  <c r="T626" i="48"/>
  <c r="S626" i="48"/>
  <c r="R626" i="48"/>
  <c r="Q626" i="48"/>
  <c r="L626" i="48"/>
  <c r="M626" i="48" s="1"/>
  <c r="N626" i="48" s="1"/>
  <c r="O626" i="48" s="1"/>
  <c r="P626" i="48" s="1"/>
  <c r="K626" i="48"/>
  <c r="J626" i="48"/>
  <c r="H626" i="48"/>
  <c r="I626" i="48" s="1"/>
  <c r="W625" i="48"/>
  <c r="V625" i="48"/>
  <c r="T625" i="48"/>
  <c r="S625" i="48"/>
  <c r="R625" i="48"/>
  <c r="Q625" i="48"/>
  <c r="L625" i="48"/>
  <c r="M625" i="48" s="1"/>
  <c r="N625" i="48" s="1"/>
  <c r="O625" i="48" s="1"/>
  <c r="P625" i="48" s="1"/>
  <c r="K625" i="48"/>
  <c r="J625" i="48"/>
  <c r="H625" i="48"/>
  <c r="X625" i="48" s="1"/>
  <c r="AA625" i="48" s="1"/>
  <c r="W624" i="48"/>
  <c r="V624" i="48"/>
  <c r="T624" i="48"/>
  <c r="S624" i="48"/>
  <c r="R624" i="48"/>
  <c r="Q624" i="48"/>
  <c r="L624" i="48"/>
  <c r="M624" i="48" s="1"/>
  <c r="N624" i="48" s="1"/>
  <c r="O624" i="48" s="1"/>
  <c r="P624" i="48" s="1"/>
  <c r="K624" i="48"/>
  <c r="J624" i="48"/>
  <c r="H624" i="48"/>
  <c r="X624" i="48" s="1"/>
  <c r="AA624" i="48" s="1"/>
  <c r="W623" i="48"/>
  <c r="V623" i="48"/>
  <c r="T623" i="48"/>
  <c r="S623" i="48"/>
  <c r="R623" i="48"/>
  <c r="Q623" i="48"/>
  <c r="L623" i="48"/>
  <c r="M623" i="48" s="1"/>
  <c r="N623" i="48" s="1"/>
  <c r="O623" i="48" s="1"/>
  <c r="P623" i="48" s="1"/>
  <c r="K623" i="48"/>
  <c r="J623" i="48"/>
  <c r="H623" i="48"/>
  <c r="X623" i="48" s="1"/>
  <c r="AA623" i="48" s="1"/>
  <c r="W622" i="48"/>
  <c r="V622" i="48"/>
  <c r="T622" i="48"/>
  <c r="S622" i="48"/>
  <c r="R622" i="48"/>
  <c r="Q622" i="48"/>
  <c r="L622" i="48"/>
  <c r="M622" i="48" s="1"/>
  <c r="N622" i="48" s="1"/>
  <c r="O622" i="48" s="1"/>
  <c r="P622" i="48" s="1"/>
  <c r="K622" i="48"/>
  <c r="J622" i="48"/>
  <c r="H622" i="48"/>
  <c r="I622" i="48" s="1"/>
  <c r="W621" i="48"/>
  <c r="V621" i="48"/>
  <c r="T621" i="48"/>
  <c r="S621" i="48"/>
  <c r="R621" i="48"/>
  <c r="Q621" i="48"/>
  <c r="L621" i="48"/>
  <c r="M621" i="48" s="1"/>
  <c r="N621" i="48" s="1"/>
  <c r="O621" i="48" s="1"/>
  <c r="P621" i="48" s="1"/>
  <c r="K621" i="48"/>
  <c r="J621" i="48"/>
  <c r="H621" i="48"/>
  <c r="X621" i="48" s="1"/>
  <c r="AA621" i="48" s="1"/>
  <c r="W620" i="48"/>
  <c r="V620" i="48"/>
  <c r="T620" i="48"/>
  <c r="S620" i="48"/>
  <c r="R620" i="48"/>
  <c r="Q620" i="48"/>
  <c r="L620" i="48"/>
  <c r="M620" i="48" s="1"/>
  <c r="N620" i="48" s="1"/>
  <c r="O620" i="48" s="1"/>
  <c r="P620" i="48" s="1"/>
  <c r="K620" i="48"/>
  <c r="J620" i="48"/>
  <c r="H620" i="48"/>
  <c r="X620" i="48" s="1"/>
  <c r="AA620" i="48" s="1"/>
  <c r="W619" i="48"/>
  <c r="V619" i="48"/>
  <c r="T619" i="48"/>
  <c r="S619" i="48"/>
  <c r="R619" i="48"/>
  <c r="Q619" i="48"/>
  <c r="L619" i="48"/>
  <c r="M619" i="48" s="1"/>
  <c r="N619" i="48" s="1"/>
  <c r="O619" i="48" s="1"/>
  <c r="P619" i="48" s="1"/>
  <c r="K619" i="48"/>
  <c r="J619" i="48"/>
  <c r="H619" i="48"/>
  <c r="X619" i="48" s="1"/>
  <c r="AA619" i="48" s="1"/>
  <c r="W618" i="48"/>
  <c r="V618" i="48"/>
  <c r="T618" i="48"/>
  <c r="S618" i="48"/>
  <c r="R618" i="48"/>
  <c r="Q618" i="48"/>
  <c r="L618" i="48"/>
  <c r="M618" i="48" s="1"/>
  <c r="N618" i="48" s="1"/>
  <c r="O618" i="48" s="1"/>
  <c r="P618" i="48" s="1"/>
  <c r="K618" i="48"/>
  <c r="J618" i="48"/>
  <c r="H618" i="48"/>
  <c r="X618" i="48" s="1"/>
  <c r="AA618" i="48" s="1"/>
  <c r="W617" i="48"/>
  <c r="V617" i="48"/>
  <c r="T617" i="48"/>
  <c r="S617" i="48"/>
  <c r="R617" i="48"/>
  <c r="Q617" i="48"/>
  <c r="L617" i="48"/>
  <c r="M617" i="48" s="1"/>
  <c r="N617" i="48" s="1"/>
  <c r="O617" i="48" s="1"/>
  <c r="P617" i="48" s="1"/>
  <c r="K617" i="48"/>
  <c r="J617" i="48"/>
  <c r="H617" i="48"/>
  <c r="X617" i="48" s="1"/>
  <c r="AA617" i="48" s="1"/>
  <c r="W616" i="48"/>
  <c r="V616" i="48"/>
  <c r="T616" i="48"/>
  <c r="S616" i="48"/>
  <c r="R616" i="48"/>
  <c r="Q616" i="48"/>
  <c r="L616" i="48"/>
  <c r="M616" i="48" s="1"/>
  <c r="N616" i="48" s="1"/>
  <c r="O616" i="48" s="1"/>
  <c r="P616" i="48" s="1"/>
  <c r="K616" i="48"/>
  <c r="J616" i="48"/>
  <c r="H616" i="48"/>
  <c r="X616" i="48" s="1"/>
  <c r="AA616" i="48" s="1"/>
  <c r="W615" i="48"/>
  <c r="V615" i="48"/>
  <c r="T615" i="48"/>
  <c r="S615" i="48"/>
  <c r="R615" i="48"/>
  <c r="Q615" i="48"/>
  <c r="L615" i="48"/>
  <c r="M615" i="48" s="1"/>
  <c r="N615" i="48" s="1"/>
  <c r="O615" i="48" s="1"/>
  <c r="P615" i="48" s="1"/>
  <c r="K615" i="48"/>
  <c r="J615" i="48"/>
  <c r="H615" i="48"/>
  <c r="W614" i="48"/>
  <c r="V614" i="48"/>
  <c r="T614" i="48"/>
  <c r="S614" i="48"/>
  <c r="R614" i="48"/>
  <c r="Q614" i="48"/>
  <c r="L614" i="48"/>
  <c r="M614" i="48" s="1"/>
  <c r="N614" i="48" s="1"/>
  <c r="O614" i="48" s="1"/>
  <c r="P614" i="48" s="1"/>
  <c r="K614" i="48"/>
  <c r="J614" i="48"/>
  <c r="H614" i="48"/>
  <c r="I614" i="48" s="1"/>
  <c r="W613" i="48"/>
  <c r="V613" i="48"/>
  <c r="T613" i="48"/>
  <c r="S613" i="48"/>
  <c r="R613" i="48"/>
  <c r="Q613" i="48"/>
  <c r="L613" i="48"/>
  <c r="M613" i="48" s="1"/>
  <c r="N613" i="48" s="1"/>
  <c r="O613" i="48" s="1"/>
  <c r="P613" i="48" s="1"/>
  <c r="K613" i="48"/>
  <c r="J613" i="48"/>
  <c r="H613" i="48"/>
  <c r="X613" i="48" s="1"/>
  <c r="AA613" i="48" s="1"/>
  <c r="W612" i="48"/>
  <c r="V612" i="48"/>
  <c r="T612" i="48"/>
  <c r="S612" i="48"/>
  <c r="R612" i="48"/>
  <c r="Q612" i="48"/>
  <c r="L612" i="48"/>
  <c r="M612" i="48" s="1"/>
  <c r="N612" i="48" s="1"/>
  <c r="O612" i="48" s="1"/>
  <c r="P612" i="48" s="1"/>
  <c r="K612" i="48"/>
  <c r="J612" i="48"/>
  <c r="H612" i="48"/>
  <c r="X612" i="48" s="1"/>
  <c r="AA612" i="48" s="1"/>
  <c r="W611" i="48"/>
  <c r="V611" i="48"/>
  <c r="T611" i="48"/>
  <c r="S611" i="48"/>
  <c r="R611" i="48"/>
  <c r="Q611" i="48"/>
  <c r="L611" i="48"/>
  <c r="M611" i="48" s="1"/>
  <c r="N611" i="48" s="1"/>
  <c r="O611" i="48" s="1"/>
  <c r="P611" i="48" s="1"/>
  <c r="K611" i="48"/>
  <c r="J611" i="48"/>
  <c r="H611" i="48"/>
  <c r="X611" i="48" s="1"/>
  <c r="AA611" i="48" s="1"/>
  <c r="W610" i="48"/>
  <c r="V610" i="48"/>
  <c r="T610" i="48"/>
  <c r="S610" i="48"/>
  <c r="R610" i="48"/>
  <c r="Q610" i="48"/>
  <c r="L610" i="48"/>
  <c r="M610" i="48" s="1"/>
  <c r="N610" i="48" s="1"/>
  <c r="O610" i="48" s="1"/>
  <c r="P610" i="48" s="1"/>
  <c r="K610" i="48"/>
  <c r="J610" i="48"/>
  <c r="H610" i="48"/>
  <c r="I610" i="48" s="1"/>
  <c r="W609" i="48"/>
  <c r="V609" i="48"/>
  <c r="T609" i="48"/>
  <c r="S609" i="48"/>
  <c r="R609" i="48"/>
  <c r="Q609" i="48"/>
  <c r="L609" i="48"/>
  <c r="M609" i="48" s="1"/>
  <c r="N609" i="48" s="1"/>
  <c r="O609" i="48" s="1"/>
  <c r="P609" i="48" s="1"/>
  <c r="K609" i="48"/>
  <c r="J609" i="48"/>
  <c r="H609" i="48"/>
  <c r="X609" i="48" s="1"/>
  <c r="AA609" i="48" s="1"/>
  <c r="W608" i="48"/>
  <c r="V608" i="48"/>
  <c r="T608" i="48"/>
  <c r="S608" i="48"/>
  <c r="R608" i="48"/>
  <c r="Q608" i="48"/>
  <c r="L608" i="48"/>
  <c r="M608" i="48" s="1"/>
  <c r="N608" i="48" s="1"/>
  <c r="O608" i="48" s="1"/>
  <c r="P608" i="48" s="1"/>
  <c r="K608" i="48"/>
  <c r="J608" i="48"/>
  <c r="H608" i="48"/>
  <c r="X608" i="48" s="1"/>
  <c r="AA608" i="48" s="1"/>
  <c r="W607" i="48"/>
  <c r="V607" i="48"/>
  <c r="T607" i="48"/>
  <c r="S607" i="48"/>
  <c r="R607" i="48"/>
  <c r="Q607" i="48"/>
  <c r="L607" i="48"/>
  <c r="M607" i="48" s="1"/>
  <c r="N607" i="48" s="1"/>
  <c r="O607" i="48" s="1"/>
  <c r="P607" i="48" s="1"/>
  <c r="K607" i="48"/>
  <c r="J607" i="48"/>
  <c r="H607" i="48"/>
  <c r="X607" i="48" s="1"/>
  <c r="AA607" i="48" s="1"/>
  <c r="W606" i="48"/>
  <c r="V606" i="48"/>
  <c r="T606" i="48"/>
  <c r="S606" i="48"/>
  <c r="R606" i="48"/>
  <c r="Q606" i="48"/>
  <c r="L606" i="48"/>
  <c r="M606" i="48" s="1"/>
  <c r="N606" i="48" s="1"/>
  <c r="O606" i="48" s="1"/>
  <c r="P606" i="48" s="1"/>
  <c r="K606" i="48"/>
  <c r="J606" i="48"/>
  <c r="H606" i="48"/>
  <c r="X606" i="48" s="1"/>
  <c r="AA606" i="48" s="1"/>
  <c r="W605" i="48"/>
  <c r="V605" i="48"/>
  <c r="T605" i="48"/>
  <c r="S605" i="48"/>
  <c r="R605" i="48"/>
  <c r="Q605" i="48"/>
  <c r="L605" i="48"/>
  <c r="M605" i="48" s="1"/>
  <c r="N605" i="48" s="1"/>
  <c r="O605" i="48" s="1"/>
  <c r="P605" i="48" s="1"/>
  <c r="K605" i="48"/>
  <c r="J605" i="48"/>
  <c r="H605" i="48"/>
  <c r="X605" i="48" s="1"/>
  <c r="AA605" i="48" s="1"/>
  <c r="W604" i="48"/>
  <c r="V604" i="48"/>
  <c r="T604" i="48"/>
  <c r="S604" i="48"/>
  <c r="R604" i="48"/>
  <c r="Q604" i="48"/>
  <c r="L604" i="48"/>
  <c r="M604" i="48" s="1"/>
  <c r="N604" i="48" s="1"/>
  <c r="O604" i="48" s="1"/>
  <c r="P604" i="48" s="1"/>
  <c r="K604" i="48"/>
  <c r="J604" i="48"/>
  <c r="H604" i="48"/>
  <c r="X604" i="48" s="1"/>
  <c r="AA604" i="48" s="1"/>
  <c r="W603" i="48"/>
  <c r="V603" i="48"/>
  <c r="T603" i="48"/>
  <c r="S603" i="48"/>
  <c r="R603" i="48"/>
  <c r="Q603" i="48"/>
  <c r="L603" i="48"/>
  <c r="M603" i="48" s="1"/>
  <c r="N603" i="48" s="1"/>
  <c r="O603" i="48" s="1"/>
  <c r="P603" i="48" s="1"/>
  <c r="K603" i="48"/>
  <c r="J603" i="48"/>
  <c r="H603" i="48"/>
  <c r="X603" i="48" s="1"/>
  <c r="AA603" i="48" s="1"/>
  <c r="W602" i="48"/>
  <c r="V602" i="48"/>
  <c r="T602" i="48"/>
  <c r="S602" i="48"/>
  <c r="R602" i="48"/>
  <c r="Q602" i="48"/>
  <c r="L602" i="48"/>
  <c r="M602" i="48" s="1"/>
  <c r="N602" i="48" s="1"/>
  <c r="O602" i="48" s="1"/>
  <c r="P602" i="48" s="1"/>
  <c r="K602" i="48"/>
  <c r="J602" i="48"/>
  <c r="H602" i="48"/>
  <c r="I602" i="48" s="1"/>
  <c r="W601" i="48"/>
  <c r="V601" i="48"/>
  <c r="T601" i="48"/>
  <c r="S601" i="48"/>
  <c r="R601" i="48"/>
  <c r="Q601" i="48"/>
  <c r="L601" i="48"/>
  <c r="M601" i="48" s="1"/>
  <c r="N601" i="48" s="1"/>
  <c r="O601" i="48" s="1"/>
  <c r="P601" i="48" s="1"/>
  <c r="K601" i="48"/>
  <c r="J601" i="48"/>
  <c r="H601" i="48"/>
  <c r="W600" i="48"/>
  <c r="V600" i="48"/>
  <c r="T600" i="48"/>
  <c r="S600" i="48"/>
  <c r="R600" i="48"/>
  <c r="Q600" i="48"/>
  <c r="L600" i="48"/>
  <c r="M600" i="48" s="1"/>
  <c r="N600" i="48" s="1"/>
  <c r="O600" i="48" s="1"/>
  <c r="P600" i="48" s="1"/>
  <c r="K600" i="48"/>
  <c r="J600" i="48"/>
  <c r="H600" i="48"/>
  <c r="X600" i="48" s="1"/>
  <c r="AA600" i="48" s="1"/>
  <c r="W599" i="48"/>
  <c r="V599" i="48"/>
  <c r="T599" i="48"/>
  <c r="S599" i="48"/>
  <c r="R599" i="48"/>
  <c r="Q599" i="48"/>
  <c r="L599" i="48"/>
  <c r="M599" i="48" s="1"/>
  <c r="N599" i="48" s="1"/>
  <c r="O599" i="48" s="1"/>
  <c r="P599" i="48" s="1"/>
  <c r="K599" i="48"/>
  <c r="J599" i="48"/>
  <c r="H599" i="48"/>
  <c r="W598" i="48"/>
  <c r="V598" i="48"/>
  <c r="T598" i="48"/>
  <c r="S598" i="48"/>
  <c r="R598" i="48"/>
  <c r="Q598" i="48"/>
  <c r="L598" i="48"/>
  <c r="M598" i="48" s="1"/>
  <c r="N598" i="48" s="1"/>
  <c r="O598" i="48" s="1"/>
  <c r="P598" i="48" s="1"/>
  <c r="K598" i="48"/>
  <c r="J598" i="48"/>
  <c r="H598" i="48"/>
  <c r="I598" i="48" s="1"/>
  <c r="W597" i="48"/>
  <c r="V597" i="48"/>
  <c r="T597" i="48"/>
  <c r="S597" i="48"/>
  <c r="R597" i="48"/>
  <c r="Q597" i="48"/>
  <c r="L597" i="48"/>
  <c r="M597" i="48" s="1"/>
  <c r="N597" i="48" s="1"/>
  <c r="O597" i="48" s="1"/>
  <c r="P597" i="48" s="1"/>
  <c r="K597" i="48"/>
  <c r="J597" i="48"/>
  <c r="H597" i="48"/>
  <c r="I597" i="48" s="1"/>
  <c r="W596" i="48"/>
  <c r="V596" i="48"/>
  <c r="T596" i="48"/>
  <c r="S596" i="48"/>
  <c r="R596" i="48"/>
  <c r="Q596" i="48"/>
  <c r="L596" i="48"/>
  <c r="M596" i="48" s="1"/>
  <c r="N596" i="48" s="1"/>
  <c r="O596" i="48" s="1"/>
  <c r="P596" i="48" s="1"/>
  <c r="K596" i="48"/>
  <c r="J596" i="48"/>
  <c r="H596" i="48"/>
  <c r="X596" i="48" s="1"/>
  <c r="AA596" i="48" s="1"/>
  <c r="W595" i="48"/>
  <c r="V595" i="48"/>
  <c r="T595" i="48"/>
  <c r="S595" i="48"/>
  <c r="R595" i="48"/>
  <c r="Q595" i="48"/>
  <c r="L595" i="48"/>
  <c r="M595" i="48" s="1"/>
  <c r="N595" i="48" s="1"/>
  <c r="O595" i="48" s="1"/>
  <c r="P595" i="48" s="1"/>
  <c r="K595" i="48"/>
  <c r="J595" i="48"/>
  <c r="H595" i="48"/>
  <c r="X595" i="48" s="1"/>
  <c r="AA595" i="48" s="1"/>
  <c r="W594" i="48"/>
  <c r="V594" i="48"/>
  <c r="T594" i="48"/>
  <c r="S594" i="48"/>
  <c r="R594" i="48"/>
  <c r="Q594" i="48"/>
  <c r="L594" i="48"/>
  <c r="M594" i="48" s="1"/>
  <c r="N594" i="48" s="1"/>
  <c r="O594" i="48" s="1"/>
  <c r="P594" i="48" s="1"/>
  <c r="K594" i="48"/>
  <c r="J594" i="48"/>
  <c r="H594" i="48"/>
  <c r="I594" i="48" s="1"/>
  <c r="W593" i="48"/>
  <c r="V593" i="48"/>
  <c r="T593" i="48"/>
  <c r="S593" i="48"/>
  <c r="R593" i="48"/>
  <c r="Q593" i="48"/>
  <c r="L593" i="48"/>
  <c r="M593" i="48" s="1"/>
  <c r="N593" i="48" s="1"/>
  <c r="O593" i="48" s="1"/>
  <c r="P593" i="48" s="1"/>
  <c r="K593" i="48"/>
  <c r="J593" i="48"/>
  <c r="H593" i="48"/>
  <c r="I593" i="48" s="1"/>
  <c r="W592" i="48"/>
  <c r="V592" i="48"/>
  <c r="T592" i="48"/>
  <c r="S592" i="48"/>
  <c r="R592" i="48"/>
  <c r="Q592" i="48"/>
  <c r="L592" i="48"/>
  <c r="M592" i="48" s="1"/>
  <c r="N592" i="48" s="1"/>
  <c r="O592" i="48" s="1"/>
  <c r="P592" i="48" s="1"/>
  <c r="K592" i="48"/>
  <c r="J592" i="48"/>
  <c r="H592" i="48"/>
  <c r="X592" i="48" s="1"/>
  <c r="AA592" i="48" s="1"/>
  <c r="W591" i="48"/>
  <c r="V591" i="48"/>
  <c r="T591" i="48"/>
  <c r="S591" i="48"/>
  <c r="R591" i="48"/>
  <c r="Q591" i="48"/>
  <c r="L591" i="48"/>
  <c r="M591" i="48" s="1"/>
  <c r="N591" i="48" s="1"/>
  <c r="O591" i="48" s="1"/>
  <c r="P591" i="48" s="1"/>
  <c r="K591" i="48"/>
  <c r="J591" i="48"/>
  <c r="H591" i="48"/>
  <c r="I591" i="48" s="1"/>
  <c r="W590" i="48"/>
  <c r="V590" i="48"/>
  <c r="T590" i="48"/>
  <c r="S590" i="48"/>
  <c r="R590" i="48"/>
  <c r="Q590" i="48"/>
  <c r="L590" i="48"/>
  <c r="M590" i="48" s="1"/>
  <c r="N590" i="48" s="1"/>
  <c r="O590" i="48" s="1"/>
  <c r="P590" i="48" s="1"/>
  <c r="K590" i="48"/>
  <c r="J590" i="48"/>
  <c r="H590" i="48"/>
  <c r="X590" i="48" s="1"/>
  <c r="AA590" i="48" s="1"/>
  <c r="W589" i="48"/>
  <c r="V589" i="48"/>
  <c r="T589" i="48"/>
  <c r="S589" i="48"/>
  <c r="R589" i="48"/>
  <c r="Q589" i="48"/>
  <c r="L589" i="48"/>
  <c r="M589" i="48" s="1"/>
  <c r="N589" i="48" s="1"/>
  <c r="O589" i="48" s="1"/>
  <c r="P589" i="48" s="1"/>
  <c r="K589" i="48"/>
  <c r="J589" i="48"/>
  <c r="H589" i="48"/>
  <c r="X589" i="48" s="1"/>
  <c r="AA589" i="48" s="1"/>
  <c r="W588" i="48"/>
  <c r="V588" i="48"/>
  <c r="T588" i="48"/>
  <c r="S588" i="48"/>
  <c r="R588" i="48"/>
  <c r="Q588" i="48"/>
  <c r="L588" i="48"/>
  <c r="M588" i="48" s="1"/>
  <c r="N588" i="48" s="1"/>
  <c r="O588" i="48" s="1"/>
  <c r="P588" i="48" s="1"/>
  <c r="K588" i="48"/>
  <c r="J588" i="48"/>
  <c r="H588" i="48"/>
  <c r="X588" i="48" s="1"/>
  <c r="AA588" i="48" s="1"/>
  <c r="W587" i="48"/>
  <c r="V587" i="48"/>
  <c r="T587" i="48"/>
  <c r="S587" i="48"/>
  <c r="R587" i="48"/>
  <c r="Q587" i="48"/>
  <c r="L587" i="48"/>
  <c r="M587" i="48" s="1"/>
  <c r="N587" i="48" s="1"/>
  <c r="O587" i="48" s="1"/>
  <c r="P587" i="48" s="1"/>
  <c r="K587" i="48"/>
  <c r="J587" i="48"/>
  <c r="H587" i="48"/>
  <c r="I587" i="48" s="1"/>
  <c r="W586" i="48"/>
  <c r="V586" i="48"/>
  <c r="T586" i="48"/>
  <c r="S586" i="48"/>
  <c r="R586" i="48"/>
  <c r="Q586" i="48"/>
  <c r="L586" i="48"/>
  <c r="M586" i="48" s="1"/>
  <c r="N586" i="48" s="1"/>
  <c r="O586" i="48" s="1"/>
  <c r="P586" i="48" s="1"/>
  <c r="K586" i="48"/>
  <c r="J586" i="48"/>
  <c r="H586" i="48"/>
  <c r="I586" i="48" s="1"/>
  <c r="W585" i="48"/>
  <c r="V585" i="48"/>
  <c r="T585" i="48"/>
  <c r="S585" i="48"/>
  <c r="R585" i="48"/>
  <c r="Q585" i="48"/>
  <c r="L585" i="48"/>
  <c r="M585" i="48" s="1"/>
  <c r="N585" i="48" s="1"/>
  <c r="O585" i="48" s="1"/>
  <c r="P585" i="48" s="1"/>
  <c r="K585" i="48"/>
  <c r="J585" i="48"/>
  <c r="H585" i="48"/>
  <c r="W584" i="48"/>
  <c r="V584" i="48"/>
  <c r="T584" i="48"/>
  <c r="S584" i="48"/>
  <c r="R584" i="48"/>
  <c r="Q584" i="48"/>
  <c r="L584" i="48"/>
  <c r="M584" i="48" s="1"/>
  <c r="N584" i="48" s="1"/>
  <c r="O584" i="48" s="1"/>
  <c r="P584" i="48" s="1"/>
  <c r="K584" i="48"/>
  <c r="J584" i="48"/>
  <c r="H584" i="48"/>
  <c r="X584" i="48" s="1"/>
  <c r="AA584" i="48" s="1"/>
  <c r="W583" i="48"/>
  <c r="V583" i="48"/>
  <c r="T583" i="48"/>
  <c r="S583" i="48"/>
  <c r="R583" i="48"/>
  <c r="Q583" i="48"/>
  <c r="L583" i="48"/>
  <c r="M583" i="48" s="1"/>
  <c r="N583" i="48" s="1"/>
  <c r="O583" i="48" s="1"/>
  <c r="P583" i="48" s="1"/>
  <c r="K583" i="48"/>
  <c r="J583" i="48"/>
  <c r="H583" i="48"/>
  <c r="X583" i="48" s="1"/>
  <c r="AA583" i="48" s="1"/>
  <c r="W582" i="48"/>
  <c r="V582" i="48"/>
  <c r="T582" i="48"/>
  <c r="S582" i="48"/>
  <c r="R582" i="48"/>
  <c r="Q582" i="48"/>
  <c r="L582" i="48"/>
  <c r="M582" i="48" s="1"/>
  <c r="N582" i="48" s="1"/>
  <c r="O582" i="48" s="1"/>
  <c r="P582" i="48" s="1"/>
  <c r="K582" i="48"/>
  <c r="J582" i="48"/>
  <c r="H582" i="48"/>
  <c r="I582" i="48" s="1"/>
  <c r="W581" i="48"/>
  <c r="V581" i="48"/>
  <c r="T581" i="48"/>
  <c r="S581" i="48"/>
  <c r="R581" i="48"/>
  <c r="Q581" i="48"/>
  <c r="L581" i="48"/>
  <c r="M581" i="48" s="1"/>
  <c r="N581" i="48" s="1"/>
  <c r="O581" i="48" s="1"/>
  <c r="P581" i="48" s="1"/>
  <c r="K581" i="48"/>
  <c r="J581" i="48"/>
  <c r="H581" i="48"/>
  <c r="I581" i="48" s="1"/>
  <c r="W580" i="48"/>
  <c r="V580" i="48"/>
  <c r="T580" i="48"/>
  <c r="S580" i="48"/>
  <c r="R580" i="48"/>
  <c r="Q580" i="48"/>
  <c r="L580" i="48"/>
  <c r="M580" i="48" s="1"/>
  <c r="N580" i="48" s="1"/>
  <c r="O580" i="48" s="1"/>
  <c r="P580" i="48" s="1"/>
  <c r="K580" i="48"/>
  <c r="J580" i="48"/>
  <c r="H580" i="48"/>
  <c r="I580" i="48" s="1"/>
  <c r="W579" i="48"/>
  <c r="V579" i="48"/>
  <c r="T579" i="48"/>
  <c r="S579" i="48"/>
  <c r="R579" i="48"/>
  <c r="Q579" i="48"/>
  <c r="L579" i="48"/>
  <c r="M579" i="48" s="1"/>
  <c r="N579" i="48" s="1"/>
  <c r="O579" i="48" s="1"/>
  <c r="P579" i="48" s="1"/>
  <c r="K579" i="48"/>
  <c r="J579" i="48"/>
  <c r="H579" i="48"/>
  <c r="I579" i="48" s="1"/>
  <c r="W578" i="48"/>
  <c r="V578" i="48"/>
  <c r="T578" i="48"/>
  <c r="S578" i="48"/>
  <c r="R578" i="48"/>
  <c r="Q578" i="48"/>
  <c r="L578" i="48"/>
  <c r="M578" i="48" s="1"/>
  <c r="N578" i="48" s="1"/>
  <c r="O578" i="48" s="1"/>
  <c r="P578" i="48" s="1"/>
  <c r="K578" i="48"/>
  <c r="J578" i="48"/>
  <c r="H578" i="48"/>
  <c r="W577" i="48"/>
  <c r="V577" i="48"/>
  <c r="T577" i="48"/>
  <c r="S577" i="48"/>
  <c r="R577" i="48"/>
  <c r="Q577" i="48"/>
  <c r="L577" i="48"/>
  <c r="M577" i="48" s="1"/>
  <c r="N577" i="48" s="1"/>
  <c r="O577" i="48" s="1"/>
  <c r="P577" i="48" s="1"/>
  <c r="K577" i="48"/>
  <c r="J577" i="48"/>
  <c r="H577" i="48"/>
  <c r="I577" i="48" s="1"/>
  <c r="W576" i="48"/>
  <c r="V576" i="48"/>
  <c r="T576" i="48"/>
  <c r="S576" i="48"/>
  <c r="R576" i="48"/>
  <c r="Q576" i="48"/>
  <c r="L576" i="48"/>
  <c r="M576" i="48" s="1"/>
  <c r="N576" i="48" s="1"/>
  <c r="O576" i="48" s="1"/>
  <c r="P576" i="48" s="1"/>
  <c r="K576" i="48"/>
  <c r="J576" i="48"/>
  <c r="H576" i="48"/>
  <c r="I576" i="48" s="1"/>
  <c r="W575" i="48"/>
  <c r="V575" i="48"/>
  <c r="T575" i="48"/>
  <c r="S575" i="48"/>
  <c r="R575" i="48"/>
  <c r="Q575" i="48"/>
  <c r="L575" i="48"/>
  <c r="M575" i="48" s="1"/>
  <c r="N575" i="48" s="1"/>
  <c r="O575" i="48" s="1"/>
  <c r="P575" i="48" s="1"/>
  <c r="K575" i="48"/>
  <c r="J575" i="48"/>
  <c r="H575" i="48"/>
  <c r="I575" i="48" s="1"/>
  <c r="W574" i="48"/>
  <c r="V574" i="48"/>
  <c r="T574" i="48"/>
  <c r="S574" i="48"/>
  <c r="R574" i="48"/>
  <c r="Q574" i="48"/>
  <c r="L574" i="48"/>
  <c r="M574" i="48" s="1"/>
  <c r="N574" i="48" s="1"/>
  <c r="O574" i="48" s="1"/>
  <c r="P574" i="48" s="1"/>
  <c r="K574" i="48"/>
  <c r="J574" i="48"/>
  <c r="H574" i="48"/>
  <c r="I574" i="48" s="1"/>
  <c r="W573" i="48"/>
  <c r="V573" i="48"/>
  <c r="T573" i="48"/>
  <c r="S573" i="48"/>
  <c r="R573" i="48"/>
  <c r="Q573" i="48"/>
  <c r="L573" i="48"/>
  <c r="M573" i="48" s="1"/>
  <c r="N573" i="48" s="1"/>
  <c r="O573" i="48" s="1"/>
  <c r="P573" i="48" s="1"/>
  <c r="K573" i="48"/>
  <c r="J573" i="48"/>
  <c r="H573" i="48"/>
  <c r="I573" i="48" s="1"/>
  <c r="W572" i="48"/>
  <c r="V572" i="48"/>
  <c r="T572" i="48"/>
  <c r="S572" i="48"/>
  <c r="R572" i="48"/>
  <c r="Q572" i="48"/>
  <c r="L572" i="48"/>
  <c r="M572" i="48" s="1"/>
  <c r="N572" i="48" s="1"/>
  <c r="O572" i="48" s="1"/>
  <c r="P572" i="48" s="1"/>
  <c r="K572" i="48"/>
  <c r="J572" i="48"/>
  <c r="H572" i="48"/>
  <c r="I572" i="48" s="1"/>
  <c r="W571" i="48"/>
  <c r="V571" i="48"/>
  <c r="T571" i="48"/>
  <c r="S571" i="48"/>
  <c r="R571" i="48"/>
  <c r="Q571" i="48"/>
  <c r="L571" i="48"/>
  <c r="M571" i="48" s="1"/>
  <c r="N571" i="48" s="1"/>
  <c r="O571" i="48" s="1"/>
  <c r="P571" i="48" s="1"/>
  <c r="K571" i="48"/>
  <c r="J571" i="48"/>
  <c r="H571" i="48"/>
  <c r="I571" i="48" s="1"/>
  <c r="W570" i="48"/>
  <c r="V570" i="48"/>
  <c r="T570" i="48"/>
  <c r="S570" i="48"/>
  <c r="R570" i="48"/>
  <c r="Q570" i="48"/>
  <c r="L570" i="48"/>
  <c r="M570" i="48" s="1"/>
  <c r="N570" i="48" s="1"/>
  <c r="O570" i="48" s="1"/>
  <c r="P570" i="48" s="1"/>
  <c r="K570" i="48"/>
  <c r="J570" i="48"/>
  <c r="H570" i="48"/>
  <c r="I570" i="48" s="1"/>
  <c r="W569" i="48"/>
  <c r="V569" i="48"/>
  <c r="T569" i="48"/>
  <c r="S569" i="48"/>
  <c r="R569" i="48"/>
  <c r="Q569" i="48"/>
  <c r="L569" i="48"/>
  <c r="M569" i="48" s="1"/>
  <c r="N569" i="48" s="1"/>
  <c r="O569" i="48" s="1"/>
  <c r="P569" i="48" s="1"/>
  <c r="K569" i="48"/>
  <c r="J569" i="48"/>
  <c r="H569" i="48"/>
  <c r="I569" i="48" s="1"/>
  <c r="W568" i="48"/>
  <c r="V568" i="48"/>
  <c r="T568" i="48"/>
  <c r="S568" i="48"/>
  <c r="R568" i="48"/>
  <c r="Q568" i="48"/>
  <c r="L568" i="48"/>
  <c r="M568" i="48" s="1"/>
  <c r="N568" i="48" s="1"/>
  <c r="O568" i="48" s="1"/>
  <c r="P568" i="48" s="1"/>
  <c r="K568" i="48"/>
  <c r="J568" i="48"/>
  <c r="H568" i="48"/>
  <c r="I568" i="48" s="1"/>
  <c r="W567" i="48"/>
  <c r="V567" i="48"/>
  <c r="T567" i="48"/>
  <c r="S567" i="48"/>
  <c r="R567" i="48"/>
  <c r="Q567" i="48"/>
  <c r="L567" i="48"/>
  <c r="M567" i="48" s="1"/>
  <c r="N567" i="48" s="1"/>
  <c r="O567" i="48" s="1"/>
  <c r="P567" i="48" s="1"/>
  <c r="K567" i="48"/>
  <c r="J567" i="48"/>
  <c r="H567" i="48"/>
  <c r="W566" i="48"/>
  <c r="V566" i="48"/>
  <c r="T566" i="48"/>
  <c r="S566" i="48"/>
  <c r="R566" i="48"/>
  <c r="Q566" i="48"/>
  <c r="L566" i="48"/>
  <c r="M566" i="48" s="1"/>
  <c r="N566" i="48" s="1"/>
  <c r="O566" i="48" s="1"/>
  <c r="P566" i="48" s="1"/>
  <c r="K566" i="48"/>
  <c r="J566" i="48"/>
  <c r="H566" i="48"/>
  <c r="I566" i="48" s="1"/>
  <c r="W565" i="48"/>
  <c r="V565" i="48"/>
  <c r="T565" i="48"/>
  <c r="S565" i="48"/>
  <c r="R565" i="48"/>
  <c r="Q565" i="48"/>
  <c r="L565" i="48"/>
  <c r="M565" i="48" s="1"/>
  <c r="N565" i="48" s="1"/>
  <c r="O565" i="48" s="1"/>
  <c r="P565" i="48" s="1"/>
  <c r="K565" i="48"/>
  <c r="J565" i="48"/>
  <c r="H565" i="48"/>
  <c r="I565" i="48" s="1"/>
  <c r="W564" i="48"/>
  <c r="V564" i="48"/>
  <c r="T564" i="48"/>
  <c r="S564" i="48"/>
  <c r="R564" i="48"/>
  <c r="Q564" i="48"/>
  <c r="L564" i="48"/>
  <c r="M564" i="48" s="1"/>
  <c r="N564" i="48" s="1"/>
  <c r="O564" i="48" s="1"/>
  <c r="P564" i="48" s="1"/>
  <c r="K564" i="48"/>
  <c r="J564" i="48"/>
  <c r="H564" i="48"/>
  <c r="I564" i="48" s="1"/>
  <c r="W563" i="48"/>
  <c r="V563" i="48"/>
  <c r="T563" i="48"/>
  <c r="S563" i="48"/>
  <c r="R563" i="48"/>
  <c r="Q563" i="48"/>
  <c r="L563" i="48"/>
  <c r="M563" i="48" s="1"/>
  <c r="N563" i="48" s="1"/>
  <c r="O563" i="48" s="1"/>
  <c r="P563" i="48" s="1"/>
  <c r="K563" i="48"/>
  <c r="J563" i="48"/>
  <c r="H563" i="48"/>
  <c r="I563" i="48" s="1"/>
  <c r="W562" i="48"/>
  <c r="V562" i="48"/>
  <c r="T562" i="48"/>
  <c r="S562" i="48"/>
  <c r="R562" i="48"/>
  <c r="Q562" i="48"/>
  <c r="L562" i="48"/>
  <c r="M562" i="48" s="1"/>
  <c r="N562" i="48" s="1"/>
  <c r="O562" i="48" s="1"/>
  <c r="P562" i="48" s="1"/>
  <c r="K562" i="48"/>
  <c r="J562" i="48"/>
  <c r="H562" i="48"/>
  <c r="W561" i="48"/>
  <c r="V561" i="48"/>
  <c r="T561" i="48"/>
  <c r="S561" i="48"/>
  <c r="R561" i="48"/>
  <c r="Q561" i="48"/>
  <c r="L561" i="48"/>
  <c r="M561" i="48" s="1"/>
  <c r="N561" i="48" s="1"/>
  <c r="O561" i="48" s="1"/>
  <c r="P561" i="48" s="1"/>
  <c r="K561" i="48"/>
  <c r="J561" i="48"/>
  <c r="H561" i="48"/>
  <c r="I561" i="48" s="1"/>
  <c r="W560" i="48"/>
  <c r="V560" i="48"/>
  <c r="T560" i="48"/>
  <c r="S560" i="48"/>
  <c r="R560" i="48"/>
  <c r="Q560" i="48"/>
  <c r="L560" i="48"/>
  <c r="M560" i="48" s="1"/>
  <c r="N560" i="48" s="1"/>
  <c r="O560" i="48" s="1"/>
  <c r="P560" i="48" s="1"/>
  <c r="K560" i="48"/>
  <c r="J560" i="48"/>
  <c r="H560" i="48"/>
  <c r="I560" i="48" s="1"/>
  <c r="W559" i="48"/>
  <c r="V559" i="48"/>
  <c r="T559" i="48"/>
  <c r="S559" i="48"/>
  <c r="R559" i="48"/>
  <c r="Q559" i="48"/>
  <c r="L559" i="48"/>
  <c r="M559" i="48" s="1"/>
  <c r="N559" i="48" s="1"/>
  <c r="O559" i="48" s="1"/>
  <c r="P559" i="48" s="1"/>
  <c r="K559" i="48"/>
  <c r="J559" i="48"/>
  <c r="H559" i="48"/>
  <c r="I559" i="48" s="1"/>
  <c r="W558" i="48"/>
  <c r="V558" i="48"/>
  <c r="T558" i="48"/>
  <c r="S558" i="48"/>
  <c r="R558" i="48"/>
  <c r="Q558" i="48"/>
  <c r="L558" i="48"/>
  <c r="M558" i="48" s="1"/>
  <c r="N558" i="48" s="1"/>
  <c r="O558" i="48" s="1"/>
  <c r="P558" i="48" s="1"/>
  <c r="K558" i="48"/>
  <c r="J558" i="48"/>
  <c r="H558" i="48"/>
  <c r="I558" i="48" s="1"/>
  <c r="W557" i="48"/>
  <c r="V557" i="48"/>
  <c r="T557" i="48"/>
  <c r="S557" i="48"/>
  <c r="R557" i="48"/>
  <c r="Q557" i="48"/>
  <c r="L557" i="48"/>
  <c r="M557" i="48" s="1"/>
  <c r="N557" i="48" s="1"/>
  <c r="O557" i="48" s="1"/>
  <c r="P557" i="48" s="1"/>
  <c r="K557" i="48"/>
  <c r="J557" i="48"/>
  <c r="H557" i="48"/>
  <c r="I557" i="48" s="1"/>
  <c r="W556" i="48"/>
  <c r="V556" i="48"/>
  <c r="T556" i="48"/>
  <c r="S556" i="48"/>
  <c r="R556" i="48"/>
  <c r="Q556" i="48"/>
  <c r="L556" i="48"/>
  <c r="M556" i="48" s="1"/>
  <c r="N556" i="48" s="1"/>
  <c r="O556" i="48" s="1"/>
  <c r="P556" i="48" s="1"/>
  <c r="K556" i="48"/>
  <c r="J556" i="48"/>
  <c r="H556" i="48"/>
  <c r="I556" i="48" s="1"/>
  <c r="W555" i="48"/>
  <c r="V555" i="48"/>
  <c r="T555" i="48"/>
  <c r="S555" i="48"/>
  <c r="R555" i="48"/>
  <c r="Q555" i="48"/>
  <c r="L555" i="48"/>
  <c r="M555" i="48" s="1"/>
  <c r="N555" i="48" s="1"/>
  <c r="O555" i="48" s="1"/>
  <c r="P555" i="48" s="1"/>
  <c r="K555" i="48"/>
  <c r="J555" i="48"/>
  <c r="H555" i="48"/>
  <c r="I555" i="48" s="1"/>
  <c r="W554" i="48"/>
  <c r="V554" i="48"/>
  <c r="T554" i="48"/>
  <c r="S554" i="48"/>
  <c r="R554" i="48"/>
  <c r="Q554" i="48"/>
  <c r="L554" i="48"/>
  <c r="M554" i="48" s="1"/>
  <c r="N554" i="48" s="1"/>
  <c r="O554" i="48" s="1"/>
  <c r="P554" i="48" s="1"/>
  <c r="K554" i="48"/>
  <c r="J554" i="48"/>
  <c r="H554" i="48"/>
  <c r="W553" i="48"/>
  <c r="V553" i="48"/>
  <c r="T553" i="48"/>
  <c r="S553" i="48"/>
  <c r="R553" i="48"/>
  <c r="Q553" i="48"/>
  <c r="L553" i="48"/>
  <c r="M553" i="48" s="1"/>
  <c r="N553" i="48" s="1"/>
  <c r="O553" i="48" s="1"/>
  <c r="P553" i="48" s="1"/>
  <c r="K553" i="48"/>
  <c r="J553" i="48"/>
  <c r="H553" i="48"/>
  <c r="I553" i="48" s="1"/>
  <c r="W552" i="48"/>
  <c r="V552" i="48"/>
  <c r="T552" i="48"/>
  <c r="S552" i="48"/>
  <c r="R552" i="48"/>
  <c r="Q552" i="48"/>
  <c r="L552" i="48"/>
  <c r="M552" i="48" s="1"/>
  <c r="N552" i="48" s="1"/>
  <c r="O552" i="48" s="1"/>
  <c r="P552" i="48" s="1"/>
  <c r="K552" i="48"/>
  <c r="J552" i="48"/>
  <c r="H552" i="48"/>
  <c r="I552" i="48" s="1"/>
  <c r="W551" i="48"/>
  <c r="V551" i="48"/>
  <c r="T551" i="48"/>
  <c r="S551" i="48"/>
  <c r="R551" i="48"/>
  <c r="Q551" i="48"/>
  <c r="L551" i="48"/>
  <c r="M551" i="48" s="1"/>
  <c r="N551" i="48" s="1"/>
  <c r="O551" i="48" s="1"/>
  <c r="P551" i="48" s="1"/>
  <c r="K551" i="48"/>
  <c r="J551" i="48"/>
  <c r="H551" i="48"/>
  <c r="W550" i="48"/>
  <c r="V550" i="48"/>
  <c r="T550" i="48"/>
  <c r="S550" i="48"/>
  <c r="R550" i="48"/>
  <c r="Q550" i="48"/>
  <c r="L550" i="48"/>
  <c r="M550" i="48" s="1"/>
  <c r="N550" i="48" s="1"/>
  <c r="O550" i="48" s="1"/>
  <c r="P550" i="48" s="1"/>
  <c r="K550" i="48"/>
  <c r="J550" i="48"/>
  <c r="H550" i="48"/>
  <c r="I550" i="48" s="1"/>
  <c r="W549" i="48"/>
  <c r="V549" i="48"/>
  <c r="T549" i="48"/>
  <c r="S549" i="48"/>
  <c r="R549" i="48"/>
  <c r="Q549" i="48"/>
  <c r="L549" i="48"/>
  <c r="M549" i="48" s="1"/>
  <c r="N549" i="48" s="1"/>
  <c r="O549" i="48" s="1"/>
  <c r="P549" i="48" s="1"/>
  <c r="K549" i="48"/>
  <c r="J549" i="48"/>
  <c r="H549" i="48"/>
  <c r="I549" i="48" s="1"/>
  <c r="W548" i="48"/>
  <c r="V548" i="48"/>
  <c r="T548" i="48"/>
  <c r="S548" i="48"/>
  <c r="R548" i="48"/>
  <c r="Q548" i="48"/>
  <c r="L548" i="48"/>
  <c r="M548" i="48" s="1"/>
  <c r="N548" i="48" s="1"/>
  <c r="O548" i="48" s="1"/>
  <c r="P548" i="48" s="1"/>
  <c r="K548" i="48"/>
  <c r="J548" i="48"/>
  <c r="H548" i="48"/>
  <c r="I548" i="48" s="1"/>
  <c r="W547" i="48"/>
  <c r="V547" i="48"/>
  <c r="T547" i="48"/>
  <c r="S547" i="48"/>
  <c r="R547" i="48"/>
  <c r="Q547" i="48"/>
  <c r="L547" i="48"/>
  <c r="M547" i="48" s="1"/>
  <c r="N547" i="48" s="1"/>
  <c r="O547" i="48" s="1"/>
  <c r="P547" i="48" s="1"/>
  <c r="K547" i="48"/>
  <c r="J547" i="48"/>
  <c r="H547" i="48"/>
  <c r="I547" i="48" s="1"/>
  <c r="W546" i="48"/>
  <c r="V546" i="48"/>
  <c r="T546" i="48"/>
  <c r="S546" i="48"/>
  <c r="R546" i="48"/>
  <c r="Q546" i="48"/>
  <c r="L546" i="48"/>
  <c r="M546" i="48" s="1"/>
  <c r="N546" i="48" s="1"/>
  <c r="O546" i="48" s="1"/>
  <c r="P546" i="48" s="1"/>
  <c r="K546" i="48"/>
  <c r="J546" i="48"/>
  <c r="H546" i="48"/>
  <c r="W545" i="48"/>
  <c r="V545" i="48"/>
  <c r="T545" i="48"/>
  <c r="S545" i="48"/>
  <c r="R545" i="48"/>
  <c r="Q545" i="48"/>
  <c r="L545" i="48"/>
  <c r="M545" i="48" s="1"/>
  <c r="N545" i="48" s="1"/>
  <c r="O545" i="48" s="1"/>
  <c r="P545" i="48" s="1"/>
  <c r="K545" i="48"/>
  <c r="J545" i="48"/>
  <c r="H545" i="48"/>
  <c r="I545" i="48" s="1"/>
  <c r="W544" i="48"/>
  <c r="V544" i="48"/>
  <c r="T544" i="48"/>
  <c r="S544" i="48"/>
  <c r="R544" i="48"/>
  <c r="Q544" i="48"/>
  <c r="L544" i="48"/>
  <c r="M544" i="48" s="1"/>
  <c r="N544" i="48" s="1"/>
  <c r="O544" i="48" s="1"/>
  <c r="P544" i="48" s="1"/>
  <c r="K544" i="48"/>
  <c r="J544" i="48"/>
  <c r="H544" i="48"/>
  <c r="I544" i="48" s="1"/>
  <c r="W543" i="48"/>
  <c r="V543" i="48"/>
  <c r="T543" i="48"/>
  <c r="S543" i="48"/>
  <c r="R543" i="48"/>
  <c r="Q543" i="48"/>
  <c r="L543" i="48"/>
  <c r="M543" i="48" s="1"/>
  <c r="N543" i="48" s="1"/>
  <c r="O543" i="48" s="1"/>
  <c r="P543" i="48" s="1"/>
  <c r="K543" i="48"/>
  <c r="J543" i="48"/>
  <c r="H543" i="48"/>
  <c r="W542" i="48"/>
  <c r="V542" i="48"/>
  <c r="T542" i="48"/>
  <c r="S542" i="48"/>
  <c r="R542" i="48"/>
  <c r="Q542" i="48"/>
  <c r="L542" i="48"/>
  <c r="M542" i="48" s="1"/>
  <c r="N542" i="48" s="1"/>
  <c r="O542" i="48" s="1"/>
  <c r="P542" i="48" s="1"/>
  <c r="K542" i="48"/>
  <c r="J542" i="48"/>
  <c r="H542" i="48"/>
  <c r="I542" i="48" s="1"/>
  <c r="W541" i="48"/>
  <c r="V541" i="48"/>
  <c r="T541" i="48"/>
  <c r="S541" i="48"/>
  <c r="R541" i="48"/>
  <c r="Q541" i="48"/>
  <c r="L541" i="48"/>
  <c r="M541" i="48" s="1"/>
  <c r="N541" i="48" s="1"/>
  <c r="O541" i="48" s="1"/>
  <c r="P541" i="48" s="1"/>
  <c r="K541" i="48"/>
  <c r="J541" i="48"/>
  <c r="H541" i="48"/>
  <c r="I541" i="48" s="1"/>
  <c r="W540" i="48"/>
  <c r="V540" i="48"/>
  <c r="T540" i="48"/>
  <c r="S540" i="48"/>
  <c r="R540" i="48"/>
  <c r="Q540" i="48"/>
  <c r="L540" i="48"/>
  <c r="M540" i="48" s="1"/>
  <c r="N540" i="48" s="1"/>
  <c r="O540" i="48" s="1"/>
  <c r="P540" i="48" s="1"/>
  <c r="K540" i="48"/>
  <c r="J540" i="48"/>
  <c r="H540" i="48"/>
  <c r="I540" i="48" s="1"/>
  <c r="W539" i="48"/>
  <c r="V539" i="48"/>
  <c r="T539" i="48"/>
  <c r="S539" i="48"/>
  <c r="R539" i="48"/>
  <c r="Q539" i="48"/>
  <c r="L539" i="48"/>
  <c r="M539" i="48" s="1"/>
  <c r="N539" i="48" s="1"/>
  <c r="O539" i="48" s="1"/>
  <c r="P539" i="48" s="1"/>
  <c r="K539" i="48"/>
  <c r="J539" i="48"/>
  <c r="H539" i="48"/>
  <c r="I539" i="48" s="1"/>
  <c r="W538" i="48"/>
  <c r="V538" i="48"/>
  <c r="T538" i="48"/>
  <c r="S538" i="48"/>
  <c r="R538" i="48"/>
  <c r="Q538" i="48"/>
  <c r="L538" i="48"/>
  <c r="M538" i="48" s="1"/>
  <c r="N538" i="48" s="1"/>
  <c r="O538" i="48" s="1"/>
  <c r="P538" i="48" s="1"/>
  <c r="K538" i="48"/>
  <c r="J538" i="48"/>
  <c r="H538" i="48"/>
  <c r="I538" i="48" s="1"/>
  <c r="W537" i="48"/>
  <c r="V537" i="48"/>
  <c r="T537" i="48"/>
  <c r="S537" i="48"/>
  <c r="R537" i="48"/>
  <c r="Q537" i="48"/>
  <c r="L537" i="48"/>
  <c r="M537" i="48" s="1"/>
  <c r="N537" i="48" s="1"/>
  <c r="O537" i="48" s="1"/>
  <c r="P537" i="48" s="1"/>
  <c r="K537" i="48"/>
  <c r="J537" i="48"/>
  <c r="H537" i="48"/>
  <c r="I537" i="48" s="1"/>
  <c r="W536" i="48"/>
  <c r="V536" i="48"/>
  <c r="T536" i="48"/>
  <c r="S536" i="48"/>
  <c r="R536" i="48"/>
  <c r="Q536" i="48"/>
  <c r="L536" i="48"/>
  <c r="M536" i="48" s="1"/>
  <c r="N536" i="48" s="1"/>
  <c r="O536" i="48" s="1"/>
  <c r="P536" i="48" s="1"/>
  <c r="K536" i="48"/>
  <c r="J536" i="48"/>
  <c r="H536" i="48"/>
  <c r="I536" i="48" s="1"/>
  <c r="W535" i="48"/>
  <c r="V535" i="48"/>
  <c r="T535" i="48"/>
  <c r="S535" i="48"/>
  <c r="R535" i="48"/>
  <c r="Q535" i="48"/>
  <c r="L535" i="48"/>
  <c r="M535" i="48" s="1"/>
  <c r="N535" i="48" s="1"/>
  <c r="O535" i="48" s="1"/>
  <c r="P535" i="48" s="1"/>
  <c r="K535" i="48"/>
  <c r="J535" i="48"/>
  <c r="H535" i="48"/>
  <c r="W534" i="48"/>
  <c r="V534" i="48"/>
  <c r="T534" i="48"/>
  <c r="S534" i="48"/>
  <c r="R534" i="48"/>
  <c r="Q534" i="48"/>
  <c r="L534" i="48"/>
  <c r="M534" i="48" s="1"/>
  <c r="N534" i="48" s="1"/>
  <c r="O534" i="48" s="1"/>
  <c r="P534" i="48" s="1"/>
  <c r="K534" i="48"/>
  <c r="J534" i="48"/>
  <c r="H534" i="48"/>
  <c r="I534" i="48" s="1"/>
  <c r="W533" i="48"/>
  <c r="V533" i="48"/>
  <c r="T533" i="48"/>
  <c r="S533" i="48"/>
  <c r="R533" i="48"/>
  <c r="Q533" i="48"/>
  <c r="L533" i="48"/>
  <c r="M533" i="48" s="1"/>
  <c r="N533" i="48" s="1"/>
  <c r="O533" i="48" s="1"/>
  <c r="P533" i="48" s="1"/>
  <c r="K533" i="48"/>
  <c r="J533" i="48"/>
  <c r="H533" i="48"/>
  <c r="I533" i="48" s="1"/>
  <c r="W532" i="48"/>
  <c r="V532" i="48"/>
  <c r="T532" i="48"/>
  <c r="S532" i="48"/>
  <c r="R532" i="48"/>
  <c r="Q532" i="48"/>
  <c r="L532" i="48"/>
  <c r="M532" i="48" s="1"/>
  <c r="N532" i="48" s="1"/>
  <c r="O532" i="48" s="1"/>
  <c r="P532" i="48" s="1"/>
  <c r="K532" i="48"/>
  <c r="J532" i="48"/>
  <c r="H532" i="48"/>
  <c r="I532" i="48" s="1"/>
  <c r="W531" i="48"/>
  <c r="V531" i="48"/>
  <c r="T531" i="48"/>
  <c r="S531" i="48"/>
  <c r="R531" i="48"/>
  <c r="Q531" i="48"/>
  <c r="L531" i="48"/>
  <c r="M531" i="48" s="1"/>
  <c r="N531" i="48" s="1"/>
  <c r="O531" i="48" s="1"/>
  <c r="P531" i="48" s="1"/>
  <c r="K531" i="48"/>
  <c r="J531" i="48"/>
  <c r="H531" i="48"/>
  <c r="I531" i="48" s="1"/>
  <c r="W530" i="48"/>
  <c r="V530" i="48"/>
  <c r="T530" i="48"/>
  <c r="S530" i="48"/>
  <c r="R530" i="48"/>
  <c r="Q530" i="48"/>
  <c r="L530" i="48"/>
  <c r="M530" i="48" s="1"/>
  <c r="N530" i="48" s="1"/>
  <c r="O530" i="48" s="1"/>
  <c r="P530" i="48" s="1"/>
  <c r="K530" i="48"/>
  <c r="J530" i="48"/>
  <c r="H530" i="48"/>
  <c r="W529" i="48"/>
  <c r="V529" i="48"/>
  <c r="T529" i="48"/>
  <c r="S529" i="48"/>
  <c r="R529" i="48"/>
  <c r="Q529" i="48"/>
  <c r="L529" i="48"/>
  <c r="M529" i="48" s="1"/>
  <c r="N529" i="48" s="1"/>
  <c r="O529" i="48" s="1"/>
  <c r="P529" i="48" s="1"/>
  <c r="K529" i="48"/>
  <c r="J529" i="48"/>
  <c r="H529" i="48"/>
  <c r="I529" i="48" s="1"/>
  <c r="W528" i="48"/>
  <c r="V528" i="48"/>
  <c r="T528" i="48"/>
  <c r="S528" i="48"/>
  <c r="R528" i="48"/>
  <c r="Q528" i="48"/>
  <c r="L528" i="48"/>
  <c r="M528" i="48" s="1"/>
  <c r="N528" i="48" s="1"/>
  <c r="O528" i="48" s="1"/>
  <c r="P528" i="48" s="1"/>
  <c r="K528" i="48"/>
  <c r="J528" i="48"/>
  <c r="H528" i="48"/>
  <c r="I528" i="48" s="1"/>
  <c r="W527" i="48"/>
  <c r="V527" i="48"/>
  <c r="T527" i="48"/>
  <c r="S527" i="48"/>
  <c r="R527" i="48"/>
  <c r="Q527" i="48"/>
  <c r="L527" i="48"/>
  <c r="M527" i="48" s="1"/>
  <c r="N527" i="48" s="1"/>
  <c r="O527" i="48" s="1"/>
  <c r="P527" i="48" s="1"/>
  <c r="K527" i="48"/>
  <c r="J527" i="48"/>
  <c r="H527" i="48"/>
  <c r="I527" i="48" s="1"/>
  <c r="W526" i="48"/>
  <c r="V526" i="48"/>
  <c r="T526" i="48"/>
  <c r="S526" i="48"/>
  <c r="R526" i="48"/>
  <c r="Q526" i="48"/>
  <c r="L526" i="48"/>
  <c r="M526" i="48" s="1"/>
  <c r="N526" i="48" s="1"/>
  <c r="O526" i="48" s="1"/>
  <c r="P526" i="48" s="1"/>
  <c r="K526" i="48"/>
  <c r="J526" i="48"/>
  <c r="H526" i="48"/>
  <c r="I526" i="48" s="1"/>
  <c r="W525" i="48"/>
  <c r="V525" i="48"/>
  <c r="T525" i="48"/>
  <c r="S525" i="48"/>
  <c r="R525" i="48"/>
  <c r="Q525" i="48"/>
  <c r="L525" i="48"/>
  <c r="M525" i="48" s="1"/>
  <c r="N525" i="48" s="1"/>
  <c r="O525" i="48" s="1"/>
  <c r="P525" i="48" s="1"/>
  <c r="K525" i="48"/>
  <c r="J525" i="48"/>
  <c r="H525" i="48"/>
  <c r="I525" i="48" s="1"/>
  <c r="W524" i="48"/>
  <c r="V524" i="48"/>
  <c r="T524" i="48"/>
  <c r="S524" i="48"/>
  <c r="R524" i="48"/>
  <c r="Q524" i="48"/>
  <c r="L524" i="48"/>
  <c r="M524" i="48" s="1"/>
  <c r="N524" i="48" s="1"/>
  <c r="O524" i="48" s="1"/>
  <c r="P524" i="48" s="1"/>
  <c r="K524" i="48"/>
  <c r="J524" i="48"/>
  <c r="H524" i="48"/>
  <c r="I524" i="48" s="1"/>
  <c r="W523" i="48"/>
  <c r="V523" i="48"/>
  <c r="T523" i="48"/>
  <c r="S523" i="48"/>
  <c r="R523" i="48"/>
  <c r="Q523" i="48"/>
  <c r="L523" i="48"/>
  <c r="M523" i="48" s="1"/>
  <c r="N523" i="48" s="1"/>
  <c r="O523" i="48" s="1"/>
  <c r="P523" i="48" s="1"/>
  <c r="K523" i="48"/>
  <c r="J523" i="48"/>
  <c r="H523" i="48"/>
  <c r="I523" i="48" s="1"/>
  <c r="W522" i="48"/>
  <c r="V522" i="48"/>
  <c r="T522" i="48"/>
  <c r="S522" i="48"/>
  <c r="R522" i="48"/>
  <c r="Q522" i="48"/>
  <c r="L522" i="48"/>
  <c r="M522" i="48" s="1"/>
  <c r="N522" i="48" s="1"/>
  <c r="O522" i="48" s="1"/>
  <c r="P522" i="48" s="1"/>
  <c r="K522" i="48"/>
  <c r="J522" i="48"/>
  <c r="H522" i="48"/>
  <c r="X522" i="48" s="1"/>
  <c r="AA522" i="48" s="1"/>
  <c r="W521" i="48"/>
  <c r="V521" i="48"/>
  <c r="T521" i="48"/>
  <c r="S521" i="48"/>
  <c r="R521" i="48"/>
  <c r="Q521" i="48"/>
  <c r="L521" i="48"/>
  <c r="M521" i="48" s="1"/>
  <c r="N521" i="48" s="1"/>
  <c r="O521" i="48" s="1"/>
  <c r="P521" i="48" s="1"/>
  <c r="K521" i="48"/>
  <c r="J521" i="48"/>
  <c r="H521" i="48"/>
  <c r="I521" i="48" s="1"/>
  <c r="W520" i="48"/>
  <c r="V520" i="48"/>
  <c r="T520" i="48"/>
  <c r="S520" i="48"/>
  <c r="R520" i="48"/>
  <c r="Q520" i="48"/>
  <c r="L520" i="48"/>
  <c r="M520" i="48" s="1"/>
  <c r="N520" i="48" s="1"/>
  <c r="O520" i="48" s="1"/>
  <c r="P520" i="48" s="1"/>
  <c r="K520" i="48"/>
  <c r="J520" i="48"/>
  <c r="H520" i="48"/>
  <c r="I520" i="48" s="1"/>
  <c r="W519" i="48"/>
  <c r="V519" i="48"/>
  <c r="T519" i="48"/>
  <c r="S519" i="48"/>
  <c r="R519" i="48"/>
  <c r="Q519" i="48"/>
  <c r="L519" i="48"/>
  <c r="M519" i="48" s="1"/>
  <c r="N519" i="48" s="1"/>
  <c r="O519" i="48" s="1"/>
  <c r="P519" i="48" s="1"/>
  <c r="K519" i="48"/>
  <c r="J519" i="48"/>
  <c r="H519" i="48"/>
  <c r="I519" i="48" s="1"/>
  <c r="W518" i="48"/>
  <c r="V518" i="48"/>
  <c r="T518" i="48"/>
  <c r="S518" i="48"/>
  <c r="R518" i="48"/>
  <c r="Q518" i="48"/>
  <c r="L518" i="48"/>
  <c r="M518" i="48" s="1"/>
  <c r="N518" i="48" s="1"/>
  <c r="O518" i="48" s="1"/>
  <c r="P518" i="48" s="1"/>
  <c r="K518" i="48"/>
  <c r="J518" i="48"/>
  <c r="H518" i="48"/>
  <c r="W517" i="48"/>
  <c r="V517" i="48"/>
  <c r="T517" i="48"/>
  <c r="S517" i="48"/>
  <c r="R517" i="48"/>
  <c r="Q517" i="48"/>
  <c r="L517" i="48"/>
  <c r="M517" i="48" s="1"/>
  <c r="N517" i="48" s="1"/>
  <c r="O517" i="48" s="1"/>
  <c r="P517" i="48" s="1"/>
  <c r="K517" i="48"/>
  <c r="J517" i="48"/>
  <c r="H517" i="48"/>
  <c r="I517" i="48" s="1"/>
  <c r="W516" i="48"/>
  <c r="V516" i="48"/>
  <c r="T516" i="48"/>
  <c r="S516" i="48"/>
  <c r="R516" i="48"/>
  <c r="Q516" i="48"/>
  <c r="L516" i="48"/>
  <c r="M516" i="48" s="1"/>
  <c r="N516" i="48" s="1"/>
  <c r="O516" i="48" s="1"/>
  <c r="P516" i="48" s="1"/>
  <c r="K516" i="48"/>
  <c r="J516" i="48"/>
  <c r="H516" i="48"/>
  <c r="I516" i="48" s="1"/>
  <c r="W515" i="48"/>
  <c r="V515" i="48"/>
  <c r="T515" i="48"/>
  <c r="S515" i="48"/>
  <c r="R515" i="48"/>
  <c r="Q515" i="48"/>
  <c r="L515" i="48"/>
  <c r="M515" i="48" s="1"/>
  <c r="N515" i="48" s="1"/>
  <c r="O515" i="48" s="1"/>
  <c r="P515" i="48" s="1"/>
  <c r="K515" i="48"/>
  <c r="J515" i="48"/>
  <c r="H515" i="48"/>
  <c r="W514" i="48"/>
  <c r="V514" i="48"/>
  <c r="T514" i="48"/>
  <c r="S514" i="48"/>
  <c r="R514" i="48"/>
  <c r="Q514" i="48"/>
  <c r="L514" i="48"/>
  <c r="M514" i="48" s="1"/>
  <c r="N514" i="48" s="1"/>
  <c r="O514" i="48" s="1"/>
  <c r="P514" i="48" s="1"/>
  <c r="K514" i="48"/>
  <c r="J514" i="48"/>
  <c r="H514" i="48"/>
  <c r="W513" i="48"/>
  <c r="V513" i="48"/>
  <c r="T513" i="48"/>
  <c r="S513" i="48"/>
  <c r="R513" i="48"/>
  <c r="Q513" i="48"/>
  <c r="L513" i="48"/>
  <c r="M513" i="48" s="1"/>
  <c r="N513" i="48" s="1"/>
  <c r="O513" i="48" s="1"/>
  <c r="P513" i="48" s="1"/>
  <c r="K513" i="48"/>
  <c r="J513" i="48"/>
  <c r="H513" i="48"/>
  <c r="I513" i="48" s="1"/>
  <c r="W512" i="48"/>
  <c r="V512" i="48"/>
  <c r="T512" i="48"/>
  <c r="S512" i="48"/>
  <c r="R512" i="48"/>
  <c r="Q512" i="48"/>
  <c r="L512" i="48"/>
  <c r="M512" i="48" s="1"/>
  <c r="N512" i="48" s="1"/>
  <c r="O512" i="48" s="1"/>
  <c r="P512" i="48" s="1"/>
  <c r="K512" i="48"/>
  <c r="J512" i="48"/>
  <c r="H512" i="48"/>
  <c r="I512" i="48" s="1"/>
  <c r="W511" i="48"/>
  <c r="V511" i="48"/>
  <c r="T511" i="48"/>
  <c r="S511" i="48"/>
  <c r="R511" i="48"/>
  <c r="Q511" i="48"/>
  <c r="L511" i="48"/>
  <c r="M511" i="48" s="1"/>
  <c r="N511" i="48" s="1"/>
  <c r="O511" i="48" s="1"/>
  <c r="P511" i="48" s="1"/>
  <c r="K511" i="48"/>
  <c r="J511" i="48"/>
  <c r="H511" i="48"/>
  <c r="W510" i="48"/>
  <c r="V510" i="48"/>
  <c r="T510" i="48"/>
  <c r="S510" i="48"/>
  <c r="R510" i="48"/>
  <c r="Q510" i="48"/>
  <c r="L510" i="48"/>
  <c r="M510" i="48" s="1"/>
  <c r="N510" i="48" s="1"/>
  <c r="O510" i="48" s="1"/>
  <c r="P510" i="48" s="1"/>
  <c r="K510" i="48"/>
  <c r="J510" i="48"/>
  <c r="H510" i="48"/>
  <c r="I510" i="48" s="1"/>
  <c r="W509" i="48"/>
  <c r="V509" i="48"/>
  <c r="T509" i="48"/>
  <c r="S509" i="48"/>
  <c r="R509" i="48"/>
  <c r="Q509" i="48"/>
  <c r="L509" i="48"/>
  <c r="M509" i="48" s="1"/>
  <c r="N509" i="48" s="1"/>
  <c r="O509" i="48" s="1"/>
  <c r="P509" i="48" s="1"/>
  <c r="K509" i="48"/>
  <c r="J509" i="48"/>
  <c r="H509" i="48"/>
  <c r="I509" i="48" s="1"/>
  <c r="W508" i="48"/>
  <c r="V508" i="48"/>
  <c r="T508" i="48"/>
  <c r="S508" i="48"/>
  <c r="R508" i="48"/>
  <c r="Q508" i="48"/>
  <c r="L508" i="48"/>
  <c r="M508" i="48" s="1"/>
  <c r="N508" i="48" s="1"/>
  <c r="O508" i="48" s="1"/>
  <c r="P508" i="48" s="1"/>
  <c r="K508" i="48"/>
  <c r="J508" i="48"/>
  <c r="H508" i="48"/>
  <c r="W507" i="48"/>
  <c r="V507" i="48"/>
  <c r="T507" i="48"/>
  <c r="S507" i="48"/>
  <c r="R507" i="48"/>
  <c r="Q507" i="48"/>
  <c r="L507" i="48"/>
  <c r="M507" i="48" s="1"/>
  <c r="N507" i="48" s="1"/>
  <c r="O507" i="48" s="1"/>
  <c r="P507" i="48" s="1"/>
  <c r="K507" i="48"/>
  <c r="J507" i="48"/>
  <c r="H507" i="48"/>
  <c r="I507" i="48" s="1"/>
  <c r="W506" i="48"/>
  <c r="V506" i="48"/>
  <c r="T506" i="48"/>
  <c r="S506" i="48"/>
  <c r="R506" i="48"/>
  <c r="Q506" i="48"/>
  <c r="L506" i="48"/>
  <c r="M506" i="48" s="1"/>
  <c r="N506" i="48" s="1"/>
  <c r="O506" i="48" s="1"/>
  <c r="P506" i="48" s="1"/>
  <c r="K506" i="48"/>
  <c r="J506" i="48"/>
  <c r="H506" i="48"/>
  <c r="I506" i="48" s="1"/>
  <c r="W505" i="48"/>
  <c r="V505" i="48"/>
  <c r="T505" i="48"/>
  <c r="S505" i="48"/>
  <c r="R505" i="48"/>
  <c r="Q505" i="48"/>
  <c r="L505" i="48"/>
  <c r="M505" i="48" s="1"/>
  <c r="N505" i="48" s="1"/>
  <c r="O505" i="48" s="1"/>
  <c r="P505" i="48" s="1"/>
  <c r="K505" i="48"/>
  <c r="J505" i="48"/>
  <c r="H505" i="48"/>
  <c r="I505" i="48" s="1"/>
  <c r="W504" i="48"/>
  <c r="V504" i="48"/>
  <c r="T504" i="48"/>
  <c r="S504" i="48"/>
  <c r="R504" i="48"/>
  <c r="Q504" i="48"/>
  <c r="L504" i="48"/>
  <c r="M504" i="48" s="1"/>
  <c r="N504" i="48" s="1"/>
  <c r="O504" i="48" s="1"/>
  <c r="P504" i="48" s="1"/>
  <c r="K504" i="48"/>
  <c r="J504" i="48"/>
  <c r="H504" i="48"/>
  <c r="W503" i="48"/>
  <c r="V503" i="48"/>
  <c r="T503" i="48"/>
  <c r="S503" i="48"/>
  <c r="R503" i="48"/>
  <c r="Q503" i="48"/>
  <c r="L503" i="48"/>
  <c r="M503" i="48" s="1"/>
  <c r="N503" i="48" s="1"/>
  <c r="O503" i="48" s="1"/>
  <c r="P503" i="48" s="1"/>
  <c r="K503" i="48"/>
  <c r="J503" i="48"/>
  <c r="H503" i="48"/>
  <c r="W502" i="48"/>
  <c r="V502" i="48"/>
  <c r="T502" i="48"/>
  <c r="S502" i="48"/>
  <c r="R502" i="48"/>
  <c r="Q502" i="48"/>
  <c r="L502" i="48"/>
  <c r="M502" i="48" s="1"/>
  <c r="N502" i="48" s="1"/>
  <c r="O502" i="48" s="1"/>
  <c r="P502" i="48" s="1"/>
  <c r="K502" i="48"/>
  <c r="J502" i="48"/>
  <c r="H502" i="48"/>
  <c r="W501" i="48"/>
  <c r="V501" i="48"/>
  <c r="T501" i="48"/>
  <c r="S501" i="48"/>
  <c r="R501" i="48"/>
  <c r="Q501" i="48"/>
  <c r="L501" i="48"/>
  <c r="M501" i="48" s="1"/>
  <c r="N501" i="48" s="1"/>
  <c r="O501" i="48" s="1"/>
  <c r="P501" i="48" s="1"/>
  <c r="K501" i="48"/>
  <c r="J501" i="48"/>
  <c r="H501" i="48"/>
  <c r="I501" i="48" s="1"/>
  <c r="W500" i="48"/>
  <c r="V500" i="48"/>
  <c r="T500" i="48"/>
  <c r="S500" i="48"/>
  <c r="R500" i="48"/>
  <c r="Q500" i="48"/>
  <c r="L500" i="48"/>
  <c r="M500" i="48" s="1"/>
  <c r="N500" i="48" s="1"/>
  <c r="O500" i="48" s="1"/>
  <c r="P500" i="48" s="1"/>
  <c r="K500" i="48"/>
  <c r="J500" i="48"/>
  <c r="H500" i="48"/>
  <c r="I500" i="48" s="1"/>
  <c r="W499" i="48"/>
  <c r="V499" i="48"/>
  <c r="T499" i="48"/>
  <c r="S499" i="48"/>
  <c r="R499" i="48"/>
  <c r="Q499" i="48"/>
  <c r="L499" i="48"/>
  <c r="M499" i="48" s="1"/>
  <c r="N499" i="48" s="1"/>
  <c r="O499" i="48" s="1"/>
  <c r="P499" i="48" s="1"/>
  <c r="K499" i="48"/>
  <c r="J499" i="48"/>
  <c r="H499" i="48"/>
  <c r="W498" i="48"/>
  <c r="V498" i="48"/>
  <c r="T498" i="48"/>
  <c r="S498" i="48"/>
  <c r="R498" i="48"/>
  <c r="Q498" i="48"/>
  <c r="L498" i="48"/>
  <c r="M498" i="48" s="1"/>
  <c r="N498" i="48" s="1"/>
  <c r="O498" i="48" s="1"/>
  <c r="P498" i="48" s="1"/>
  <c r="K498" i="48"/>
  <c r="J498" i="48"/>
  <c r="H498" i="48"/>
  <c r="W497" i="48"/>
  <c r="V497" i="48"/>
  <c r="T497" i="48"/>
  <c r="S497" i="48"/>
  <c r="R497" i="48"/>
  <c r="Q497" i="48"/>
  <c r="L497" i="48"/>
  <c r="M497" i="48" s="1"/>
  <c r="N497" i="48" s="1"/>
  <c r="O497" i="48" s="1"/>
  <c r="P497" i="48" s="1"/>
  <c r="K497" i="48"/>
  <c r="J497" i="48"/>
  <c r="H497" i="48"/>
  <c r="W496" i="48"/>
  <c r="V496" i="48"/>
  <c r="T496" i="48"/>
  <c r="S496" i="48"/>
  <c r="R496" i="48"/>
  <c r="Q496" i="48"/>
  <c r="L496" i="48"/>
  <c r="M496" i="48" s="1"/>
  <c r="N496" i="48" s="1"/>
  <c r="O496" i="48" s="1"/>
  <c r="P496" i="48" s="1"/>
  <c r="K496" i="48"/>
  <c r="J496" i="48"/>
  <c r="H496" i="48"/>
  <c r="I496" i="48" s="1"/>
  <c r="W495" i="48"/>
  <c r="V495" i="48"/>
  <c r="T495" i="48"/>
  <c r="S495" i="48"/>
  <c r="R495" i="48"/>
  <c r="Q495" i="48"/>
  <c r="L495" i="48"/>
  <c r="M495" i="48" s="1"/>
  <c r="N495" i="48" s="1"/>
  <c r="O495" i="48" s="1"/>
  <c r="P495" i="48" s="1"/>
  <c r="K495" i="48"/>
  <c r="J495" i="48"/>
  <c r="H495" i="48"/>
  <c r="W494" i="48"/>
  <c r="V494" i="48"/>
  <c r="T494" i="48"/>
  <c r="S494" i="48"/>
  <c r="R494" i="48"/>
  <c r="Q494" i="48"/>
  <c r="L494" i="48"/>
  <c r="M494" i="48" s="1"/>
  <c r="N494" i="48" s="1"/>
  <c r="O494" i="48" s="1"/>
  <c r="P494" i="48" s="1"/>
  <c r="K494" i="48"/>
  <c r="J494" i="48"/>
  <c r="H494" i="48"/>
  <c r="I494" i="48" s="1"/>
  <c r="W493" i="48"/>
  <c r="V493" i="48"/>
  <c r="T493" i="48"/>
  <c r="S493" i="48"/>
  <c r="R493" i="48"/>
  <c r="Q493" i="48"/>
  <c r="L493" i="48"/>
  <c r="M493" i="48" s="1"/>
  <c r="N493" i="48" s="1"/>
  <c r="O493" i="48" s="1"/>
  <c r="P493" i="48" s="1"/>
  <c r="K493" i="48"/>
  <c r="J493" i="48"/>
  <c r="H493" i="48"/>
  <c r="I493" i="48" s="1"/>
  <c r="W492" i="48"/>
  <c r="V492" i="48"/>
  <c r="T492" i="48"/>
  <c r="S492" i="48"/>
  <c r="R492" i="48"/>
  <c r="Q492" i="48"/>
  <c r="L492" i="48"/>
  <c r="M492" i="48" s="1"/>
  <c r="N492" i="48" s="1"/>
  <c r="O492" i="48" s="1"/>
  <c r="P492" i="48" s="1"/>
  <c r="K492" i="48"/>
  <c r="J492" i="48"/>
  <c r="H492" i="48"/>
  <c r="I492" i="48" s="1"/>
  <c r="W491" i="48"/>
  <c r="V491" i="48"/>
  <c r="T491" i="48"/>
  <c r="S491" i="48"/>
  <c r="R491" i="48"/>
  <c r="Q491" i="48"/>
  <c r="L491" i="48"/>
  <c r="M491" i="48" s="1"/>
  <c r="N491" i="48" s="1"/>
  <c r="O491" i="48" s="1"/>
  <c r="P491" i="48" s="1"/>
  <c r="K491" i="48"/>
  <c r="J491" i="48"/>
  <c r="H491" i="48"/>
  <c r="W490" i="48"/>
  <c r="V490" i="48"/>
  <c r="T490" i="48"/>
  <c r="S490" i="48"/>
  <c r="R490" i="48"/>
  <c r="Q490" i="48"/>
  <c r="L490" i="48"/>
  <c r="M490" i="48" s="1"/>
  <c r="N490" i="48" s="1"/>
  <c r="O490" i="48" s="1"/>
  <c r="P490" i="48" s="1"/>
  <c r="K490" i="48"/>
  <c r="J490" i="48"/>
  <c r="H490" i="48"/>
  <c r="X490" i="48" s="1"/>
  <c r="AA490" i="48" s="1"/>
  <c r="W489" i="48"/>
  <c r="V489" i="48"/>
  <c r="T489" i="48"/>
  <c r="S489" i="48"/>
  <c r="R489" i="48"/>
  <c r="Q489" i="48"/>
  <c r="L489" i="48"/>
  <c r="M489" i="48" s="1"/>
  <c r="N489" i="48" s="1"/>
  <c r="O489" i="48" s="1"/>
  <c r="P489" i="48" s="1"/>
  <c r="K489" i="48"/>
  <c r="J489" i="48"/>
  <c r="H489" i="48"/>
  <c r="W488" i="48"/>
  <c r="V488" i="48"/>
  <c r="T488" i="48"/>
  <c r="S488" i="48"/>
  <c r="R488" i="48"/>
  <c r="Q488" i="48"/>
  <c r="L488" i="48"/>
  <c r="M488" i="48" s="1"/>
  <c r="N488" i="48" s="1"/>
  <c r="O488" i="48" s="1"/>
  <c r="P488" i="48" s="1"/>
  <c r="K488" i="48"/>
  <c r="J488" i="48"/>
  <c r="H488" i="48"/>
  <c r="I488" i="48" s="1"/>
  <c r="W487" i="48"/>
  <c r="V487" i="48"/>
  <c r="T487" i="48"/>
  <c r="S487" i="48"/>
  <c r="R487" i="48"/>
  <c r="Q487" i="48"/>
  <c r="L487" i="48"/>
  <c r="M487" i="48" s="1"/>
  <c r="N487" i="48" s="1"/>
  <c r="O487" i="48" s="1"/>
  <c r="P487" i="48" s="1"/>
  <c r="K487" i="48"/>
  <c r="J487" i="48"/>
  <c r="H487" i="48"/>
  <c r="W486" i="48"/>
  <c r="V486" i="48"/>
  <c r="T486" i="48"/>
  <c r="S486" i="48"/>
  <c r="R486" i="48"/>
  <c r="Q486" i="48"/>
  <c r="L486" i="48"/>
  <c r="M486" i="48" s="1"/>
  <c r="N486" i="48" s="1"/>
  <c r="O486" i="48" s="1"/>
  <c r="P486" i="48" s="1"/>
  <c r="K486" i="48"/>
  <c r="J486" i="48"/>
  <c r="H486" i="48"/>
  <c r="I486" i="48" s="1"/>
  <c r="W485" i="48"/>
  <c r="V485" i="48"/>
  <c r="T485" i="48"/>
  <c r="S485" i="48"/>
  <c r="R485" i="48"/>
  <c r="Q485" i="48"/>
  <c r="L485" i="48"/>
  <c r="M485" i="48" s="1"/>
  <c r="N485" i="48" s="1"/>
  <c r="O485" i="48" s="1"/>
  <c r="P485" i="48" s="1"/>
  <c r="K485" i="48"/>
  <c r="J485" i="48"/>
  <c r="H485" i="48"/>
  <c r="I485" i="48" s="1"/>
  <c r="W484" i="48"/>
  <c r="V484" i="48"/>
  <c r="T484" i="48"/>
  <c r="S484" i="48"/>
  <c r="R484" i="48"/>
  <c r="Q484" i="48"/>
  <c r="L484" i="48"/>
  <c r="M484" i="48" s="1"/>
  <c r="N484" i="48" s="1"/>
  <c r="O484" i="48" s="1"/>
  <c r="P484" i="48" s="1"/>
  <c r="K484" i="48"/>
  <c r="J484" i="48"/>
  <c r="H484" i="48"/>
  <c r="I484" i="48" s="1"/>
  <c r="W483" i="48"/>
  <c r="V483" i="48"/>
  <c r="T483" i="48"/>
  <c r="S483" i="48"/>
  <c r="R483" i="48"/>
  <c r="Q483" i="48"/>
  <c r="L483" i="48"/>
  <c r="M483" i="48" s="1"/>
  <c r="N483" i="48" s="1"/>
  <c r="O483" i="48" s="1"/>
  <c r="P483" i="48" s="1"/>
  <c r="K483" i="48"/>
  <c r="J483" i="48"/>
  <c r="H483" i="48"/>
  <c r="W482" i="48"/>
  <c r="V482" i="48"/>
  <c r="T482" i="48"/>
  <c r="S482" i="48"/>
  <c r="R482" i="48"/>
  <c r="Q482" i="48"/>
  <c r="L482" i="48"/>
  <c r="M482" i="48" s="1"/>
  <c r="N482" i="48" s="1"/>
  <c r="O482" i="48" s="1"/>
  <c r="P482" i="48" s="1"/>
  <c r="K482" i="48"/>
  <c r="J482" i="48"/>
  <c r="H482" i="48"/>
  <c r="X482" i="48" s="1"/>
  <c r="AA482" i="48" s="1"/>
  <c r="W481" i="48"/>
  <c r="V481" i="48"/>
  <c r="T481" i="48"/>
  <c r="S481" i="48"/>
  <c r="R481" i="48"/>
  <c r="Q481" i="48"/>
  <c r="L481" i="48"/>
  <c r="M481" i="48" s="1"/>
  <c r="N481" i="48" s="1"/>
  <c r="O481" i="48" s="1"/>
  <c r="P481" i="48" s="1"/>
  <c r="K481" i="48"/>
  <c r="J481" i="48"/>
  <c r="H481" i="48"/>
  <c r="W480" i="48"/>
  <c r="V480" i="48"/>
  <c r="T480" i="48"/>
  <c r="S480" i="48"/>
  <c r="R480" i="48"/>
  <c r="Q480" i="48"/>
  <c r="L480" i="48"/>
  <c r="M480" i="48" s="1"/>
  <c r="N480" i="48" s="1"/>
  <c r="O480" i="48" s="1"/>
  <c r="P480" i="48" s="1"/>
  <c r="K480" i="48"/>
  <c r="J480" i="48"/>
  <c r="H480" i="48"/>
  <c r="W479" i="48"/>
  <c r="V479" i="48"/>
  <c r="T479" i="48"/>
  <c r="S479" i="48"/>
  <c r="R479" i="48"/>
  <c r="Q479" i="48"/>
  <c r="L479" i="48"/>
  <c r="M479" i="48" s="1"/>
  <c r="N479" i="48" s="1"/>
  <c r="O479" i="48" s="1"/>
  <c r="P479" i="48" s="1"/>
  <c r="K479" i="48"/>
  <c r="J479" i="48"/>
  <c r="H479" i="48"/>
  <c r="I479" i="48" s="1"/>
  <c r="W478" i="48"/>
  <c r="V478" i="48"/>
  <c r="T478" i="48"/>
  <c r="S478" i="48"/>
  <c r="R478" i="48"/>
  <c r="Q478" i="48"/>
  <c r="L478" i="48"/>
  <c r="M478" i="48" s="1"/>
  <c r="N478" i="48" s="1"/>
  <c r="O478" i="48" s="1"/>
  <c r="P478" i="48" s="1"/>
  <c r="K478" i="48"/>
  <c r="J478" i="48"/>
  <c r="H478" i="48"/>
  <c r="I478" i="48" s="1"/>
  <c r="W477" i="48"/>
  <c r="V477" i="48"/>
  <c r="T477" i="48"/>
  <c r="S477" i="48"/>
  <c r="R477" i="48"/>
  <c r="Q477" i="48"/>
  <c r="L477" i="48"/>
  <c r="M477" i="48" s="1"/>
  <c r="N477" i="48" s="1"/>
  <c r="O477" i="48" s="1"/>
  <c r="P477" i="48" s="1"/>
  <c r="K477" i="48"/>
  <c r="J477" i="48"/>
  <c r="H477" i="48"/>
  <c r="I477" i="48" s="1"/>
  <c r="W476" i="48"/>
  <c r="V476" i="48"/>
  <c r="T476" i="48"/>
  <c r="S476" i="48"/>
  <c r="R476" i="48"/>
  <c r="Q476" i="48"/>
  <c r="L476" i="48"/>
  <c r="M476" i="48" s="1"/>
  <c r="N476" i="48" s="1"/>
  <c r="O476" i="48" s="1"/>
  <c r="P476" i="48" s="1"/>
  <c r="K476" i="48"/>
  <c r="J476" i="48"/>
  <c r="H476" i="48"/>
  <c r="I476" i="48" s="1"/>
  <c r="W475" i="48"/>
  <c r="V475" i="48"/>
  <c r="T475" i="48"/>
  <c r="S475" i="48"/>
  <c r="R475" i="48"/>
  <c r="Q475" i="48"/>
  <c r="L475" i="48"/>
  <c r="M475" i="48" s="1"/>
  <c r="N475" i="48" s="1"/>
  <c r="O475" i="48" s="1"/>
  <c r="P475" i="48" s="1"/>
  <c r="K475" i="48"/>
  <c r="J475" i="48"/>
  <c r="H475" i="48"/>
  <c r="W474" i="48"/>
  <c r="V474" i="48"/>
  <c r="T474" i="48"/>
  <c r="S474" i="48"/>
  <c r="R474" i="48"/>
  <c r="Q474" i="48"/>
  <c r="L474" i="48"/>
  <c r="M474" i="48" s="1"/>
  <c r="N474" i="48" s="1"/>
  <c r="O474" i="48" s="1"/>
  <c r="P474" i="48" s="1"/>
  <c r="K474" i="48"/>
  <c r="J474" i="48"/>
  <c r="H474" i="48"/>
  <c r="X474" i="48" s="1"/>
  <c r="AA474" i="48" s="1"/>
  <c r="W473" i="48"/>
  <c r="V473" i="48"/>
  <c r="T473" i="48"/>
  <c r="S473" i="48"/>
  <c r="R473" i="48"/>
  <c r="Q473" i="48"/>
  <c r="L473" i="48"/>
  <c r="M473" i="48" s="1"/>
  <c r="N473" i="48" s="1"/>
  <c r="O473" i="48" s="1"/>
  <c r="P473" i="48" s="1"/>
  <c r="K473" i="48"/>
  <c r="J473" i="48"/>
  <c r="H473" i="48"/>
  <c r="W472" i="48"/>
  <c r="V472" i="48"/>
  <c r="T472" i="48"/>
  <c r="S472" i="48"/>
  <c r="R472" i="48"/>
  <c r="Q472" i="48"/>
  <c r="L472" i="48"/>
  <c r="M472" i="48" s="1"/>
  <c r="N472" i="48" s="1"/>
  <c r="O472" i="48" s="1"/>
  <c r="P472" i="48" s="1"/>
  <c r="K472" i="48"/>
  <c r="J472" i="48"/>
  <c r="H472" i="48"/>
  <c r="I472" i="48" s="1"/>
  <c r="W471" i="48"/>
  <c r="V471" i="48"/>
  <c r="T471" i="48"/>
  <c r="S471" i="48"/>
  <c r="R471" i="48"/>
  <c r="Q471" i="48"/>
  <c r="L471" i="48"/>
  <c r="M471" i="48" s="1"/>
  <c r="N471" i="48" s="1"/>
  <c r="O471" i="48" s="1"/>
  <c r="P471" i="48" s="1"/>
  <c r="K471" i="48"/>
  <c r="J471" i="48"/>
  <c r="H471" i="48"/>
  <c r="X471" i="48" s="1"/>
  <c r="AA471" i="48" s="1"/>
  <c r="W470" i="48"/>
  <c r="V470" i="48"/>
  <c r="T470" i="48"/>
  <c r="S470" i="48"/>
  <c r="R470" i="48"/>
  <c r="Q470" i="48"/>
  <c r="L470" i="48"/>
  <c r="M470" i="48" s="1"/>
  <c r="N470" i="48" s="1"/>
  <c r="O470" i="48" s="1"/>
  <c r="P470" i="48" s="1"/>
  <c r="K470" i="48"/>
  <c r="J470" i="48"/>
  <c r="H470" i="48"/>
  <c r="X470" i="48" s="1"/>
  <c r="AA470" i="48" s="1"/>
  <c r="W469" i="48"/>
  <c r="V469" i="48"/>
  <c r="T469" i="48"/>
  <c r="S469" i="48"/>
  <c r="R469" i="48"/>
  <c r="Q469" i="48"/>
  <c r="L469" i="48"/>
  <c r="M469" i="48" s="1"/>
  <c r="N469" i="48" s="1"/>
  <c r="O469" i="48" s="1"/>
  <c r="P469" i="48" s="1"/>
  <c r="K469" i="48"/>
  <c r="J469" i="48"/>
  <c r="H469" i="48"/>
  <c r="I469" i="48" s="1"/>
  <c r="W468" i="48"/>
  <c r="V468" i="48"/>
  <c r="T468" i="48"/>
  <c r="S468" i="48"/>
  <c r="R468" i="48"/>
  <c r="Q468" i="48"/>
  <c r="L468" i="48"/>
  <c r="M468" i="48" s="1"/>
  <c r="N468" i="48" s="1"/>
  <c r="O468" i="48" s="1"/>
  <c r="P468" i="48" s="1"/>
  <c r="K468" i="48"/>
  <c r="J468" i="48"/>
  <c r="H468" i="48"/>
  <c r="I468" i="48" s="1"/>
  <c r="W467" i="48"/>
  <c r="V467" i="48"/>
  <c r="T467" i="48"/>
  <c r="S467" i="48"/>
  <c r="R467" i="48"/>
  <c r="Q467" i="48"/>
  <c r="L467" i="48"/>
  <c r="M467" i="48" s="1"/>
  <c r="N467" i="48" s="1"/>
  <c r="O467" i="48" s="1"/>
  <c r="P467" i="48" s="1"/>
  <c r="K467" i="48"/>
  <c r="J467" i="48"/>
  <c r="H467" i="48"/>
  <c r="I467" i="48" s="1"/>
  <c r="W466" i="48"/>
  <c r="V466" i="48"/>
  <c r="T466" i="48"/>
  <c r="S466" i="48"/>
  <c r="R466" i="48"/>
  <c r="Q466" i="48"/>
  <c r="L466" i="48"/>
  <c r="M466" i="48" s="1"/>
  <c r="N466" i="48" s="1"/>
  <c r="O466" i="48" s="1"/>
  <c r="P466" i="48" s="1"/>
  <c r="K466" i="48"/>
  <c r="J466" i="48"/>
  <c r="H466" i="48"/>
  <c r="X466" i="48" s="1"/>
  <c r="AA466" i="48" s="1"/>
  <c r="W465" i="48"/>
  <c r="V465" i="48"/>
  <c r="T465" i="48"/>
  <c r="S465" i="48"/>
  <c r="R465" i="48"/>
  <c r="Q465" i="48"/>
  <c r="L465" i="48"/>
  <c r="M465" i="48" s="1"/>
  <c r="N465" i="48" s="1"/>
  <c r="O465" i="48" s="1"/>
  <c r="P465" i="48" s="1"/>
  <c r="K465" i="48"/>
  <c r="J465" i="48"/>
  <c r="H465" i="48"/>
  <c r="I465" i="48" s="1"/>
  <c r="W464" i="48"/>
  <c r="V464" i="48"/>
  <c r="T464" i="48"/>
  <c r="S464" i="48"/>
  <c r="R464" i="48"/>
  <c r="Q464" i="48"/>
  <c r="L464" i="48"/>
  <c r="M464" i="48" s="1"/>
  <c r="N464" i="48" s="1"/>
  <c r="O464" i="48" s="1"/>
  <c r="P464" i="48" s="1"/>
  <c r="K464" i="48"/>
  <c r="J464" i="48"/>
  <c r="H464" i="48"/>
  <c r="W463" i="48"/>
  <c r="V463" i="48"/>
  <c r="T463" i="48"/>
  <c r="S463" i="48"/>
  <c r="R463" i="48"/>
  <c r="Q463" i="48"/>
  <c r="L463" i="48"/>
  <c r="M463" i="48" s="1"/>
  <c r="N463" i="48" s="1"/>
  <c r="O463" i="48" s="1"/>
  <c r="P463" i="48" s="1"/>
  <c r="K463" i="48"/>
  <c r="J463" i="48"/>
  <c r="H463" i="48"/>
  <c r="I463" i="48" s="1"/>
  <c r="W462" i="48"/>
  <c r="V462" i="48"/>
  <c r="T462" i="48"/>
  <c r="S462" i="48"/>
  <c r="R462" i="48"/>
  <c r="Q462" i="48"/>
  <c r="L462" i="48"/>
  <c r="M462" i="48" s="1"/>
  <c r="N462" i="48" s="1"/>
  <c r="O462" i="48" s="1"/>
  <c r="P462" i="48" s="1"/>
  <c r="K462" i="48"/>
  <c r="J462" i="48"/>
  <c r="H462" i="48"/>
  <c r="X462" i="48" s="1"/>
  <c r="AA462" i="48" s="1"/>
  <c r="W461" i="48"/>
  <c r="V461" i="48"/>
  <c r="T461" i="48"/>
  <c r="S461" i="48"/>
  <c r="R461" i="48"/>
  <c r="Q461" i="48"/>
  <c r="L461" i="48"/>
  <c r="M461" i="48" s="1"/>
  <c r="N461" i="48" s="1"/>
  <c r="O461" i="48" s="1"/>
  <c r="P461" i="48" s="1"/>
  <c r="K461" i="48"/>
  <c r="J461" i="48"/>
  <c r="H461" i="48"/>
  <c r="I461" i="48" s="1"/>
  <c r="W460" i="48"/>
  <c r="V460" i="48"/>
  <c r="T460" i="48"/>
  <c r="S460" i="48"/>
  <c r="R460" i="48"/>
  <c r="Q460" i="48"/>
  <c r="L460" i="48"/>
  <c r="M460" i="48" s="1"/>
  <c r="N460" i="48" s="1"/>
  <c r="O460" i="48" s="1"/>
  <c r="P460" i="48" s="1"/>
  <c r="K460" i="48"/>
  <c r="J460" i="48"/>
  <c r="H460" i="48"/>
  <c r="I460" i="48" s="1"/>
  <c r="W459" i="48"/>
  <c r="V459" i="48"/>
  <c r="T459" i="48"/>
  <c r="S459" i="48"/>
  <c r="R459" i="48"/>
  <c r="Q459" i="48"/>
  <c r="L459" i="48"/>
  <c r="M459" i="48" s="1"/>
  <c r="N459" i="48" s="1"/>
  <c r="O459" i="48" s="1"/>
  <c r="P459" i="48" s="1"/>
  <c r="K459" i="48"/>
  <c r="J459" i="48"/>
  <c r="H459" i="48"/>
  <c r="W458" i="48"/>
  <c r="V458" i="48"/>
  <c r="T458" i="48"/>
  <c r="S458" i="48"/>
  <c r="R458" i="48"/>
  <c r="Q458" i="48"/>
  <c r="L458" i="48"/>
  <c r="M458" i="48" s="1"/>
  <c r="N458" i="48" s="1"/>
  <c r="O458" i="48" s="1"/>
  <c r="P458" i="48" s="1"/>
  <c r="K458" i="48"/>
  <c r="J458" i="48"/>
  <c r="H458" i="48"/>
  <c r="W457" i="48"/>
  <c r="V457" i="48"/>
  <c r="T457" i="48"/>
  <c r="S457" i="48"/>
  <c r="R457" i="48"/>
  <c r="Q457" i="48"/>
  <c r="L457" i="48"/>
  <c r="M457" i="48" s="1"/>
  <c r="N457" i="48" s="1"/>
  <c r="O457" i="48" s="1"/>
  <c r="P457" i="48" s="1"/>
  <c r="K457" i="48"/>
  <c r="J457" i="48"/>
  <c r="H457" i="48"/>
  <c r="X457" i="48" s="1"/>
  <c r="AA457" i="48" s="1"/>
  <c r="W456" i="48"/>
  <c r="V456" i="48"/>
  <c r="T456" i="48"/>
  <c r="S456" i="48"/>
  <c r="R456" i="48"/>
  <c r="Q456" i="48"/>
  <c r="L456" i="48"/>
  <c r="M456" i="48" s="1"/>
  <c r="N456" i="48" s="1"/>
  <c r="O456" i="48" s="1"/>
  <c r="P456" i="48" s="1"/>
  <c r="K456" i="48"/>
  <c r="J456" i="48"/>
  <c r="H456" i="48"/>
  <c r="I456" i="48" s="1"/>
  <c r="W455" i="48"/>
  <c r="V455" i="48"/>
  <c r="T455" i="48"/>
  <c r="S455" i="48"/>
  <c r="R455" i="48"/>
  <c r="Q455" i="48"/>
  <c r="L455" i="48"/>
  <c r="M455" i="48" s="1"/>
  <c r="N455" i="48" s="1"/>
  <c r="O455" i="48" s="1"/>
  <c r="P455" i="48" s="1"/>
  <c r="K455" i="48"/>
  <c r="J455" i="48"/>
  <c r="H455" i="48"/>
  <c r="X455" i="48" s="1"/>
  <c r="AA455" i="48" s="1"/>
  <c r="W454" i="48"/>
  <c r="V454" i="48"/>
  <c r="T454" i="48"/>
  <c r="S454" i="48"/>
  <c r="R454" i="48"/>
  <c r="Q454" i="48"/>
  <c r="L454" i="48"/>
  <c r="M454" i="48" s="1"/>
  <c r="N454" i="48" s="1"/>
  <c r="O454" i="48" s="1"/>
  <c r="P454" i="48" s="1"/>
  <c r="K454" i="48"/>
  <c r="J454" i="48"/>
  <c r="H454" i="48"/>
  <c r="X454" i="48" s="1"/>
  <c r="AA454" i="48" s="1"/>
  <c r="W453" i="48"/>
  <c r="V453" i="48"/>
  <c r="T453" i="48"/>
  <c r="S453" i="48"/>
  <c r="R453" i="48"/>
  <c r="Q453" i="48"/>
  <c r="L453" i="48"/>
  <c r="M453" i="48" s="1"/>
  <c r="N453" i="48" s="1"/>
  <c r="O453" i="48" s="1"/>
  <c r="P453" i="48" s="1"/>
  <c r="K453" i="48"/>
  <c r="J453" i="48"/>
  <c r="H453" i="48"/>
  <c r="X453" i="48" s="1"/>
  <c r="AA453" i="48" s="1"/>
  <c r="W452" i="48"/>
  <c r="V452" i="48"/>
  <c r="T452" i="48"/>
  <c r="S452" i="48"/>
  <c r="R452" i="48"/>
  <c r="Q452" i="48"/>
  <c r="L452" i="48"/>
  <c r="M452" i="48" s="1"/>
  <c r="N452" i="48" s="1"/>
  <c r="O452" i="48" s="1"/>
  <c r="P452" i="48" s="1"/>
  <c r="K452" i="48"/>
  <c r="J452" i="48"/>
  <c r="H452" i="48"/>
  <c r="I452" i="48" s="1"/>
  <c r="W451" i="48"/>
  <c r="V451" i="48"/>
  <c r="T451" i="48"/>
  <c r="S451" i="48"/>
  <c r="R451" i="48"/>
  <c r="Q451" i="48"/>
  <c r="L451" i="48"/>
  <c r="M451" i="48" s="1"/>
  <c r="N451" i="48" s="1"/>
  <c r="O451" i="48" s="1"/>
  <c r="P451" i="48" s="1"/>
  <c r="K451" i="48"/>
  <c r="J451" i="48"/>
  <c r="H451" i="48"/>
  <c r="I451" i="48" s="1"/>
  <c r="W450" i="48"/>
  <c r="V450" i="48"/>
  <c r="T450" i="48"/>
  <c r="S450" i="48"/>
  <c r="R450" i="48"/>
  <c r="Q450" i="48"/>
  <c r="L450" i="48"/>
  <c r="M450" i="48" s="1"/>
  <c r="N450" i="48" s="1"/>
  <c r="O450" i="48" s="1"/>
  <c r="P450" i="48" s="1"/>
  <c r="K450" i="48"/>
  <c r="J450" i="48"/>
  <c r="H450" i="48"/>
  <c r="W449" i="48"/>
  <c r="V449" i="48"/>
  <c r="T449" i="48"/>
  <c r="S449" i="48"/>
  <c r="R449" i="48"/>
  <c r="Q449" i="48"/>
  <c r="L449" i="48"/>
  <c r="M449" i="48" s="1"/>
  <c r="N449" i="48" s="1"/>
  <c r="O449" i="48" s="1"/>
  <c r="P449" i="48" s="1"/>
  <c r="K449" i="48"/>
  <c r="J449" i="48"/>
  <c r="H449" i="48"/>
  <c r="X449" i="48" s="1"/>
  <c r="AA449" i="48" s="1"/>
  <c r="W448" i="48"/>
  <c r="V448" i="48"/>
  <c r="T448" i="48"/>
  <c r="S448" i="48"/>
  <c r="R448" i="48"/>
  <c r="Q448" i="48"/>
  <c r="L448" i="48"/>
  <c r="M448" i="48" s="1"/>
  <c r="N448" i="48" s="1"/>
  <c r="O448" i="48" s="1"/>
  <c r="P448" i="48" s="1"/>
  <c r="K448" i="48"/>
  <c r="J448" i="48"/>
  <c r="H448" i="48"/>
  <c r="I448" i="48" s="1"/>
  <c r="W447" i="48"/>
  <c r="V447" i="48"/>
  <c r="T447" i="48"/>
  <c r="S447" i="48"/>
  <c r="R447" i="48"/>
  <c r="Q447" i="48"/>
  <c r="L447" i="48"/>
  <c r="M447" i="48" s="1"/>
  <c r="N447" i="48" s="1"/>
  <c r="O447" i="48" s="1"/>
  <c r="P447" i="48" s="1"/>
  <c r="K447" i="48"/>
  <c r="J447" i="48"/>
  <c r="H447" i="48"/>
  <c r="X447" i="48" s="1"/>
  <c r="AA447" i="48" s="1"/>
  <c r="W446" i="48"/>
  <c r="V446" i="48"/>
  <c r="T446" i="48"/>
  <c r="S446" i="48"/>
  <c r="R446" i="48"/>
  <c r="Q446" i="48"/>
  <c r="L446" i="48"/>
  <c r="M446" i="48" s="1"/>
  <c r="N446" i="48" s="1"/>
  <c r="O446" i="48" s="1"/>
  <c r="P446" i="48" s="1"/>
  <c r="K446" i="48"/>
  <c r="J446" i="48"/>
  <c r="H446" i="48"/>
  <c r="W445" i="48"/>
  <c r="V445" i="48"/>
  <c r="T445" i="48"/>
  <c r="S445" i="48"/>
  <c r="R445" i="48"/>
  <c r="Q445" i="48"/>
  <c r="L445" i="48"/>
  <c r="M445" i="48" s="1"/>
  <c r="N445" i="48" s="1"/>
  <c r="O445" i="48" s="1"/>
  <c r="P445" i="48" s="1"/>
  <c r="K445" i="48"/>
  <c r="J445" i="48"/>
  <c r="H445" i="48"/>
  <c r="X445" i="48" s="1"/>
  <c r="AA445" i="48" s="1"/>
  <c r="W444" i="48"/>
  <c r="V444" i="48"/>
  <c r="T444" i="48"/>
  <c r="S444" i="48"/>
  <c r="R444" i="48"/>
  <c r="Q444" i="48"/>
  <c r="L444" i="48"/>
  <c r="M444" i="48" s="1"/>
  <c r="N444" i="48" s="1"/>
  <c r="O444" i="48" s="1"/>
  <c r="P444" i="48" s="1"/>
  <c r="K444" i="48"/>
  <c r="J444" i="48"/>
  <c r="H444" i="48"/>
  <c r="I444" i="48" s="1"/>
  <c r="W443" i="48"/>
  <c r="V443" i="48"/>
  <c r="T443" i="48"/>
  <c r="S443" i="48"/>
  <c r="R443" i="48"/>
  <c r="Q443" i="48"/>
  <c r="L443" i="48"/>
  <c r="M443" i="48" s="1"/>
  <c r="N443" i="48" s="1"/>
  <c r="O443" i="48" s="1"/>
  <c r="P443" i="48" s="1"/>
  <c r="K443" i="48"/>
  <c r="J443" i="48"/>
  <c r="H443" i="48"/>
  <c r="X443" i="48" s="1"/>
  <c r="AA443" i="48" s="1"/>
  <c r="W442" i="48"/>
  <c r="V442" i="48"/>
  <c r="T442" i="48"/>
  <c r="S442" i="48"/>
  <c r="R442" i="48"/>
  <c r="Q442" i="48"/>
  <c r="L442" i="48"/>
  <c r="M442" i="48" s="1"/>
  <c r="N442" i="48" s="1"/>
  <c r="O442" i="48" s="1"/>
  <c r="P442" i="48" s="1"/>
  <c r="K442" i="48"/>
  <c r="J442" i="48"/>
  <c r="H442" i="48"/>
  <c r="X442" i="48" s="1"/>
  <c r="AA442" i="48" s="1"/>
  <c r="W441" i="48"/>
  <c r="V441" i="48"/>
  <c r="T441" i="48"/>
  <c r="S441" i="48"/>
  <c r="R441" i="48"/>
  <c r="Q441" i="48"/>
  <c r="L441" i="48"/>
  <c r="M441" i="48" s="1"/>
  <c r="N441" i="48" s="1"/>
  <c r="O441" i="48" s="1"/>
  <c r="P441" i="48" s="1"/>
  <c r="K441" i="48"/>
  <c r="J441" i="48"/>
  <c r="H441" i="48"/>
  <c r="W440" i="48"/>
  <c r="V440" i="48"/>
  <c r="T440" i="48"/>
  <c r="S440" i="48"/>
  <c r="R440" i="48"/>
  <c r="Q440" i="48"/>
  <c r="L440" i="48"/>
  <c r="M440" i="48" s="1"/>
  <c r="N440" i="48" s="1"/>
  <c r="O440" i="48" s="1"/>
  <c r="P440" i="48" s="1"/>
  <c r="K440" i="48"/>
  <c r="J440" i="48"/>
  <c r="H440" i="48"/>
  <c r="I440" i="48" s="1"/>
  <c r="W439" i="48"/>
  <c r="V439" i="48"/>
  <c r="T439" i="48"/>
  <c r="S439" i="48"/>
  <c r="R439" i="48"/>
  <c r="Q439" i="48"/>
  <c r="L439" i="48"/>
  <c r="M439" i="48" s="1"/>
  <c r="N439" i="48" s="1"/>
  <c r="O439" i="48" s="1"/>
  <c r="P439" i="48" s="1"/>
  <c r="K439" i="48"/>
  <c r="J439" i="48"/>
  <c r="H439" i="48"/>
  <c r="X439" i="48" s="1"/>
  <c r="AA439" i="48" s="1"/>
  <c r="W438" i="48"/>
  <c r="V438" i="48"/>
  <c r="T438" i="48"/>
  <c r="S438" i="48"/>
  <c r="R438" i="48"/>
  <c r="Q438" i="48"/>
  <c r="L438" i="48"/>
  <c r="M438" i="48" s="1"/>
  <c r="N438" i="48" s="1"/>
  <c r="O438" i="48" s="1"/>
  <c r="P438" i="48" s="1"/>
  <c r="K438" i="48"/>
  <c r="J438" i="48"/>
  <c r="H438" i="48"/>
  <c r="X438" i="48" s="1"/>
  <c r="AA438" i="48" s="1"/>
  <c r="W437" i="48"/>
  <c r="V437" i="48"/>
  <c r="T437" i="48"/>
  <c r="S437" i="48"/>
  <c r="R437" i="48"/>
  <c r="Q437" i="48"/>
  <c r="L437" i="48"/>
  <c r="M437" i="48" s="1"/>
  <c r="N437" i="48" s="1"/>
  <c r="O437" i="48" s="1"/>
  <c r="P437" i="48" s="1"/>
  <c r="K437" i="48"/>
  <c r="J437" i="48"/>
  <c r="H437" i="48"/>
  <c r="X437" i="48" s="1"/>
  <c r="AA437" i="48" s="1"/>
  <c r="W436" i="48"/>
  <c r="V436" i="48"/>
  <c r="T436" i="48"/>
  <c r="S436" i="48"/>
  <c r="R436" i="48"/>
  <c r="Q436" i="48"/>
  <c r="L436" i="48"/>
  <c r="M436" i="48" s="1"/>
  <c r="N436" i="48" s="1"/>
  <c r="O436" i="48" s="1"/>
  <c r="P436" i="48" s="1"/>
  <c r="K436" i="48"/>
  <c r="J436" i="48"/>
  <c r="H436" i="48"/>
  <c r="I436" i="48" s="1"/>
  <c r="W435" i="48"/>
  <c r="V435" i="48"/>
  <c r="T435" i="48"/>
  <c r="S435" i="48"/>
  <c r="R435" i="48"/>
  <c r="Q435" i="48"/>
  <c r="L435" i="48"/>
  <c r="M435" i="48" s="1"/>
  <c r="N435" i="48" s="1"/>
  <c r="O435" i="48" s="1"/>
  <c r="P435" i="48" s="1"/>
  <c r="K435" i="48"/>
  <c r="J435" i="48"/>
  <c r="H435" i="48"/>
  <c r="I435" i="48" s="1"/>
  <c r="W434" i="48"/>
  <c r="V434" i="48"/>
  <c r="T434" i="48"/>
  <c r="S434" i="48"/>
  <c r="R434" i="48"/>
  <c r="Q434" i="48"/>
  <c r="L434" i="48"/>
  <c r="M434" i="48" s="1"/>
  <c r="N434" i="48" s="1"/>
  <c r="O434" i="48" s="1"/>
  <c r="P434" i="48" s="1"/>
  <c r="K434" i="48"/>
  <c r="J434" i="48"/>
  <c r="H434" i="48"/>
  <c r="X434" i="48" s="1"/>
  <c r="AA434" i="48" s="1"/>
  <c r="W433" i="48"/>
  <c r="V433" i="48"/>
  <c r="T433" i="48"/>
  <c r="S433" i="48"/>
  <c r="R433" i="48"/>
  <c r="Q433" i="48"/>
  <c r="L433" i="48"/>
  <c r="M433" i="48" s="1"/>
  <c r="N433" i="48" s="1"/>
  <c r="O433" i="48" s="1"/>
  <c r="P433" i="48" s="1"/>
  <c r="K433" i="48"/>
  <c r="J433" i="48"/>
  <c r="H433" i="48"/>
  <c r="X433" i="48" s="1"/>
  <c r="AA433" i="48" s="1"/>
  <c r="W432" i="48"/>
  <c r="V432" i="48"/>
  <c r="T432" i="48"/>
  <c r="S432" i="48"/>
  <c r="R432" i="48"/>
  <c r="Q432" i="48"/>
  <c r="L432" i="48"/>
  <c r="M432" i="48" s="1"/>
  <c r="N432" i="48" s="1"/>
  <c r="O432" i="48" s="1"/>
  <c r="P432" i="48" s="1"/>
  <c r="K432" i="48"/>
  <c r="J432" i="48"/>
  <c r="H432" i="48"/>
  <c r="I432" i="48" s="1"/>
  <c r="W431" i="48"/>
  <c r="V431" i="48"/>
  <c r="T431" i="48"/>
  <c r="S431" i="48"/>
  <c r="R431" i="48"/>
  <c r="Q431" i="48"/>
  <c r="L431" i="48"/>
  <c r="M431" i="48" s="1"/>
  <c r="N431" i="48" s="1"/>
  <c r="O431" i="48" s="1"/>
  <c r="P431" i="48" s="1"/>
  <c r="K431" i="48"/>
  <c r="J431" i="48"/>
  <c r="H431" i="48"/>
  <c r="X431" i="48" s="1"/>
  <c r="AA431" i="48" s="1"/>
  <c r="W430" i="48"/>
  <c r="V430" i="48"/>
  <c r="T430" i="48"/>
  <c r="S430" i="48"/>
  <c r="R430" i="48"/>
  <c r="Q430" i="48"/>
  <c r="L430" i="48"/>
  <c r="M430" i="48" s="1"/>
  <c r="N430" i="48" s="1"/>
  <c r="O430" i="48" s="1"/>
  <c r="P430" i="48" s="1"/>
  <c r="K430" i="48"/>
  <c r="J430" i="48"/>
  <c r="H430" i="48"/>
  <c r="X430" i="48" s="1"/>
  <c r="AA430" i="48" s="1"/>
  <c r="W429" i="48"/>
  <c r="V429" i="48"/>
  <c r="T429" i="48"/>
  <c r="S429" i="48"/>
  <c r="R429" i="48"/>
  <c r="Q429" i="48"/>
  <c r="L429" i="48"/>
  <c r="M429" i="48" s="1"/>
  <c r="N429" i="48" s="1"/>
  <c r="O429" i="48" s="1"/>
  <c r="P429" i="48" s="1"/>
  <c r="K429" i="48"/>
  <c r="J429" i="48"/>
  <c r="H429" i="48"/>
  <c r="X429" i="48" s="1"/>
  <c r="AA429" i="48" s="1"/>
  <c r="W428" i="48"/>
  <c r="V428" i="48"/>
  <c r="T428" i="48"/>
  <c r="S428" i="48"/>
  <c r="R428" i="48"/>
  <c r="Q428" i="48"/>
  <c r="L428" i="48"/>
  <c r="M428" i="48" s="1"/>
  <c r="N428" i="48" s="1"/>
  <c r="O428" i="48" s="1"/>
  <c r="P428" i="48" s="1"/>
  <c r="K428" i="48"/>
  <c r="J428" i="48"/>
  <c r="H428" i="48"/>
  <c r="I428" i="48" s="1"/>
  <c r="W427" i="48"/>
  <c r="V427" i="48"/>
  <c r="T427" i="48"/>
  <c r="S427" i="48"/>
  <c r="R427" i="48"/>
  <c r="Q427" i="48"/>
  <c r="L427" i="48"/>
  <c r="M427" i="48" s="1"/>
  <c r="N427" i="48" s="1"/>
  <c r="O427" i="48" s="1"/>
  <c r="P427" i="48" s="1"/>
  <c r="K427" i="48"/>
  <c r="J427" i="48"/>
  <c r="H427" i="48"/>
  <c r="X427" i="48" s="1"/>
  <c r="AA427" i="48" s="1"/>
  <c r="W426" i="48"/>
  <c r="V426" i="48"/>
  <c r="T426" i="48"/>
  <c r="S426" i="48"/>
  <c r="R426" i="48"/>
  <c r="Q426" i="48"/>
  <c r="L426" i="48"/>
  <c r="M426" i="48" s="1"/>
  <c r="N426" i="48" s="1"/>
  <c r="O426" i="48" s="1"/>
  <c r="P426" i="48" s="1"/>
  <c r="K426" i="48"/>
  <c r="J426" i="48"/>
  <c r="H426" i="48"/>
  <c r="X426" i="48" s="1"/>
  <c r="AA426" i="48" s="1"/>
  <c r="W425" i="48"/>
  <c r="V425" i="48"/>
  <c r="T425" i="48"/>
  <c r="S425" i="48"/>
  <c r="R425" i="48"/>
  <c r="Q425" i="48"/>
  <c r="L425" i="48"/>
  <c r="M425" i="48" s="1"/>
  <c r="N425" i="48" s="1"/>
  <c r="O425" i="48" s="1"/>
  <c r="P425" i="48" s="1"/>
  <c r="K425" i="48"/>
  <c r="J425" i="48"/>
  <c r="H425" i="48"/>
  <c r="X425" i="48" s="1"/>
  <c r="AA425" i="48" s="1"/>
  <c r="W424" i="48"/>
  <c r="V424" i="48"/>
  <c r="T424" i="48"/>
  <c r="S424" i="48"/>
  <c r="R424" i="48"/>
  <c r="Q424" i="48"/>
  <c r="L424" i="48"/>
  <c r="M424" i="48" s="1"/>
  <c r="N424" i="48" s="1"/>
  <c r="O424" i="48" s="1"/>
  <c r="P424" i="48" s="1"/>
  <c r="K424" i="48"/>
  <c r="J424" i="48"/>
  <c r="H424" i="48"/>
  <c r="I424" i="48" s="1"/>
  <c r="W423" i="48"/>
  <c r="V423" i="48"/>
  <c r="T423" i="48"/>
  <c r="S423" i="48"/>
  <c r="R423" i="48"/>
  <c r="Q423" i="48"/>
  <c r="L423" i="48"/>
  <c r="M423" i="48" s="1"/>
  <c r="N423" i="48" s="1"/>
  <c r="O423" i="48" s="1"/>
  <c r="P423" i="48" s="1"/>
  <c r="K423" i="48"/>
  <c r="J423" i="48"/>
  <c r="H423" i="48"/>
  <c r="X423" i="48" s="1"/>
  <c r="AA423" i="48" s="1"/>
  <c r="W422" i="48"/>
  <c r="V422" i="48"/>
  <c r="T422" i="48"/>
  <c r="S422" i="48"/>
  <c r="R422" i="48"/>
  <c r="Q422" i="48"/>
  <c r="L422" i="48"/>
  <c r="M422" i="48" s="1"/>
  <c r="N422" i="48" s="1"/>
  <c r="O422" i="48" s="1"/>
  <c r="P422" i="48" s="1"/>
  <c r="K422" i="48"/>
  <c r="J422" i="48"/>
  <c r="H422" i="48"/>
  <c r="X422" i="48" s="1"/>
  <c r="AA422" i="48" s="1"/>
  <c r="W421" i="48"/>
  <c r="V421" i="48"/>
  <c r="T421" i="48"/>
  <c r="S421" i="48"/>
  <c r="R421" i="48"/>
  <c r="Q421" i="48"/>
  <c r="L421" i="48"/>
  <c r="M421" i="48" s="1"/>
  <c r="N421" i="48" s="1"/>
  <c r="O421" i="48" s="1"/>
  <c r="P421" i="48" s="1"/>
  <c r="K421" i="48"/>
  <c r="J421" i="48"/>
  <c r="H421" i="48"/>
  <c r="X421" i="48" s="1"/>
  <c r="AA421" i="48" s="1"/>
  <c r="W420" i="48"/>
  <c r="V420" i="48"/>
  <c r="T420" i="48"/>
  <c r="S420" i="48"/>
  <c r="R420" i="48"/>
  <c r="Q420" i="48"/>
  <c r="L420" i="48"/>
  <c r="M420" i="48" s="1"/>
  <c r="N420" i="48" s="1"/>
  <c r="O420" i="48" s="1"/>
  <c r="P420" i="48" s="1"/>
  <c r="K420" i="48"/>
  <c r="J420" i="48"/>
  <c r="H420" i="48"/>
  <c r="I420" i="48" s="1"/>
  <c r="W419" i="48"/>
  <c r="V419" i="48"/>
  <c r="T419" i="48"/>
  <c r="S419" i="48"/>
  <c r="R419" i="48"/>
  <c r="Q419" i="48"/>
  <c r="L419" i="48"/>
  <c r="M419" i="48" s="1"/>
  <c r="N419" i="48" s="1"/>
  <c r="O419" i="48" s="1"/>
  <c r="P419" i="48" s="1"/>
  <c r="K419" i="48"/>
  <c r="J419" i="48"/>
  <c r="H419" i="48"/>
  <c r="I419" i="48" s="1"/>
  <c r="W418" i="48"/>
  <c r="V418" i="48"/>
  <c r="T418" i="48"/>
  <c r="S418" i="48"/>
  <c r="R418" i="48"/>
  <c r="Q418" i="48"/>
  <c r="L418" i="48"/>
  <c r="M418" i="48" s="1"/>
  <c r="N418" i="48" s="1"/>
  <c r="O418" i="48" s="1"/>
  <c r="P418" i="48" s="1"/>
  <c r="K418" i="48"/>
  <c r="J418" i="48"/>
  <c r="H418" i="48"/>
  <c r="X418" i="48" s="1"/>
  <c r="AA418" i="48" s="1"/>
  <c r="W417" i="48"/>
  <c r="V417" i="48"/>
  <c r="T417" i="48"/>
  <c r="S417" i="48"/>
  <c r="R417" i="48"/>
  <c r="Q417" i="48"/>
  <c r="L417" i="48"/>
  <c r="M417" i="48" s="1"/>
  <c r="N417" i="48" s="1"/>
  <c r="O417" i="48" s="1"/>
  <c r="P417" i="48" s="1"/>
  <c r="K417" i="48"/>
  <c r="J417" i="48"/>
  <c r="H417" i="48"/>
  <c r="X417" i="48" s="1"/>
  <c r="AA417" i="48" s="1"/>
  <c r="W416" i="48"/>
  <c r="V416" i="48"/>
  <c r="T416" i="48"/>
  <c r="S416" i="48"/>
  <c r="R416" i="48"/>
  <c r="Q416" i="48"/>
  <c r="L416" i="48"/>
  <c r="M416" i="48" s="1"/>
  <c r="N416" i="48" s="1"/>
  <c r="O416" i="48" s="1"/>
  <c r="P416" i="48" s="1"/>
  <c r="K416" i="48"/>
  <c r="J416" i="48"/>
  <c r="H416" i="48"/>
  <c r="I416" i="48" s="1"/>
  <c r="W415" i="48"/>
  <c r="V415" i="48"/>
  <c r="T415" i="48"/>
  <c r="S415" i="48"/>
  <c r="R415" i="48"/>
  <c r="Q415" i="48"/>
  <c r="L415" i="48"/>
  <c r="M415" i="48" s="1"/>
  <c r="N415" i="48" s="1"/>
  <c r="O415" i="48" s="1"/>
  <c r="P415" i="48" s="1"/>
  <c r="K415" i="48"/>
  <c r="J415" i="48"/>
  <c r="H415" i="48"/>
  <c r="X415" i="48" s="1"/>
  <c r="AA415" i="48" s="1"/>
  <c r="W414" i="48"/>
  <c r="V414" i="48"/>
  <c r="T414" i="48"/>
  <c r="S414" i="48"/>
  <c r="R414" i="48"/>
  <c r="Q414" i="48"/>
  <c r="L414" i="48"/>
  <c r="M414" i="48" s="1"/>
  <c r="N414" i="48" s="1"/>
  <c r="O414" i="48" s="1"/>
  <c r="P414" i="48" s="1"/>
  <c r="K414" i="48"/>
  <c r="J414" i="48"/>
  <c r="H414" i="48"/>
  <c r="W413" i="48"/>
  <c r="V413" i="48"/>
  <c r="T413" i="48"/>
  <c r="S413" i="48"/>
  <c r="R413" i="48"/>
  <c r="Q413" i="48"/>
  <c r="L413" i="48"/>
  <c r="M413" i="48" s="1"/>
  <c r="N413" i="48" s="1"/>
  <c r="O413" i="48" s="1"/>
  <c r="P413" i="48" s="1"/>
  <c r="K413" i="48"/>
  <c r="J413" i="48"/>
  <c r="H413" i="48"/>
  <c r="X413" i="48" s="1"/>
  <c r="AA413" i="48" s="1"/>
  <c r="W412" i="48"/>
  <c r="V412" i="48"/>
  <c r="T412" i="48"/>
  <c r="S412" i="48"/>
  <c r="R412" i="48"/>
  <c r="Q412" i="48"/>
  <c r="L412" i="48"/>
  <c r="M412" i="48" s="1"/>
  <c r="N412" i="48" s="1"/>
  <c r="O412" i="48" s="1"/>
  <c r="P412" i="48" s="1"/>
  <c r="K412" i="48"/>
  <c r="J412" i="48"/>
  <c r="H412" i="48"/>
  <c r="I412" i="48" s="1"/>
  <c r="W411" i="48"/>
  <c r="V411" i="48"/>
  <c r="T411" i="48"/>
  <c r="S411" i="48"/>
  <c r="R411" i="48"/>
  <c r="Q411" i="48"/>
  <c r="L411" i="48"/>
  <c r="M411" i="48" s="1"/>
  <c r="N411" i="48" s="1"/>
  <c r="O411" i="48" s="1"/>
  <c r="P411" i="48" s="1"/>
  <c r="K411" i="48"/>
  <c r="J411" i="48"/>
  <c r="H411" i="48"/>
  <c r="X411" i="48" s="1"/>
  <c r="AA411" i="48" s="1"/>
  <c r="W410" i="48"/>
  <c r="V410" i="48"/>
  <c r="T410" i="48"/>
  <c r="S410" i="48"/>
  <c r="R410" i="48"/>
  <c r="Q410" i="48"/>
  <c r="L410" i="48"/>
  <c r="M410" i="48" s="1"/>
  <c r="N410" i="48" s="1"/>
  <c r="O410" i="48" s="1"/>
  <c r="P410" i="48" s="1"/>
  <c r="K410" i="48"/>
  <c r="J410" i="48"/>
  <c r="H410" i="48"/>
  <c r="X410" i="48" s="1"/>
  <c r="AA410" i="48" s="1"/>
  <c r="W409" i="48"/>
  <c r="V409" i="48"/>
  <c r="T409" i="48"/>
  <c r="S409" i="48"/>
  <c r="R409" i="48"/>
  <c r="Q409" i="48"/>
  <c r="L409" i="48"/>
  <c r="M409" i="48" s="1"/>
  <c r="N409" i="48" s="1"/>
  <c r="O409" i="48" s="1"/>
  <c r="P409" i="48" s="1"/>
  <c r="K409" i="48"/>
  <c r="J409" i="48"/>
  <c r="H409" i="48"/>
  <c r="X409" i="48" s="1"/>
  <c r="AA409" i="48" s="1"/>
  <c r="W408" i="48"/>
  <c r="V408" i="48"/>
  <c r="T408" i="48"/>
  <c r="S408" i="48"/>
  <c r="R408" i="48"/>
  <c r="Q408" i="48"/>
  <c r="L408" i="48"/>
  <c r="M408" i="48" s="1"/>
  <c r="N408" i="48" s="1"/>
  <c r="O408" i="48" s="1"/>
  <c r="P408" i="48" s="1"/>
  <c r="K408" i="48"/>
  <c r="J408" i="48"/>
  <c r="H408" i="48"/>
  <c r="I408" i="48" s="1"/>
  <c r="W407" i="48"/>
  <c r="V407" i="48"/>
  <c r="T407" i="48"/>
  <c r="S407" i="48"/>
  <c r="R407" i="48"/>
  <c r="Q407" i="48"/>
  <c r="L407" i="48"/>
  <c r="M407" i="48" s="1"/>
  <c r="N407" i="48" s="1"/>
  <c r="O407" i="48" s="1"/>
  <c r="P407" i="48" s="1"/>
  <c r="K407" i="48"/>
  <c r="J407" i="48"/>
  <c r="H407" i="48"/>
  <c r="X407" i="48" s="1"/>
  <c r="AA407" i="48" s="1"/>
  <c r="W406" i="48"/>
  <c r="V406" i="48"/>
  <c r="T406" i="48"/>
  <c r="S406" i="48"/>
  <c r="R406" i="48"/>
  <c r="Q406" i="48"/>
  <c r="L406" i="48"/>
  <c r="M406" i="48" s="1"/>
  <c r="N406" i="48" s="1"/>
  <c r="O406" i="48" s="1"/>
  <c r="P406" i="48" s="1"/>
  <c r="K406" i="48"/>
  <c r="J406" i="48"/>
  <c r="H406" i="48"/>
  <c r="X406" i="48" s="1"/>
  <c r="AA406" i="48" s="1"/>
  <c r="W405" i="48"/>
  <c r="V405" i="48"/>
  <c r="T405" i="48"/>
  <c r="S405" i="48"/>
  <c r="R405" i="48"/>
  <c r="Q405" i="48"/>
  <c r="L405" i="48"/>
  <c r="M405" i="48" s="1"/>
  <c r="N405" i="48" s="1"/>
  <c r="O405" i="48" s="1"/>
  <c r="P405" i="48" s="1"/>
  <c r="K405" i="48"/>
  <c r="J405" i="48"/>
  <c r="H405" i="48"/>
  <c r="X405" i="48" s="1"/>
  <c r="AA405" i="48" s="1"/>
  <c r="W404" i="48"/>
  <c r="V404" i="48"/>
  <c r="T404" i="48"/>
  <c r="S404" i="48"/>
  <c r="R404" i="48"/>
  <c r="Q404" i="48"/>
  <c r="L404" i="48"/>
  <c r="M404" i="48" s="1"/>
  <c r="N404" i="48" s="1"/>
  <c r="O404" i="48" s="1"/>
  <c r="P404" i="48" s="1"/>
  <c r="K404" i="48"/>
  <c r="J404" i="48"/>
  <c r="H404" i="48"/>
  <c r="I404" i="48" s="1"/>
  <c r="W403" i="48"/>
  <c r="V403" i="48"/>
  <c r="T403" i="48"/>
  <c r="S403" i="48"/>
  <c r="R403" i="48"/>
  <c r="Q403" i="48"/>
  <c r="L403" i="48"/>
  <c r="M403" i="48" s="1"/>
  <c r="N403" i="48" s="1"/>
  <c r="O403" i="48" s="1"/>
  <c r="P403" i="48" s="1"/>
  <c r="K403" i="48"/>
  <c r="J403" i="48"/>
  <c r="H403" i="48"/>
  <c r="I403" i="48" s="1"/>
  <c r="W402" i="48"/>
  <c r="V402" i="48"/>
  <c r="T402" i="48"/>
  <c r="S402" i="48"/>
  <c r="R402" i="48"/>
  <c r="Q402" i="48"/>
  <c r="L402" i="48"/>
  <c r="M402" i="48" s="1"/>
  <c r="N402" i="48" s="1"/>
  <c r="O402" i="48" s="1"/>
  <c r="P402" i="48" s="1"/>
  <c r="K402" i="48"/>
  <c r="J402" i="48"/>
  <c r="H402" i="48"/>
  <c r="X402" i="48" s="1"/>
  <c r="AA402" i="48" s="1"/>
  <c r="W401" i="48"/>
  <c r="V401" i="48"/>
  <c r="T401" i="48"/>
  <c r="S401" i="48"/>
  <c r="R401" i="48"/>
  <c r="Q401" i="48"/>
  <c r="L401" i="48"/>
  <c r="M401" i="48" s="1"/>
  <c r="N401" i="48" s="1"/>
  <c r="O401" i="48" s="1"/>
  <c r="P401" i="48" s="1"/>
  <c r="K401" i="48"/>
  <c r="J401" i="48"/>
  <c r="H401" i="48"/>
  <c r="X401" i="48" s="1"/>
  <c r="AA401" i="48" s="1"/>
  <c r="W400" i="48"/>
  <c r="V400" i="48"/>
  <c r="T400" i="48"/>
  <c r="S400" i="48"/>
  <c r="R400" i="48"/>
  <c r="Q400" i="48"/>
  <c r="L400" i="48"/>
  <c r="M400" i="48" s="1"/>
  <c r="N400" i="48" s="1"/>
  <c r="O400" i="48" s="1"/>
  <c r="P400" i="48" s="1"/>
  <c r="K400" i="48"/>
  <c r="J400" i="48"/>
  <c r="H400" i="48"/>
  <c r="I400" i="48" s="1"/>
  <c r="W399" i="48"/>
  <c r="V399" i="48"/>
  <c r="T399" i="48"/>
  <c r="S399" i="48"/>
  <c r="R399" i="48"/>
  <c r="Q399" i="48"/>
  <c r="L399" i="48"/>
  <c r="M399" i="48" s="1"/>
  <c r="N399" i="48" s="1"/>
  <c r="O399" i="48" s="1"/>
  <c r="P399" i="48" s="1"/>
  <c r="K399" i="48"/>
  <c r="J399" i="48"/>
  <c r="H399" i="48"/>
  <c r="W398" i="48"/>
  <c r="V398" i="48"/>
  <c r="T398" i="48"/>
  <c r="S398" i="48"/>
  <c r="R398" i="48"/>
  <c r="Q398" i="48"/>
  <c r="L398" i="48"/>
  <c r="M398" i="48" s="1"/>
  <c r="N398" i="48" s="1"/>
  <c r="O398" i="48" s="1"/>
  <c r="P398" i="48" s="1"/>
  <c r="K398" i="48"/>
  <c r="J398" i="48"/>
  <c r="H398" i="48"/>
  <c r="X398" i="48" s="1"/>
  <c r="AA398" i="48" s="1"/>
  <c r="W397" i="48"/>
  <c r="V397" i="48"/>
  <c r="T397" i="48"/>
  <c r="S397" i="48"/>
  <c r="R397" i="48"/>
  <c r="Q397" i="48"/>
  <c r="L397" i="48"/>
  <c r="M397" i="48" s="1"/>
  <c r="N397" i="48" s="1"/>
  <c r="O397" i="48" s="1"/>
  <c r="P397" i="48" s="1"/>
  <c r="K397" i="48"/>
  <c r="J397" i="48"/>
  <c r="H397" i="48"/>
  <c r="W396" i="48"/>
  <c r="V396" i="48"/>
  <c r="T396" i="48"/>
  <c r="S396" i="48"/>
  <c r="R396" i="48"/>
  <c r="Q396" i="48"/>
  <c r="L396" i="48"/>
  <c r="M396" i="48" s="1"/>
  <c r="N396" i="48" s="1"/>
  <c r="O396" i="48" s="1"/>
  <c r="P396" i="48" s="1"/>
  <c r="K396" i="48"/>
  <c r="J396" i="48"/>
  <c r="H396" i="48"/>
  <c r="I396" i="48" s="1"/>
  <c r="W395" i="48"/>
  <c r="V395" i="48"/>
  <c r="T395" i="48"/>
  <c r="S395" i="48"/>
  <c r="R395" i="48"/>
  <c r="Q395" i="48"/>
  <c r="L395" i="48"/>
  <c r="M395" i="48" s="1"/>
  <c r="N395" i="48" s="1"/>
  <c r="O395" i="48" s="1"/>
  <c r="P395" i="48" s="1"/>
  <c r="K395" i="48"/>
  <c r="J395" i="48"/>
  <c r="H395" i="48"/>
  <c r="X395" i="48" s="1"/>
  <c r="AA395" i="48" s="1"/>
  <c r="W394" i="48"/>
  <c r="V394" i="48"/>
  <c r="T394" i="48"/>
  <c r="S394" i="48"/>
  <c r="R394" i="48"/>
  <c r="Q394" i="48"/>
  <c r="L394" i="48"/>
  <c r="M394" i="48" s="1"/>
  <c r="N394" i="48" s="1"/>
  <c r="O394" i="48" s="1"/>
  <c r="P394" i="48" s="1"/>
  <c r="K394" i="48"/>
  <c r="J394" i="48"/>
  <c r="H394" i="48"/>
  <c r="X394" i="48" s="1"/>
  <c r="AA394" i="48" s="1"/>
  <c r="W393" i="48"/>
  <c r="V393" i="48"/>
  <c r="T393" i="48"/>
  <c r="S393" i="48"/>
  <c r="R393" i="48"/>
  <c r="Q393" i="48"/>
  <c r="L393" i="48"/>
  <c r="M393" i="48" s="1"/>
  <c r="N393" i="48" s="1"/>
  <c r="O393" i="48" s="1"/>
  <c r="P393" i="48" s="1"/>
  <c r="K393" i="48"/>
  <c r="J393" i="48"/>
  <c r="H393" i="48"/>
  <c r="W392" i="48"/>
  <c r="V392" i="48"/>
  <c r="T392" i="48"/>
  <c r="S392" i="48"/>
  <c r="R392" i="48"/>
  <c r="Q392" i="48"/>
  <c r="L392" i="48"/>
  <c r="M392" i="48" s="1"/>
  <c r="N392" i="48" s="1"/>
  <c r="O392" i="48" s="1"/>
  <c r="P392" i="48" s="1"/>
  <c r="K392" i="48"/>
  <c r="J392" i="48"/>
  <c r="H392" i="48"/>
  <c r="I392" i="48" s="1"/>
  <c r="W391" i="48"/>
  <c r="V391" i="48"/>
  <c r="T391" i="48"/>
  <c r="S391" i="48"/>
  <c r="R391" i="48"/>
  <c r="Q391" i="48"/>
  <c r="L391" i="48"/>
  <c r="M391" i="48" s="1"/>
  <c r="N391" i="48" s="1"/>
  <c r="O391" i="48" s="1"/>
  <c r="P391" i="48" s="1"/>
  <c r="K391" i="48"/>
  <c r="J391" i="48"/>
  <c r="H391" i="48"/>
  <c r="X391" i="48" s="1"/>
  <c r="AA391" i="48" s="1"/>
  <c r="W390" i="48"/>
  <c r="V390" i="48"/>
  <c r="T390" i="48"/>
  <c r="S390" i="48"/>
  <c r="R390" i="48"/>
  <c r="Q390" i="48"/>
  <c r="L390" i="48"/>
  <c r="M390" i="48" s="1"/>
  <c r="N390" i="48" s="1"/>
  <c r="O390" i="48" s="1"/>
  <c r="P390" i="48" s="1"/>
  <c r="K390" i="48"/>
  <c r="J390" i="48"/>
  <c r="H390" i="48"/>
  <c r="X390" i="48" s="1"/>
  <c r="AA390" i="48" s="1"/>
  <c r="W389" i="48"/>
  <c r="V389" i="48"/>
  <c r="T389" i="48"/>
  <c r="S389" i="48"/>
  <c r="R389" i="48"/>
  <c r="Q389" i="48"/>
  <c r="L389" i="48"/>
  <c r="M389" i="48" s="1"/>
  <c r="N389" i="48" s="1"/>
  <c r="O389" i="48" s="1"/>
  <c r="P389" i="48" s="1"/>
  <c r="K389" i="48"/>
  <c r="J389" i="48"/>
  <c r="H389" i="48"/>
  <c r="X389" i="48" s="1"/>
  <c r="AA389" i="48" s="1"/>
  <c r="W388" i="48"/>
  <c r="V388" i="48"/>
  <c r="T388" i="48"/>
  <c r="S388" i="48"/>
  <c r="R388" i="48"/>
  <c r="Q388" i="48"/>
  <c r="L388" i="48"/>
  <c r="M388" i="48" s="1"/>
  <c r="N388" i="48" s="1"/>
  <c r="O388" i="48" s="1"/>
  <c r="P388" i="48" s="1"/>
  <c r="K388" i="48"/>
  <c r="J388" i="48"/>
  <c r="H388" i="48"/>
  <c r="I388" i="48" s="1"/>
  <c r="W387" i="48"/>
  <c r="V387" i="48"/>
  <c r="T387" i="48"/>
  <c r="S387" i="48"/>
  <c r="R387" i="48"/>
  <c r="Q387" i="48"/>
  <c r="L387" i="48"/>
  <c r="M387" i="48" s="1"/>
  <c r="N387" i="48" s="1"/>
  <c r="O387" i="48" s="1"/>
  <c r="P387" i="48" s="1"/>
  <c r="K387" i="48"/>
  <c r="J387" i="48"/>
  <c r="H387" i="48"/>
  <c r="I387" i="48" s="1"/>
  <c r="W386" i="48"/>
  <c r="V386" i="48"/>
  <c r="T386" i="48"/>
  <c r="S386" i="48"/>
  <c r="R386" i="48"/>
  <c r="Q386" i="48"/>
  <c r="L386" i="48"/>
  <c r="M386" i="48" s="1"/>
  <c r="N386" i="48" s="1"/>
  <c r="O386" i="48" s="1"/>
  <c r="P386" i="48" s="1"/>
  <c r="K386" i="48"/>
  <c r="J386" i="48"/>
  <c r="H386" i="48"/>
  <c r="X386" i="48" s="1"/>
  <c r="AA386" i="48" s="1"/>
  <c r="W385" i="48"/>
  <c r="V385" i="48"/>
  <c r="T385" i="48"/>
  <c r="S385" i="48"/>
  <c r="R385" i="48"/>
  <c r="Q385" i="48"/>
  <c r="L385" i="48"/>
  <c r="M385" i="48" s="1"/>
  <c r="N385" i="48" s="1"/>
  <c r="O385" i="48" s="1"/>
  <c r="P385" i="48" s="1"/>
  <c r="K385" i="48"/>
  <c r="J385" i="48"/>
  <c r="H385" i="48"/>
  <c r="X385" i="48" s="1"/>
  <c r="AA385" i="48" s="1"/>
  <c r="W384" i="48"/>
  <c r="V384" i="48"/>
  <c r="T384" i="48"/>
  <c r="S384" i="48"/>
  <c r="R384" i="48"/>
  <c r="Q384" i="48"/>
  <c r="L384" i="48"/>
  <c r="M384" i="48" s="1"/>
  <c r="N384" i="48" s="1"/>
  <c r="O384" i="48" s="1"/>
  <c r="P384" i="48" s="1"/>
  <c r="K384" i="48"/>
  <c r="J384" i="48"/>
  <c r="H384" i="48"/>
  <c r="I384" i="48" s="1"/>
  <c r="W383" i="48"/>
  <c r="V383" i="48"/>
  <c r="T383" i="48"/>
  <c r="S383" i="48"/>
  <c r="R383" i="48"/>
  <c r="Q383" i="48"/>
  <c r="L383" i="48"/>
  <c r="M383" i="48" s="1"/>
  <c r="N383" i="48" s="1"/>
  <c r="O383" i="48" s="1"/>
  <c r="P383" i="48" s="1"/>
  <c r="K383" i="48"/>
  <c r="J383" i="48"/>
  <c r="H383" i="48"/>
  <c r="W382" i="48"/>
  <c r="V382" i="48"/>
  <c r="T382" i="48"/>
  <c r="S382" i="48"/>
  <c r="R382" i="48"/>
  <c r="Q382" i="48"/>
  <c r="L382" i="48"/>
  <c r="M382" i="48" s="1"/>
  <c r="N382" i="48" s="1"/>
  <c r="O382" i="48" s="1"/>
  <c r="P382" i="48" s="1"/>
  <c r="K382" i="48"/>
  <c r="J382" i="48"/>
  <c r="H382" i="48"/>
  <c r="X382" i="48" s="1"/>
  <c r="AA382" i="48" s="1"/>
  <c r="W381" i="48"/>
  <c r="V381" i="48"/>
  <c r="T381" i="48"/>
  <c r="S381" i="48"/>
  <c r="R381" i="48"/>
  <c r="Q381" i="48"/>
  <c r="L381" i="48"/>
  <c r="M381" i="48" s="1"/>
  <c r="N381" i="48" s="1"/>
  <c r="O381" i="48" s="1"/>
  <c r="P381" i="48" s="1"/>
  <c r="K381" i="48"/>
  <c r="J381" i="48"/>
  <c r="H381" i="48"/>
  <c r="W380" i="48"/>
  <c r="V380" i="48"/>
  <c r="T380" i="48"/>
  <c r="S380" i="48"/>
  <c r="R380" i="48"/>
  <c r="Q380" i="48"/>
  <c r="L380" i="48"/>
  <c r="M380" i="48" s="1"/>
  <c r="N380" i="48" s="1"/>
  <c r="O380" i="48" s="1"/>
  <c r="P380" i="48" s="1"/>
  <c r="K380" i="48"/>
  <c r="J380" i="48"/>
  <c r="H380" i="48"/>
  <c r="I380" i="48" s="1"/>
  <c r="W379" i="48"/>
  <c r="V379" i="48"/>
  <c r="T379" i="48"/>
  <c r="S379" i="48"/>
  <c r="R379" i="48"/>
  <c r="Q379" i="48"/>
  <c r="L379" i="48"/>
  <c r="M379" i="48" s="1"/>
  <c r="N379" i="48" s="1"/>
  <c r="O379" i="48" s="1"/>
  <c r="P379" i="48" s="1"/>
  <c r="K379" i="48"/>
  <c r="J379" i="48"/>
  <c r="H379" i="48"/>
  <c r="X379" i="48" s="1"/>
  <c r="AA379" i="48" s="1"/>
  <c r="W378" i="48"/>
  <c r="V378" i="48"/>
  <c r="T378" i="48"/>
  <c r="S378" i="48"/>
  <c r="R378" i="48"/>
  <c r="Q378" i="48"/>
  <c r="L378" i="48"/>
  <c r="M378" i="48" s="1"/>
  <c r="N378" i="48" s="1"/>
  <c r="O378" i="48" s="1"/>
  <c r="P378" i="48" s="1"/>
  <c r="K378" i="48"/>
  <c r="J378" i="48"/>
  <c r="H378" i="48"/>
  <c r="X378" i="48" s="1"/>
  <c r="AA378" i="48" s="1"/>
  <c r="W377" i="48"/>
  <c r="V377" i="48"/>
  <c r="T377" i="48"/>
  <c r="S377" i="48"/>
  <c r="R377" i="48"/>
  <c r="Q377" i="48"/>
  <c r="L377" i="48"/>
  <c r="M377" i="48" s="1"/>
  <c r="N377" i="48" s="1"/>
  <c r="O377" i="48" s="1"/>
  <c r="P377" i="48" s="1"/>
  <c r="K377" i="48"/>
  <c r="J377" i="48"/>
  <c r="H377" i="48"/>
  <c r="W376" i="48"/>
  <c r="V376" i="48"/>
  <c r="T376" i="48"/>
  <c r="S376" i="48"/>
  <c r="R376" i="48"/>
  <c r="Q376" i="48"/>
  <c r="L376" i="48"/>
  <c r="M376" i="48" s="1"/>
  <c r="N376" i="48" s="1"/>
  <c r="O376" i="48" s="1"/>
  <c r="P376" i="48" s="1"/>
  <c r="K376" i="48"/>
  <c r="J376" i="48"/>
  <c r="H376" i="48"/>
  <c r="I376" i="48" s="1"/>
  <c r="W375" i="48"/>
  <c r="V375" i="48"/>
  <c r="T375" i="48"/>
  <c r="S375" i="48"/>
  <c r="R375" i="48"/>
  <c r="Q375" i="48"/>
  <c r="L375" i="48"/>
  <c r="M375" i="48" s="1"/>
  <c r="N375" i="48" s="1"/>
  <c r="O375" i="48" s="1"/>
  <c r="P375" i="48" s="1"/>
  <c r="K375" i="48"/>
  <c r="J375" i="48"/>
  <c r="H375" i="48"/>
  <c r="X375" i="48" s="1"/>
  <c r="AA375" i="48" s="1"/>
  <c r="W374" i="48"/>
  <c r="V374" i="48"/>
  <c r="T374" i="48"/>
  <c r="S374" i="48"/>
  <c r="R374" i="48"/>
  <c r="Q374" i="48"/>
  <c r="L374" i="48"/>
  <c r="M374" i="48" s="1"/>
  <c r="N374" i="48" s="1"/>
  <c r="O374" i="48" s="1"/>
  <c r="P374" i="48" s="1"/>
  <c r="K374" i="48"/>
  <c r="J374" i="48"/>
  <c r="H374" i="48"/>
  <c r="X374" i="48" s="1"/>
  <c r="AA374" i="48" s="1"/>
  <c r="W373" i="48"/>
  <c r="V373" i="48"/>
  <c r="T373" i="48"/>
  <c r="S373" i="48"/>
  <c r="R373" i="48"/>
  <c r="Q373" i="48"/>
  <c r="L373" i="48"/>
  <c r="M373" i="48" s="1"/>
  <c r="N373" i="48" s="1"/>
  <c r="O373" i="48" s="1"/>
  <c r="P373" i="48" s="1"/>
  <c r="K373" i="48"/>
  <c r="J373" i="48"/>
  <c r="H373" i="48"/>
  <c r="X373" i="48" s="1"/>
  <c r="AA373" i="48" s="1"/>
  <c r="W372" i="48"/>
  <c r="V372" i="48"/>
  <c r="T372" i="48"/>
  <c r="S372" i="48"/>
  <c r="R372" i="48"/>
  <c r="Q372" i="48"/>
  <c r="L372" i="48"/>
  <c r="M372" i="48" s="1"/>
  <c r="N372" i="48" s="1"/>
  <c r="O372" i="48" s="1"/>
  <c r="P372" i="48" s="1"/>
  <c r="K372" i="48"/>
  <c r="J372" i="48"/>
  <c r="H372" i="48"/>
  <c r="I372" i="48" s="1"/>
  <c r="W371" i="48"/>
  <c r="V371" i="48"/>
  <c r="T371" i="48"/>
  <c r="S371" i="48"/>
  <c r="R371" i="48"/>
  <c r="Q371" i="48"/>
  <c r="L371" i="48"/>
  <c r="M371" i="48" s="1"/>
  <c r="N371" i="48" s="1"/>
  <c r="O371" i="48" s="1"/>
  <c r="P371" i="48" s="1"/>
  <c r="K371" i="48"/>
  <c r="J371" i="48"/>
  <c r="H371" i="48"/>
  <c r="I371" i="48" s="1"/>
  <c r="W370" i="48"/>
  <c r="V370" i="48"/>
  <c r="T370" i="48"/>
  <c r="S370" i="48"/>
  <c r="R370" i="48"/>
  <c r="Q370" i="48"/>
  <c r="L370" i="48"/>
  <c r="M370" i="48" s="1"/>
  <c r="N370" i="48" s="1"/>
  <c r="O370" i="48" s="1"/>
  <c r="P370" i="48" s="1"/>
  <c r="K370" i="48"/>
  <c r="J370" i="48"/>
  <c r="H370" i="48"/>
  <c r="X370" i="48" s="1"/>
  <c r="AA370" i="48" s="1"/>
  <c r="W369" i="48"/>
  <c r="V369" i="48"/>
  <c r="T369" i="48"/>
  <c r="S369" i="48"/>
  <c r="R369" i="48"/>
  <c r="Q369" i="48"/>
  <c r="L369" i="48"/>
  <c r="M369" i="48" s="1"/>
  <c r="N369" i="48" s="1"/>
  <c r="O369" i="48" s="1"/>
  <c r="P369" i="48" s="1"/>
  <c r="K369" i="48"/>
  <c r="J369" i="48"/>
  <c r="H369" i="48"/>
  <c r="X369" i="48" s="1"/>
  <c r="AA369" i="48" s="1"/>
  <c r="W368" i="48"/>
  <c r="V368" i="48"/>
  <c r="T368" i="48"/>
  <c r="S368" i="48"/>
  <c r="R368" i="48"/>
  <c r="Q368" i="48"/>
  <c r="L368" i="48"/>
  <c r="M368" i="48" s="1"/>
  <c r="N368" i="48" s="1"/>
  <c r="O368" i="48" s="1"/>
  <c r="P368" i="48" s="1"/>
  <c r="K368" i="48"/>
  <c r="J368" i="48"/>
  <c r="H368" i="48"/>
  <c r="I368" i="48" s="1"/>
  <c r="W367" i="48"/>
  <c r="V367" i="48"/>
  <c r="T367" i="48"/>
  <c r="S367" i="48"/>
  <c r="R367" i="48"/>
  <c r="Q367" i="48"/>
  <c r="L367" i="48"/>
  <c r="M367" i="48" s="1"/>
  <c r="N367" i="48" s="1"/>
  <c r="O367" i="48" s="1"/>
  <c r="P367" i="48" s="1"/>
  <c r="K367" i="48"/>
  <c r="J367" i="48"/>
  <c r="H367" i="48"/>
  <c r="I367" i="48" s="1"/>
  <c r="W366" i="48"/>
  <c r="V366" i="48"/>
  <c r="T366" i="48"/>
  <c r="S366" i="48"/>
  <c r="R366" i="48"/>
  <c r="Q366" i="48"/>
  <c r="L366" i="48"/>
  <c r="M366" i="48" s="1"/>
  <c r="N366" i="48" s="1"/>
  <c r="O366" i="48" s="1"/>
  <c r="P366" i="48" s="1"/>
  <c r="K366" i="48"/>
  <c r="J366" i="48"/>
  <c r="H366" i="48"/>
  <c r="W365" i="48"/>
  <c r="V365" i="48"/>
  <c r="T365" i="48"/>
  <c r="S365" i="48"/>
  <c r="R365" i="48"/>
  <c r="Q365" i="48"/>
  <c r="L365" i="48"/>
  <c r="M365" i="48" s="1"/>
  <c r="N365" i="48" s="1"/>
  <c r="O365" i="48" s="1"/>
  <c r="P365" i="48" s="1"/>
  <c r="K365" i="48"/>
  <c r="J365" i="48"/>
  <c r="H365" i="48"/>
  <c r="X365" i="48" s="1"/>
  <c r="AA365" i="48" s="1"/>
  <c r="W364" i="48"/>
  <c r="V364" i="48"/>
  <c r="T364" i="48"/>
  <c r="S364" i="48"/>
  <c r="R364" i="48"/>
  <c r="Q364" i="48"/>
  <c r="L364" i="48"/>
  <c r="M364" i="48" s="1"/>
  <c r="N364" i="48" s="1"/>
  <c r="O364" i="48" s="1"/>
  <c r="P364" i="48" s="1"/>
  <c r="K364" i="48"/>
  <c r="J364" i="48"/>
  <c r="H364" i="48"/>
  <c r="W363" i="48"/>
  <c r="V363" i="48"/>
  <c r="T363" i="48"/>
  <c r="S363" i="48"/>
  <c r="R363" i="48"/>
  <c r="Q363" i="48"/>
  <c r="L363" i="48"/>
  <c r="M363" i="48" s="1"/>
  <c r="N363" i="48" s="1"/>
  <c r="O363" i="48" s="1"/>
  <c r="P363" i="48" s="1"/>
  <c r="K363" i="48"/>
  <c r="J363" i="48"/>
  <c r="H363" i="48"/>
  <c r="X363" i="48" s="1"/>
  <c r="AA363" i="48" s="1"/>
  <c r="W362" i="48"/>
  <c r="V362" i="48"/>
  <c r="T362" i="48"/>
  <c r="S362" i="48"/>
  <c r="R362" i="48"/>
  <c r="Q362" i="48"/>
  <c r="L362" i="48"/>
  <c r="M362" i="48" s="1"/>
  <c r="N362" i="48" s="1"/>
  <c r="O362" i="48" s="1"/>
  <c r="P362" i="48" s="1"/>
  <c r="K362" i="48"/>
  <c r="J362" i="48"/>
  <c r="H362" i="48"/>
  <c r="X362" i="48" s="1"/>
  <c r="AA362" i="48" s="1"/>
  <c r="W361" i="48"/>
  <c r="V361" i="48"/>
  <c r="T361" i="48"/>
  <c r="S361" i="48"/>
  <c r="R361" i="48"/>
  <c r="Q361" i="48"/>
  <c r="L361" i="48"/>
  <c r="M361" i="48" s="1"/>
  <c r="N361" i="48" s="1"/>
  <c r="O361" i="48" s="1"/>
  <c r="P361" i="48" s="1"/>
  <c r="K361" i="48"/>
  <c r="J361" i="48"/>
  <c r="H361" i="48"/>
  <c r="W360" i="48"/>
  <c r="V360" i="48"/>
  <c r="T360" i="48"/>
  <c r="S360" i="48"/>
  <c r="R360" i="48"/>
  <c r="Q360" i="48"/>
  <c r="L360" i="48"/>
  <c r="M360" i="48" s="1"/>
  <c r="N360" i="48" s="1"/>
  <c r="O360" i="48" s="1"/>
  <c r="P360" i="48" s="1"/>
  <c r="K360" i="48"/>
  <c r="J360" i="48"/>
  <c r="H360" i="48"/>
  <c r="I360" i="48" s="1"/>
  <c r="W359" i="48"/>
  <c r="V359" i="48"/>
  <c r="T359" i="48"/>
  <c r="S359" i="48"/>
  <c r="R359" i="48"/>
  <c r="Q359" i="48"/>
  <c r="L359" i="48"/>
  <c r="M359" i="48" s="1"/>
  <c r="N359" i="48" s="1"/>
  <c r="O359" i="48" s="1"/>
  <c r="P359" i="48" s="1"/>
  <c r="K359" i="48"/>
  <c r="J359" i="48"/>
  <c r="H359" i="48"/>
  <c r="X359" i="48" s="1"/>
  <c r="AA359" i="48" s="1"/>
  <c r="W358" i="48"/>
  <c r="V358" i="48"/>
  <c r="T358" i="48"/>
  <c r="S358" i="48"/>
  <c r="R358" i="48"/>
  <c r="Q358" i="48"/>
  <c r="L358" i="48"/>
  <c r="M358" i="48" s="1"/>
  <c r="N358" i="48" s="1"/>
  <c r="O358" i="48" s="1"/>
  <c r="P358" i="48" s="1"/>
  <c r="K358" i="48"/>
  <c r="J358" i="48"/>
  <c r="H358" i="48"/>
  <c r="W357" i="48"/>
  <c r="V357" i="48"/>
  <c r="T357" i="48"/>
  <c r="S357" i="48"/>
  <c r="R357" i="48"/>
  <c r="Q357" i="48"/>
  <c r="L357" i="48"/>
  <c r="M357" i="48" s="1"/>
  <c r="N357" i="48" s="1"/>
  <c r="O357" i="48" s="1"/>
  <c r="P357" i="48" s="1"/>
  <c r="K357" i="48"/>
  <c r="J357" i="48"/>
  <c r="H357" i="48"/>
  <c r="X357" i="48" s="1"/>
  <c r="AA357" i="48" s="1"/>
  <c r="W356" i="48"/>
  <c r="V356" i="48"/>
  <c r="T356" i="48"/>
  <c r="S356" i="48"/>
  <c r="R356" i="48"/>
  <c r="Q356" i="48"/>
  <c r="L356" i="48"/>
  <c r="M356" i="48" s="1"/>
  <c r="N356" i="48" s="1"/>
  <c r="O356" i="48" s="1"/>
  <c r="P356" i="48" s="1"/>
  <c r="K356" i="48"/>
  <c r="J356" i="48"/>
  <c r="H356" i="48"/>
  <c r="I356" i="48" s="1"/>
  <c r="W355" i="48"/>
  <c r="V355" i="48"/>
  <c r="T355" i="48"/>
  <c r="S355" i="48"/>
  <c r="R355" i="48"/>
  <c r="Q355" i="48"/>
  <c r="L355" i="48"/>
  <c r="M355" i="48" s="1"/>
  <c r="N355" i="48" s="1"/>
  <c r="O355" i="48" s="1"/>
  <c r="P355" i="48" s="1"/>
  <c r="K355" i="48"/>
  <c r="J355" i="48"/>
  <c r="H355" i="48"/>
  <c r="I355" i="48" s="1"/>
  <c r="W354" i="48"/>
  <c r="V354" i="48"/>
  <c r="T354" i="48"/>
  <c r="S354" i="48"/>
  <c r="R354" i="48"/>
  <c r="Q354" i="48"/>
  <c r="L354" i="48"/>
  <c r="M354" i="48" s="1"/>
  <c r="N354" i="48" s="1"/>
  <c r="O354" i="48" s="1"/>
  <c r="P354" i="48" s="1"/>
  <c r="K354" i="48"/>
  <c r="J354" i="48"/>
  <c r="H354" i="48"/>
  <c r="W353" i="48"/>
  <c r="V353" i="48"/>
  <c r="T353" i="48"/>
  <c r="S353" i="48"/>
  <c r="R353" i="48"/>
  <c r="Q353" i="48"/>
  <c r="L353" i="48"/>
  <c r="M353" i="48" s="1"/>
  <c r="N353" i="48" s="1"/>
  <c r="O353" i="48" s="1"/>
  <c r="P353" i="48" s="1"/>
  <c r="K353" i="48"/>
  <c r="J353" i="48"/>
  <c r="H353" i="48"/>
  <c r="W352" i="48"/>
  <c r="V352" i="48"/>
  <c r="T352" i="48"/>
  <c r="S352" i="48"/>
  <c r="R352" i="48"/>
  <c r="Q352" i="48"/>
  <c r="L352" i="48"/>
  <c r="M352" i="48" s="1"/>
  <c r="N352" i="48" s="1"/>
  <c r="O352" i="48" s="1"/>
  <c r="P352" i="48" s="1"/>
  <c r="K352" i="48"/>
  <c r="J352" i="48"/>
  <c r="H352" i="48"/>
  <c r="I352" i="48" s="1"/>
  <c r="W351" i="48"/>
  <c r="V351" i="48"/>
  <c r="T351" i="48"/>
  <c r="S351" i="48"/>
  <c r="R351" i="48"/>
  <c r="Q351" i="48"/>
  <c r="L351" i="48"/>
  <c r="M351" i="48" s="1"/>
  <c r="N351" i="48" s="1"/>
  <c r="O351" i="48" s="1"/>
  <c r="P351" i="48" s="1"/>
  <c r="K351" i="48"/>
  <c r="J351" i="48"/>
  <c r="H351" i="48"/>
  <c r="X351" i="48" s="1"/>
  <c r="AA351" i="48" s="1"/>
  <c r="W350" i="48"/>
  <c r="V350" i="48"/>
  <c r="T350" i="48"/>
  <c r="S350" i="48"/>
  <c r="R350" i="48"/>
  <c r="Q350" i="48"/>
  <c r="L350" i="48"/>
  <c r="M350" i="48" s="1"/>
  <c r="N350" i="48" s="1"/>
  <c r="O350" i="48" s="1"/>
  <c r="P350" i="48" s="1"/>
  <c r="K350" i="48"/>
  <c r="J350" i="48"/>
  <c r="H350" i="48"/>
  <c r="I350" i="48" s="1"/>
  <c r="W349" i="48"/>
  <c r="V349" i="48"/>
  <c r="T349" i="48"/>
  <c r="S349" i="48"/>
  <c r="R349" i="48"/>
  <c r="Q349" i="48"/>
  <c r="L349" i="48"/>
  <c r="M349" i="48" s="1"/>
  <c r="N349" i="48" s="1"/>
  <c r="O349" i="48" s="1"/>
  <c r="P349" i="48" s="1"/>
  <c r="K349" i="48"/>
  <c r="J349" i="48"/>
  <c r="H349" i="48"/>
  <c r="X349" i="48" s="1"/>
  <c r="AA349" i="48" s="1"/>
  <c r="W348" i="48"/>
  <c r="V348" i="48"/>
  <c r="T348" i="48"/>
  <c r="S348" i="48"/>
  <c r="R348" i="48"/>
  <c r="Q348" i="48"/>
  <c r="L348" i="48"/>
  <c r="M348" i="48" s="1"/>
  <c r="N348" i="48" s="1"/>
  <c r="O348" i="48" s="1"/>
  <c r="P348" i="48" s="1"/>
  <c r="K348" i="48"/>
  <c r="J348" i="48"/>
  <c r="H348" i="48"/>
  <c r="I348" i="48" s="1"/>
  <c r="W347" i="48"/>
  <c r="V347" i="48"/>
  <c r="T347" i="48"/>
  <c r="S347" i="48"/>
  <c r="R347" i="48"/>
  <c r="Q347" i="48"/>
  <c r="L347" i="48"/>
  <c r="M347" i="48" s="1"/>
  <c r="N347" i="48" s="1"/>
  <c r="O347" i="48" s="1"/>
  <c r="P347" i="48" s="1"/>
  <c r="K347" i="48"/>
  <c r="J347" i="48"/>
  <c r="H347" i="48"/>
  <c r="I347" i="48" s="1"/>
  <c r="W346" i="48"/>
  <c r="V346" i="48"/>
  <c r="T346" i="48"/>
  <c r="S346" i="48"/>
  <c r="R346" i="48"/>
  <c r="Q346" i="48"/>
  <c r="L346" i="48"/>
  <c r="M346" i="48" s="1"/>
  <c r="N346" i="48" s="1"/>
  <c r="O346" i="48" s="1"/>
  <c r="P346" i="48" s="1"/>
  <c r="K346" i="48"/>
  <c r="J346" i="48"/>
  <c r="H346" i="48"/>
  <c r="X346" i="48" s="1"/>
  <c r="AA346" i="48" s="1"/>
  <c r="W345" i="48"/>
  <c r="V345" i="48"/>
  <c r="T345" i="48"/>
  <c r="S345" i="48"/>
  <c r="R345" i="48"/>
  <c r="Q345" i="48"/>
  <c r="L345" i="48"/>
  <c r="M345" i="48" s="1"/>
  <c r="N345" i="48" s="1"/>
  <c r="O345" i="48" s="1"/>
  <c r="P345" i="48" s="1"/>
  <c r="K345" i="48"/>
  <c r="J345" i="48"/>
  <c r="H345" i="48"/>
  <c r="W344" i="48"/>
  <c r="V344" i="48"/>
  <c r="T344" i="48"/>
  <c r="S344" i="48"/>
  <c r="R344" i="48"/>
  <c r="Q344" i="48"/>
  <c r="L344" i="48"/>
  <c r="M344" i="48" s="1"/>
  <c r="N344" i="48" s="1"/>
  <c r="O344" i="48" s="1"/>
  <c r="P344" i="48" s="1"/>
  <c r="K344" i="48"/>
  <c r="J344" i="48"/>
  <c r="H344" i="48"/>
  <c r="I344" i="48" s="1"/>
  <c r="W343" i="48"/>
  <c r="V343" i="48"/>
  <c r="T343" i="48"/>
  <c r="S343" i="48"/>
  <c r="R343" i="48"/>
  <c r="Q343" i="48"/>
  <c r="L343" i="48"/>
  <c r="M343" i="48" s="1"/>
  <c r="N343" i="48" s="1"/>
  <c r="O343" i="48" s="1"/>
  <c r="P343" i="48" s="1"/>
  <c r="K343" i="48"/>
  <c r="J343" i="48"/>
  <c r="H343" i="48"/>
  <c r="X343" i="48" s="1"/>
  <c r="AA343" i="48" s="1"/>
  <c r="W342" i="48"/>
  <c r="V342" i="48"/>
  <c r="T342" i="48"/>
  <c r="S342" i="48"/>
  <c r="R342" i="48"/>
  <c r="Q342" i="48"/>
  <c r="L342" i="48"/>
  <c r="M342" i="48" s="1"/>
  <c r="N342" i="48" s="1"/>
  <c r="O342" i="48" s="1"/>
  <c r="P342" i="48" s="1"/>
  <c r="K342" i="48"/>
  <c r="J342" i="48"/>
  <c r="H342" i="48"/>
  <c r="I342" i="48" s="1"/>
  <c r="W341" i="48"/>
  <c r="V341" i="48"/>
  <c r="T341" i="48"/>
  <c r="S341" i="48"/>
  <c r="R341" i="48"/>
  <c r="Q341" i="48"/>
  <c r="L341" i="48"/>
  <c r="M341" i="48" s="1"/>
  <c r="N341" i="48" s="1"/>
  <c r="O341" i="48" s="1"/>
  <c r="P341" i="48" s="1"/>
  <c r="K341" i="48"/>
  <c r="J341" i="48"/>
  <c r="H341" i="48"/>
  <c r="X341" i="48" s="1"/>
  <c r="AA341" i="48" s="1"/>
  <c r="W340" i="48"/>
  <c r="V340" i="48"/>
  <c r="T340" i="48"/>
  <c r="S340" i="48"/>
  <c r="R340" i="48"/>
  <c r="Q340" i="48"/>
  <c r="L340" i="48"/>
  <c r="M340" i="48" s="1"/>
  <c r="N340" i="48" s="1"/>
  <c r="O340" i="48" s="1"/>
  <c r="P340" i="48" s="1"/>
  <c r="K340" i="48"/>
  <c r="J340" i="48"/>
  <c r="H340" i="48"/>
  <c r="I340" i="48" s="1"/>
  <c r="W339" i="48"/>
  <c r="V339" i="48"/>
  <c r="T339" i="48"/>
  <c r="S339" i="48"/>
  <c r="R339" i="48"/>
  <c r="Q339" i="48"/>
  <c r="L339" i="48"/>
  <c r="M339" i="48" s="1"/>
  <c r="N339" i="48" s="1"/>
  <c r="O339" i="48" s="1"/>
  <c r="P339" i="48" s="1"/>
  <c r="K339" i="48"/>
  <c r="J339" i="48"/>
  <c r="H339" i="48"/>
  <c r="I339" i="48" s="1"/>
  <c r="W338" i="48"/>
  <c r="V338" i="48"/>
  <c r="T338" i="48"/>
  <c r="S338" i="48"/>
  <c r="R338" i="48"/>
  <c r="Q338" i="48"/>
  <c r="L338" i="48"/>
  <c r="M338" i="48" s="1"/>
  <c r="N338" i="48" s="1"/>
  <c r="O338" i="48" s="1"/>
  <c r="P338" i="48" s="1"/>
  <c r="K338" i="48"/>
  <c r="J338" i="48"/>
  <c r="H338" i="48"/>
  <c r="I338" i="48" s="1"/>
  <c r="W337" i="48"/>
  <c r="V337" i="48"/>
  <c r="T337" i="48"/>
  <c r="S337" i="48"/>
  <c r="R337" i="48"/>
  <c r="Q337" i="48"/>
  <c r="L337" i="48"/>
  <c r="M337" i="48" s="1"/>
  <c r="N337" i="48" s="1"/>
  <c r="O337" i="48" s="1"/>
  <c r="P337" i="48" s="1"/>
  <c r="K337" i="48"/>
  <c r="J337" i="48"/>
  <c r="H337" i="48"/>
  <c r="X337" i="48" s="1"/>
  <c r="AA337" i="48" s="1"/>
  <c r="W336" i="48"/>
  <c r="V336" i="48"/>
  <c r="T336" i="48"/>
  <c r="S336" i="48"/>
  <c r="R336" i="48"/>
  <c r="Q336" i="48"/>
  <c r="L336" i="48"/>
  <c r="M336" i="48" s="1"/>
  <c r="N336" i="48" s="1"/>
  <c r="O336" i="48" s="1"/>
  <c r="P336" i="48" s="1"/>
  <c r="K336" i="48"/>
  <c r="J336" i="48"/>
  <c r="H336" i="48"/>
  <c r="W335" i="48"/>
  <c r="V335" i="48"/>
  <c r="T335" i="48"/>
  <c r="S335" i="48"/>
  <c r="R335" i="48"/>
  <c r="Q335" i="48"/>
  <c r="L335" i="48"/>
  <c r="M335" i="48" s="1"/>
  <c r="N335" i="48" s="1"/>
  <c r="O335" i="48" s="1"/>
  <c r="P335" i="48" s="1"/>
  <c r="K335" i="48"/>
  <c r="J335" i="48"/>
  <c r="H335" i="48"/>
  <c r="X335" i="48" s="1"/>
  <c r="AA335" i="48" s="1"/>
  <c r="W334" i="48"/>
  <c r="V334" i="48"/>
  <c r="T334" i="48"/>
  <c r="S334" i="48"/>
  <c r="R334" i="48"/>
  <c r="Q334" i="48"/>
  <c r="L334" i="48"/>
  <c r="M334" i="48" s="1"/>
  <c r="N334" i="48" s="1"/>
  <c r="O334" i="48" s="1"/>
  <c r="P334" i="48" s="1"/>
  <c r="K334" i="48"/>
  <c r="J334" i="48"/>
  <c r="H334" i="48"/>
  <c r="W333" i="48"/>
  <c r="V333" i="48"/>
  <c r="T333" i="48"/>
  <c r="S333" i="48"/>
  <c r="R333" i="48"/>
  <c r="Q333" i="48"/>
  <c r="L333" i="48"/>
  <c r="M333" i="48" s="1"/>
  <c r="N333" i="48" s="1"/>
  <c r="O333" i="48" s="1"/>
  <c r="P333" i="48" s="1"/>
  <c r="K333" i="48"/>
  <c r="J333" i="48"/>
  <c r="H333" i="48"/>
  <c r="W332" i="48"/>
  <c r="V332" i="48"/>
  <c r="T332" i="48"/>
  <c r="S332" i="48"/>
  <c r="R332" i="48"/>
  <c r="Q332" i="48"/>
  <c r="L332" i="48"/>
  <c r="M332" i="48" s="1"/>
  <c r="N332" i="48" s="1"/>
  <c r="O332" i="48" s="1"/>
  <c r="P332" i="48" s="1"/>
  <c r="K332" i="48"/>
  <c r="J332" i="48"/>
  <c r="H332" i="48"/>
  <c r="I332" i="48" s="1"/>
  <c r="W331" i="48"/>
  <c r="V331" i="48"/>
  <c r="T331" i="48"/>
  <c r="S331" i="48"/>
  <c r="R331" i="48"/>
  <c r="Q331" i="48"/>
  <c r="L331" i="48"/>
  <c r="M331" i="48" s="1"/>
  <c r="N331" i="48" s="1"/>
  <c r="O331" i="48" s="1"/>
  <c r="P331" i="48" s="1"/>
  <c r="K331" i="48"/>
  <c r="J331" i="48"/>
  <c r="H331" i="48"/>
  <c r="I331" i="48" s="1"/>
  <c r="W330" i="48"/>
  <c r="V330" i="48"/>
  <c r="T330" i="48"/>
  <c r="S330" i="48"/>
  <c r="R330" i="48"/>
  <c r="Q330" i="48"/>
  <c r="L330" i="48"/>
  <c r="M330" i="48" s="1"/>
  <c r="N330" i="48" s="1"/>
  <c r="O330" i="48" s="1"/>
  <c r="P330" i="48" s="1"/>
  <c r="K330" i="48"/>
  <c r="J330" i="48"/>
  <c r="H330" i="48"/>
  <c r="I330" i="48" s="1"/>
  <c r="W329" i="48"/>
  <c r="V329" i="48"/>
  <c r="T329" i="48"/>
  <c r="S329" i="48"/>
  <c r="R329" i="48"/>
  <c r="Q329" i="48"/>
  <c r="L329" i="48"/>
  <c r="M329" i="48" s="1"/>
  <c r="N329" i="48" s="1"/>
  <c r="O329" i="48" s="1"/>
  <c r="P329" i="48" s="1"/>
  <c r="K329" i="48"/>
  <c r="J329" i="48"/>
  <c r="H329" i="48"/>
  <c r="W328" i="48"/>
  <c r="V328" i="48"/>
  <c r="T328" i="48"/>
  <c r="S328" i="48"/>
  <c r="R328" i="48"/>
  <c r="Q328" i="48"/>
  <c r="L328" i="48"/>
  <c r="M328" i="48" s="1"/>
  <c r="N328" i="48" s="1"/>
  <c r="O328" i="48" s="1"/>
  <c r="P328" i="48" s="1"/>
  <c r="K328" i="48"/>
  <c r="J328" i="48"/>
  <c r="H328" i="48"/>
  <c r="I328" i="48" s="1"/>
  <c r="W327" i="48"/>
  <c r="V327" i="48"/>
  <c r="T327" i="48"/>
  <c r="S327" i="48"/>
  <c r="R327" i="48"/>
  <c r="Q327" i="48"/>
  <c r="L327" i="48"/>
  <c r="M327" i="48" s="1"/>
  <c r="N327" i="48" s="1"/>
  <c r="O327" i="48" s="1"/>
  <c r="P327" i="48" s="1"/>
  <c r="K327" i="48"/>
  <c r="J327" i="48"/>
  <c r="H327" i="48"/>
  <c r="X327" i="48" s="1"/>
  <c r="AA327" i="48" s="1"/>
  <c r="W326" i="48"/>
  <c r="V326" i="48"/>
  <c r="T326" i="48"/>
  <c r="S326" i="48"/>
  <c r="R326" i="48"/>
  <c r="Q326" i="48"/>
  <c r="L326" i="48"/>
  <c r="M326" i="48" s="1"/>
  <c r="N326" i="48" s="1"/>
  <c r="O326" i="48" s="1"/>
  <c r="P326" i="48" s="1"/>
  <c r="K326" i="48"/>
  <c r="J326" i="48"/>
  <c r="H326" i="48"/>
  <c r="W325" i="48"/>
  <c r="V325" i="48"/>
  <c r="T325" i="48"/>
  <c r="S325" i="48"/>
  <c r="R325" i="48"/>
  <c r="Q325" i="48"/>
  <c r="L325" i="48"/>
  <c r="M325" i="48" s="1"/>
  <c r="N325" i="48" s="1"/>
  <c r="O325" i="48" s="1"/>
  <c r="P325" i="48" s="1"/>
  <c r="K325" i="48"/>
  <c r="J325" i="48"/>
  <c r="H325" i="48"/>
  <c r="X325" i="48" s="1"/>
  <c r="AA325" i="48" s="1"/>
  <c r="W324" i="48"/>
  <c r="V324" i="48"/>
  <c r="T324" i="48"/>
  <c r="S324" i="48"/>
  <c r="R324" i="48"/>
  <c r="Q324" i="48"/>
  <c r="L324" i="48"/>
  <c r="M324" i="48" s="1"/>
  <c r="N324" i="48" s="1"/>
  <c r="O324" i="48" s="1"/>
  <c r="P324" i="48" s="1"/>
  <c r="K324" i="48"/>
  <c r="J324" i="48"/>
  <c r="H324" i="48"/>
  <c r="I324" i="48" s="1"/>
  <c r="W323" i="48"/>
  <c r="V323" i="48"/>
  <c r="T323" i="48"/>
  <c r="S323" i="48"/>
  <c r="R323" i="48"/>
  <c r="Q323" i="48"/>
  <c r="L323" i="48"/>
  <c r="M323" i="48" s="1"/>
  <c r="N323" i="48" s="1"/>
  <c r="O323" i="48" s="1"/>
  <c r="P323" i="48" s="1"/>
  <c r="K323" i="48"/>
  <c r="J323" i="48"/>
  <c r="H323" i="48"/>
  <c r="I323" i="48" s="1"/>
  <c r="W322" i="48"/>
  <c r="V322" i="48"/>
  <c r="T322" i="48"/>
  <c r="S322" i="48"/>
  <c r="R322" i="48"/>
  <c r="Q322" i="48"/>
  <c r="L322" i="48"/>
  <c r="M322" i="48" s="1"/>
  <c r="N322" i="48" s="1"/>
  <c r="O322" i="48" s="1"/>
  <c r="P322" i="48" s="1"/>
  <c r="K322" i="48"/>
  <c r="J322" i="48"/>
  <c r="H322" i="48"/>
  <c r="I322" i="48" s="1"/>
  <c r="W321" i="48"/>
  <c r="V321" i="48"/>
  <c r="T321" i="48"/>
  <c r="S321" i="48"/>
  <c r="R321" i="48"/>
  <c r="Q321" i="48"/>
  <c r="L321" i="48"/>
  <c r="M321" i="48" s="1"/>
  <c r="N321" i="48" s="1"/>
  <c r="O321" i="48" s="1"/>
  <c r="P321" i="48" s="1"/>
  <c r="K321" i="48"/>
  <c r="J321" i="48"/>
  <c r="H321" i="48"/>
  <c r="X321" i="48" s="1"/>
  <c r="AA321" i="48" s="1"/>
  <c r="W320" i="48"/>
  <c r="V320" i="48"/>
  <c r="T320" i="48"/>
  <c r="S320" i="48"/>
  <c r="R320" i="48"/>
  <c r="Q320" i="48"/>
  <c r="L320" i="48"/>
  <c r="M320" i="48" s="1"/>
  <c r="N320" i="48" s="1"/>
  <c r="O320" i="48" s="1"/>
  <c r="P320" i="48" s="1"/>
  <c r="K320" i="48"/>
  <c r="J320" i="48"/>
  <c r="H320" i="48"/>
  <c r="I320" i="48" s="1"/>
  <c r="W319" i="48"/>
  <c r="V319" i="48"/>
  <c r="T319" i="48"/>
  <c r="S319" i="48"/>
  <c r="R319" i="48"/>
  <c r="Q319" i="48"/>
  <c r="L319" i="48"/>
  <c r="M319" i="48" s="1"/>
  <c r="N319" i="48" s="1"/>
  <c r="O319" i="48" s="1"/>
  <c r="P319" i="48" s="1"/>
  <c r="K319" i="48"/>
  <c r="J319" i="48"/>
  <c r="H319" i="48"/>
  <c r="X319" i="48" s="1"/>
  <c r="AA319" i="48" s="1"/>
  <c r="W318" i="48"/>
  <c r="V318" i="48"/>
  <c r="T318" i="48"/>
  <c r="S318" i="48"/>
  <c r="R318" i="48"/>
  <c r="Q318" i="48"/>
  <c r="L318" i="48"/>
  <c r="M318" i="48" s="1"/>
  <c r="N318" i="48" s="1"/>
  <c r="O318" i="48" s="1"/>
  <c r="P318" i="48" s="1"/>
  <c r="K318" i="48"/>
  <c r="J318" i="48"/>
  <c r="H318" i="48"/>
  <c r="W317" i="48"/>
  <c r="V317" i="48"/>
  <c r="T317" i="48"/>
  <c r="S317" i="48"/>
  <c r="R317" i="48"/>
  <c r="Q317" i="48"/>
  <c r="L317" i="48"/>
  <c r="M317" i="48" s="1"/>
  <c r="N317" i="48" s="1"/>
  <c r="O317" i="48" s="1"/>
  <c r="P317" i="48" s="1"/>
  <c r="K317" i="48"/>
  <c r="J317" i="48"/>
  <c r="H317" i="48"/>
  <c r="X317" i="48" s="1"/>
  <c r="AA317" i="48" s="1"/>
  <c r="W316" i="48"/>
  <c r="V316" i="48"/>
  <c r="T316" i="48"/>
  <c r="S316" i="48"/>
  <c r="R316" i="48"/>
  <c r="Q316" i="48"/>
  <c r="L316" i="48"/>
  <c r="M316" i="48" s="1"/>
  <c r="N316" i="48" s="1"/>
  <c r="O316" i="48" s="1"/>
  <c r="P316" i="48" s="1"/>
  <c r="K316" i="48"/>
  <c r="J316" i="48"/>
  <c r="H316" i="48"/>
  <c r="I316" i="48" s="1"/>
  <c r="W315" i="48"/>
  <c r="V315" i="48"/>
  <c r="T315" i="48"/>
  <c r="S315" i="48"/>
  <c r="R315" i="48"/>
  <c r="Q315" i="48"/>
  <c r="L315" i="48"/>
  <c r="M315" i="48" s="1"/>
  <c r="N315" i="48" s="1"/>
  <c r="O315" i="48" s="1"/>
  <c r="P315" i="48" s="1"/>
  <c r="K315" i="48"/>
  <c r="J315" i="48"/>
  <c r="H315" i="48"/>
  <c r="I315" i="48" s="1"/>
  <c r="W314" i="48"/>
  <c r="V314" i="48"/>
  <c r="T314" i="48"/>
  <c r="S314" i="48"/>
  <c r="R314" i="48"/>
  <c r="Q314" i="48"/>
  <c r="L314" i="48"/>
  <c r="M314" i="48" s="1"/>
  <c r="N314" i="48" s="1"/>
  <c r="O314" i="48" s="1"/>
  <c r="P314" i="48" s="1"/>
  <c r="K314" i="48"/>
  <c r="J314" i="48"/>
  <c r="H314" i="48"/>
  <c r="I314" i="48" s="1"/>
  <c r="W313" i="48"/>
  <c r="V313" i="48"/>
  <c r="T313" i="48"/>
  <c r="S313" i="48"/>
  <c r="R313" i="48"/>
  <c r="Q313" i="48"/>
  <c r="L313" i="48"/>
  <c r="M313" i="48" s="1"/>
  <c r="N313" i="48" s="1"/>
  <c r="O313" i="48" s="1"/>
  <c r="P313" i="48" s="1"/>
  <c r="K313" i="48"/>
  <c r="J313" i="48"/>
  <c r="H313" i="48"/>
  <c r="I313" i="48" s="1"/>
  <c r="W312" i="48"/>
  <c r="V312" i="48"/>
  <c r="T312" i="48"/>
  <c r="S312" i="48"/>
  <c r="R312" i="48"/>
  <c r="Q312" i="48"/>
  <c r="L312" i="48"/>
  <c r="M312" i="48" s="1"/>
  <c r="N312" i="48" s="1"/>
  <c r="O312" i="48" s="1"/>
  <c r="P312" i="48" s="1"/>
  <c r="K312" i="48"/>
  <c r="J312" i="48"/>
  <c r="H312" i="48"/>
  <c r="I312" i="48" s="1"/>
  <c r="W311" i="48"/>
  <c r="V311" i="48"/>
  <c r="T311" i="48"/>
  <c r="S311" i="48"/>
  <c r="R311" i="48"/>
  <c r="Q311" i="48"/>
  <c r="L311" i="48"/>
  <c r="M311" i="48" s="1"/>
  <c r="N311" i="48" s="1"/>
  <c r="O311" i="48" s="1"/>
  <c r="P311" i="48" s="1"/>
  <c r="K311" i="48"/>
  <c r="J311" i="48"/>
  <c r="H311" i="48"/>
  <c r="W310" i="48"/>
  <c r="V310" i="48"/>
  <c r="T310" i="48"/>
  <c r="S310" i="48"/>
  <c r="R310" i="48"/>
  <c r="Q310" i="48"/>
  <c r="L310" i="48"/>
  <c r="M310" i="48" s="1"/>
  <c r="N310" i="48" s="1"/>
  <c r="O310" i="48" s="1"/>
  <c r="P310" i="48" s="1"/>
  <c r="K310" i="48"/>
  <c r="J310" i="48"/>
  <c r="H310" i="48"/>
  <c r="W309" i="48"/>
  <c r="V309" i="48"/>
  <c r="T309" i="48"/>
  <c r="S309" i="48"/>
  <c r="R309" i="48"/>
  <c r="Q309" i="48"/>
  <c r="L309" i="48"/>
  <c r="M309" i="48" s="1"/>
  <c r="N309" i="48" s="1"/>
  <c r="O309" i="48" s="1"/>
  <c r="P309" i="48" s="1"/>
  <c r="K309" i="48"/>
  <c r="J309" i="48"/>
  <c r="H309" i="48"/>
  <c r="X309" i="48" s="1"/>
  <c r="AA309" i="48" s="1"/>
  <c r="W308" i="48"/>
  <c r="V308" i="48"/>
  <c r="T308" i="48"/>
  <c r="S308" i="48"/>
  <c r="R308" i="48"/>
  <c r="Q308" i="48"/>
  <c r="L308" i="48"/>
  <c r="M308" i="48" s="1"/>
  <c r="N308" i="48" s="1"/>
  <c r="O308" i="48" s="1"/>
  <c r="P308" i="48" s="1"/>
  <c r="K308" i="48"/>
  <c r="J308" i="48"/>
  <c r="H308" i="48"/>
  <c r="I308" i="48" s="1"/>
  <c r="W307" i="48"/>
  <c r="V307" i="48"/>
  <c r="T307" i="48"/>
  <c r="S307" i="48"/>
  <c r="R307" i="48"/>
  <c r="Q307" i="48"/>
  <c r="L307" i="48"/>
  <c r="M307" i="48" s="1"/>
  <c r="N307" i="48" s="1"/>
  <c r="O307" i="48" s="1"/>
  <c r="P307" i="48" s="1"/>
  <c r="K307" i="48"/>
  <c r="J307" i="48"/>
  <c r="H307" i="48"/>
  <c r="I307" i="48" s="1"/>
  <c r="W306" i="48"/>
  <c r="V306" i="48"/>
  <c r="T306" i="48"/>
  <c r="S306" i="48"/>
  <c r="R306" i="48"/>
  <c r="Q306" i="48"/>
  <c r="L306" i="48"/>
  <c r="M306" i="48" s="1"/>
  <c r="N306" i="48" s="1"/>
  <c r="O306" i="48" s="1"/>
  <c r="P306" i="48" s="1"/>
  <c r="K306" i="48"/>
  <c r="J306" i="48"/>
  <c r="H306" i="48"/>
  <c r="I306" i="48" s="1"/>
  <c r="W305" i="48"/>
  <c r="V305" i="48"/>
  <c r="T305" i="48"/>
  <c r="S305" i="48"/>
  <c r="R305" i="48"/>
  <c r="Q305" i="48"/>
  <c r="L305" i="48"/>
  <c r="M305" i="48" s="1"/>
  <c r="N305" i="48" s="1"/>
  <c r="O305" i="48" s="1"/>
  <c r="P305" i="48" s="1"/>
  <c r="K305" i="48"/>
  <c r="J305" i="48"/>
  <c r="H305" i="48"/>
  <c r="I305" i="48" s="1"/>
  <c r="W304" i="48"/>
  <c r="V304" i="48"/>
  <c r="T304" i="48"/>
  <c r="S304" i="48"/>
  <c r="R304" i="48"/>
  <c r="Q304" i="48"/>
  <c r="L304" i="48"/>
  <c r="M304" i="48" s="1"/>
  <c r="N304" i="48" s="1"/>
  <c r="O304" i="48" s="1"/>
  <c r="P304" i="48" s="1"/>
  <c r="K304" i="48"/>
  <c r="J304" i="48"/>
  <c r="H304" i="48"/>
  <c r="X304" i="48" s="1"/>
  <c r="AA304" i="48" s="1"/>
  <c r="W303" i="48"/>
  <c r="V303" i="48"/>
  <c r="T303" i="48"/>
  <c r="S303" i="48"/>
  <c r="R303" i="48"/>
  <c r="Q303" i="48"/>
  <c r="L303" i="48"/>
  <c r="M303" i="48" s="1"/>
  <c r="N303" i="48" s="1"/>
  <c r="O303" i="48" s="1"/>
  <c r="P303" i="48" s="1"/>
  <c r="K303" i="48"/>
  <c r="J303" i="48"/>
  <c r="H303" i="48"/>
  <c r="X303" i="48" s="1"/>
  <c r="AA303" i="48" s="1"/>
  <c r="W302" i="48"/>
  <c r="V302" i="48"/>
  <c r="T302" i="48"/>
  <c r="S302" i="48"/>
  <c r="R302" i="48"/>
  <c r="Q302" i="48"/>
  <c r="L302" i="48"/>
  <c r="M302" i="48" s="1"/>
  <c r="N302" i="48" s="1"/>
  <c r="O302" i="48" s="1"/>
  <c r="P302" i="48" s="1"/>
  <c r="K302" i="48"/>
  <c r="J302" i="48"/>
  <c r="H302" i="48"/>
  <c r="I302" i="48" s="1"/>
  <c r="W301" i="48"/>
  <c r="V301" i="48"/>
  <c r="T301" i="48"/>
  <c r="S301" i="48"/>
  <c r="R301" i="48"/>
  <c r="Q301" i="48"/>
  <c r="L301" i="48"/>
  <c r="M301" i="48" s="1"/>
  <c r="N301" i="48" s="1"/>
  <c r="O301" i="48" s="1"/>
  <c r="P301" i="48" s="1"/>
  <c r="K301" i="48"/>
  <c r="J301" i="48"/>
  <c r="H301" i="48"/>
  <c r="X301" i="48" s="1"/>
  <c r="AA301" i="48" s="1"/>
  <c r="W300" i="48"/>
  <c r="V300" i="48"/>
  <c r="T300" i="48"/>
  <c r="S300" i="48"/>
  <c r="R300" i="48"/>
  <c r="Q300" i="48"/>
  <c r="L300" i="48"/>
  <c r="M300" i="48" s="1"/>
  <c r="N300" i="48" s="1"/>
  <c r="O300" i="48" s="1"/>
  <c r="P300" i="48" s="1"/>
  <c r="K300" i="48"/>
  <c r="J300" i="48"/>
  <c r="H300" i="48"/>
  <c r="W299" i="48"/>
  <c r="V299" i="48"/>
  <c r="T299" i="48"/>
  <c r="S299" i="48"/>
  <c r="R299" i="48"/>
  <c r="Q299" i="48"/>
  <c r="L299" i="48"/>
  <c r="M299" i="48" s="1"/>
  <c r="N299" i="48" s="1"/>
  <c r="O299" i="48" s="1"/>
  <c r="P299" i="48" s="1"/>
  <c r="K299" i="48"/>
  <c r="J299" i="48"/>
  <c r="H299" i="48"/>
  <c r="X299" i="48" s="1"/>
  <c r="AA299" i="48" s="1"/>
  <c r="W298" i="48"/>
  <c r="V298" i="48"/>
  <c r="T298" i="48"/>
  <c r="S298" i="48"/>
  <c r="R298" i="48"/>
  <c r="Q298" i="48"/>
  <c r="L298" i="48"/>
  <c r="M298" i="48" s="1"/>
  <c r="N298" i="48" s="1"/>
  <c r="O298" i="48" s="1"/>
  <c r="P298" i="48" s="1"/>
  <c r="K298" i="48"/>
  <c r="J298" i="48"/>
  <c r="H298" i="48"/>
  <c r="W297" i="48"/>
  <c r="V297" i="48"/>
  <c r="T297" i="48"/>
  <c r="S297" i="48"/>
  <c r="R297" i="48"/>
  <c r="Q297" i="48"/>
  <c r="L297" i="48"/>
  <c r="M297" i="48" s="1"/>
  <c r="N297" i="48" s="1"/>
  <c r="O297" i="48" s="1"/>
  <c r="P297" i="48" s="1"/>
  <c r="K297" i="48"/>
  <c r="J297" i="48"/>
  <c r="H297" i="48"/>
  <c r="W296" i="48"/>
  <c r="V296" i="48"/>
  <c r="T296" i="48"/>
  <c r="S296" i="48"/>
  <c r="R296" i="48"/>
  <c r="Q296" i="48"/>
  <c r="L296" i="48"/>
  <c r="M296" i="48" s="1"/>
  <c r="N296" i="48" s="1"/>
  <c r="O296" i="48" s="1"/>
  <c r="P296" i="48" s="1"/>
  <c r="K296" i="48"/>
  <c r="J296" i="48"/>
  <c r="H296" i="48"/>
  <c r="X296" i="48" s="1"/>
  <c r="AA296" i="48" s="1"/>
  <c r="W295" i="48"/>
  <c r="V295" i="48"/>
  <c r="T295" i="48"/>
  <c r="S295" i="48"/>
  <c r="R295" i="48"/>
  <c r="Q295" i="48"/>
  <c r="L295" i="48"/>
  <c r="M295" i="48" s="1"/>
  <c r="N295" i="48" s="1"/>
  <c r="O295" i="48" s="1"/>
  <c r="P295" i="48" s="1"/>
  <c r="K295" i="48"/>
  <c r="J295" i="48"/>
  <c r="H295" i="48"/>
  <c r="X295" i="48" s="1"/>
  <c r="AA295" i="48" s="1"/>
  <c r="W294" i="48"/>
  <c r="V294" i="48"/>
  <c r="T294" i="48"/>
  <c r="S294" i="48"/>
  <c r="R294" i="48"/>
  <c r="Q294" i="48"/>
  <c r="L294" i="48"/>
  <c r="M294" i="48" s="1"/>
  <c r="N294" i="48" s="1"/>
  <c r="O294" i="48" s="1"/>
  <c r="P294" i="48" s="1"/>
  <c r="K294" i="48"/>
  <c r="J294" i="48"/>
  <c r="H294" i="48"/>
  <c r="I294" i="48" s="1"/>
  <c r="W293" i="48"/>
  <c r="V293" i="48"/>
  <c r="T293" i="48"/>
  <c r="S293" i="48"/>
  <c r="R293" i="48"/>
  <c r="Q293" i="48"/>
  <c r="L293" i="48"/>
  <c r="M293" i="48" s="1"/>
  <c r="N293" i="48" s="1"/>
  <c r="O293" i="48" s="1"/>
  <c r="P293" i="48" s="1"/>
  <c r="K293" i="48"/>
  <c r="J293" i="48"/>
  <c r="H293" i="48"/>
  <c r="X293" i="48" s="1"/>
  <c r="AA293" i="48" s="1"/>
  <c r="W292" i="48"/>
  <c r="V292" i="48"/>
  <c r="T292" i="48"/>
  <c r="S292" i="48"/>
  <c r="R292" i="48"/>
  <c r="Q292" i="48"/>
  <c r="L292" i="48"/>
  <c r="M292" i="48" s="1"/>
  <c r="N292" i="48" s="1"/>
  <c r="O292" i="48" s="1"/>
  <c r="P292" i="48" s="1"/>
  <c r="K292" i="48"/>
  <c r="J292" i="48"/>
  <c r="H292" i="48"/>
  <c r="X292" i="48" s="1"/>
  <c r="AA292" i="48" s="1"/>
  <c r="W291" i="48"/>
  <c r="V291" i="48"/>
  <c r="T291" i="48"/>
  <c r="S291" i="48"/>
  <c r="R291" i="48"/>
  <c r="Q291" i="48"/>
  <c r="L291" i="48"/>
  <c r="M291" i="48" s="1"/>
  <c r="N291" i="48" s="1"/>
  <c r="O291" i="48" s="1"/>
  <c r="P291" i="48" s="1"/>
  <c r="K291" i="48"/>
  <c r="J291" i="48"/>
  <c r="H291" i="48"/>
  <c r="I291" i="48" s="1"/>
  <c r="W290" i="48"/>
  <c r="V290" i="48"/>
  <c r="T290" i="48"/>
  <c r="S290" i="48"/>
  <c r="R290" i="48"/>
  <c r="Q290" i="48"/>
  <c r="L290" i="48"/>
  <c r="M290" i="48" s="1"/>
  <c r="N290" i="48" s="1"/>
  <c r="O290" i="48" s="1"/>
  <c r="P290" i="48" s="1"/>
  <c r="K290" i="48"/>
  <c r="J290" i="48"/>
  <c r="H290" i="48"/>
  <c r="I290" i="48" s="1"/>
  <c r="W289" i="48"/>
  <c r="V289" i="48"/>
  <c r="T289" i="48"/>
  <c r="S289" i="48"/>
  <c r="R289" i="48"/>
  <c r="Q289" i="48"/>
  <c r="L289" i="48"/>
  <c r="M289" i="48" s="1"/>
  <c r="N289" i="48" s="1"/>
  <c r="O289" i="48" s="1"/>
  <c r="P289" i="48" s="1"/>
  <c r="K289" i="48"/>
  <c r="J289" i="48"/>
  <c r="H289" i="48"/>
  <c r="X289" i="48" s="1"/>
  <c r="AA289" i="48" s="1"/>
  <c r="W288" i="48"/>
  <c r="V288" i="48"/>
  <c r="T288" i="48"/>
  <c r="S288" i="48"/>
  <c r="R288" i="48"/>
  <c r="Q288" i="48"/>
  <c r="L288" i="48"/>
  <c r="M288" i="48" s="1"/>
  <c r="N288" i="48" s="1"/>
  <c r="O288" i="48" s="1"/>
  <c r="P288" i="48" s="1"/>
  <c r="K288" i="48"/>
  <c r="J288" i="48"/>
  <c r="H288" i="48"/>
  <c r="X288" i="48" s="1"/>
  <c r="AA288" i="48" s="1"/>
  <c r="W287" i="48"/>
  <c r="V287" i="48"/>
  <c r="T287" i="48"/>
  <c r="S287" i="48"/>
  <c r="R287" i="48"/>
  <c r="Q287" i="48"/>
  <c r="L287" i="48"/>
  <c r="M287" i="48" s="1"/>
  <c r="N287" i="48" s="1"/>
  <c r="O287" i="48" s="1"/>
  <c r="P287" i="48" s="1"/>
  <c r="K287" i="48"/>
  <c r="J287" i="48"/>
  <c r="H287" i="48"/>
  <c r="I287" i="48" s="1"/>
  <c r="W286" i="48"/>
  <c r="V286" i="48"/>
  <c r="T286" i="48"/>
  <c r="S286" i="48"/>
  <c r="R286" i="48"/>
  <c r="Q286" i="48"/>
  <c r="L286" i="48"/>
  <c r="M286" i="48" s="1"/>
  <c r="N286" i="48" s="1"/>
  <c r="O286" i="48" s="1"/>
  <c r="P286" i="48" s="1"/>
  <c r="K286" i="48"/>
  <c r="J286" i="48"/>
  <c r="H286" i="48"/>
  <c r="I286" i="48" s="1"/>
  <c r="W285" i="48"/>
  <c r="V285" i="48"/>
  <c r="T285" i="48"/>
  <c r="S285" i="48"/>
  <c r="R285" i="48"/>
  <c r="Q285" i="48"/>
  <c r="L285" i="48"/>
  <c r="M285" i="48" s="1"/>
  <c r="N285" i="48" s="1"/>
  <c r="O285" i="48" s="1"/>
  <c r="P285" i="48" s="1"/>
  <c r="K285" i="48"/>
  <c r="J285" i="48"/>
  <c r="H285" i="48"/>
  <c r="X285" i="48" s="1"/>
  <c r="AA285" i="48" s="1"/>
  <c r="W284" i="48"/>
  <c r="V284" i="48"/>
  <c r="T284" i="48"/>
  <c r="S284" i="48"/>
  <c r="R284" i="48"/>
  <c r="Q284" i="48"/>
  <c r="L284" i="48"/>
  <c r="M284" i="48" s="1"/>
  <c r="N284" i="48" s="1"/>
  <c r="O284" i="48" s="1"/>
  <c r="P284" i="48" s="1"/>
  <c r="K284" i="48"/>
  <c r="J284" i="48"/>
  <c r="H284" i="48"/>
  <c r="X284" i="48" s="1"/>
  <c r="AA284" i="48" s="1"/>
  <c r="W283" i="48"/>
  <c r="V283" i="48"/>
  <c r="T283" i="48"/>
  <c r="S283" i="48"/>
  <c r="R283" i="48"/>
  <c r="Q283" i="48"/>
  <c r="L283" i="48"/>
  <c r="M283" i="48" s="1"/>
  <c r="N283" i="48" s="1"/>
  <c r="O283" i="48" s="1"/>
  <c r="P283" i="48" s="1"/>
  <c r="K283" i="48"/>
  <c r="J283" i="48"/>
  <c r="H283" i="48"/>
  <c r="I283" i="48" s="1"/>
  <c r="W282" i="48"/>
  <c r="V282" i="48"/>
  <c r="T282" i="48"/>
  <c r="S282" i="48"/>
  <c r="R282" i="48"/>
  <c r="Q282" i="48"/>
  <c r="L282" i="48"/>
  <c r="M282" i="48" s="1"/>
  <c r="N282" i="48" s="1"/>
  <c r="O282" i="48" s="1"/>
  <c r="P282" i="48" s="1"/>
  <c r="K282" i="48"/>
  <c r="J282" i="48"/>
  <c r="H282" i="48"/>
  <c r="I282" i="48" s="1"/>
  <c r="W281" i="48"/>
  <c r="V281" i="48"/>
  <c r="T281" i="48"/>
  <c r="S281" i="48"/>
  <c r="R281" i="48"/>
  <c r="Q281" i="48"/>
  <c r="L281" i="48"/>
  <c r="M281" i="48" s="1"/>
  <c r="N281" i="48" s="1"/>
  <c r="O281" i="48" s="1"/>
  <c r="P281" i="48" s="1"/>
  <c r="K281" i="48"/>
  <c r="J281" i="48"/>
  <c r="H281" i="48"/>
  <c r="W280" i="48"/>
  <c r="V280" i="48"/>
  <c r="T280" i="48"/>
  <c r="S280" i="48"/>
  <c r="R280" i="48"/>
  <c r="Q280" i="48"/>
  <c r="L280" i="48"/>
  <c r="M280" i="48" s="1"/>
  <c r="N280" i="48" s="1"/>
  <c r="O280" i="48" s="1"/>
  <c r="P280" i="48" s="1"/>
  <c r="K280" i="48"/>
  <c r="J280" i="48"/>
  <c r="H280" i="48"/>
  <c r="X280" i="48" s="1"/>
  <c r="AA280" i="48" s="1"/>
  <c r="W279" i="48"/>
  <c r="V279" i="48"/>
  <c r="T279" i="48"/>
  <c r="S279" i="48"/>
  <c r="R279" i="48"/>
  <c r="Q279" i="48"/>
  <c r="L279" i="48"/>
  <c r="M279" i="48" s="1"/>
  <c r="N279" i="48" s="1"/>
  <c r="O279" i="48" s="1"/>
  <c r="P279" i="48" s="1"/>
  <c r="K279" i="48"/>
  <c r="J279" i="48"/>
  <c r="H279" i="48"/>
  <c r="I279" i="48" s="1"/>
  <c r="W278" i="48"/>
  <c r="V278" i="48"/>
  <c r="T278" i="48"/>
  <c r="S278" i="48"/>
  <c r="R278" i="48"/>
  <c r="Q278" i="48"/>
  <c r="L278" i="48"/>
  <c r="M278" i="48" s="1"/>
  <c r="N278" i="48" s="1"/>
  <c r="O278" i="48" s="1"/>
  <c r="P278" i="48" s="1"/>
  <c r="K278" i="48"/>
  <c r="J278" i="48"/>
  <c r="H278" i="48"/>
  <c r="I278" i="48" s="1"/>
  <c r="W277" i="48"/>
  <c r="V277" i="48"/>
  <c r="T277" i="48"/>
  <c r="S277" i="48"/>
  <c r="R277" i="48"/>
  <c r="Q277" i="48"/>
  <c r="L277" i="48"/>
  <c r="M277" i="48" s="1"/>
  <c r="N277" i="48" s="1"/>
  <c r="O277" i="48" s="1"/>
  <c r="P277" i="48" s="1"/>
  <c r="K277" i="48"/>
  <c r="J277" i="48"/>
  <c r="H277" i="48"/>
  <c r="X277" i="48" s="1"/>
  <c r="AA277" i="48" s="1"/>
  <c r="W276" i="48"/>
  <c r="V276" i="48"/>
  <c r="T276" i="48"/>
  <c r="S276" i="48"/>
  <c r="R276" i="48"/>
  <c r="Q276" i="48"/>
  <c r="L276" i="48"/>
  <c r="M276" i="48" s="1"/>
  <c r="N276" i="48" s="1"/>
  <c r="O276" i="48" s="1"/>
  <c r="P276" i="48" s="1"/>
  <c r="K276" i="48"/>
  <c r="J276" i="48"/>
  <c r="H276" i="48"/>
  <c r="X276" i="48" s="1"/>
  <c r="AA276" i="48" s="1"/>
  <c r="W275" i="48"/>
  <c r="V275" i="48"/>
  <c r="T275" i="48"/>
  <c r="S275" i="48"/>
  <c r="R275" i="48"/>
  <c r="Q275" i="48"/>
  <c r="L275" i="48"/>
  <c r="M275" i="48" s="1"/>
  <c r="N275" i="48" s="1"/>
  <c r="O275" i="48" s="1"/>
  <c r="P275" i="48" s="1"/>
  <c r="K275" i="48"/>
  <c r="J275" i="48"/>
  <c r="H275" i="48"/>
  <c r="I275" i="48" s="1"/>
  <c r="W274" i="48"/>
  <c r="V274" i="48"/>
  <c r="T274" i="48"/>
  <c r="S274" i="48"/>
  <c r="R274" i="48"/>
  <c r="Q274" i="48"/>
  <c r="L274" i="48"/>
  <c r="M274" i="48" s="1"/>
  <c r="N274" i="48" s="1"/>
  <c r="O274" i="48" s="1"/>
  <c r="P274" i="48" s="1"/>
  <c r="K274" i="48"/>
  <c r="J274" i="48"/>
  <c r="H274" i="48"/>
  <c r="I274" i="48" s="1"/>
  <c r="W273" i="48"/>
  <c r="V273" i="48"/>
  <c r="T273" i="48"/>
  <c r="S273" i="48"/>
  <c r="R273" i="48"/>
  <c r="Q273" i="48"/>
  <c r="L273" i="48"/>
  <c r="M273" i="48" s="1"/>
  <c r="N273" i="48" s="1"/>
  <c r="O273" i="48" s="1"/>
  <c r="P273" i="48" s="1"/>
  <c r="K273" i="48"/>
  <c r="J273" i="48"/>
  <c r="H273" i="48"/>
  <c r="X273" i="48" s="1"/>
  <c r="AA273" i="48" s="1"/>
  <c r="W272" i="48"/>
  <c r="V272" i="48"/>
  <c r="T272" i="48"/>
  <c r="S272" i="48"/>
  <c r="R272" i="48"/>
  <c r="Q272" i="48"/>
  <c r="L272" i="48"/>
  <c r="M272" i="48" s="1"/>
  <c r="N272" i="48" s="1"/>
  <c r="O272" i="48" s="1"/>
  <c r="P272" i="48" s="1"/>
  <c r="K272" i="48"/>
  <c r="J272" i="48"/>
  <c r="H272" i="48"/>
  <c r="X272" i="48" s="1"/>
  <c r="AA272" i="48" s="1"/>
  <c r="W271" i="48"/>
  <c r="V271" i="48"/>
  <c r="T271" i="48"/>
  <c r="S271" i="48"/>
  <c r="R271" i="48"/>
  <c r="Q271" i="48"/>
  <c r="L271" i="48"/>
  <c r="M271" i="48" s="1"/>
  <c r="N271" i="48" s="1"/>
  <c r="O271" i="48" s="1"/>
  <c r="P271" i="48" s="1"/>
  <c r="K271" i="48"/>
  <c r="J271" i="48"/>
  <c r="H271" i="48"/>
  <c r="X271" i="48" s="1"/>
  <c r="AA271" i="48" s="1"/>
  <c r="W270" i="48"/>
  <c r="V270" i="48"/>
  <c r="T270" i="48"/>
  <c r="S270" i="48"/>
  <c r="R270" i="48"/>
  <c r="Q270" i="48"/>
  <c r="L270" i="48"/>
  <c r="M270" i="48" s="1"/>
  <c r="N270" i="48" s="1"/>
  <c r="O270" i="48" s="1"/>
  <c r="P270" i="48" s="1"/>
  <c r="K270" i="48"/>
  <c r="J270" i="48"/>
  <c r="H270" i="48"/>
  <c r="I270" i="48" s="1"/>
  <c r="W269" i="48"/>
  <c r="V269" i="48"/>
  <c r="T269" i="48"/>
  <c r="S269" i="48"/>
  <c r="R269" i="48"/>
  <c r="Q269" i="48"/>
  <c r="L269" i="48"/>
  <c r="M269" i="48" s="1"/>
  <c r="N269" i="48" s="1"/>
  <c r="O269" i="48" s="1"/>
  <c r="P269" i="48" s="1"/>
  <c r="K269" i="48"/>
  <c r="J269" i="48"/>
  <c r="H269" i="48"/>
  <c r="X269" i="48" s="1"/>
  <c r="AA269" i="48" s="1"/>
  <c r="W268" i="48"/>
  <c r="V268" i="48"/>
  <c r="T268" i="48"/>
  <c r="S268" i="48"/>
  <c r="R268" i="48"/>
  <c r="Q268" i="48"/>
  <c r="L268" i="48"/>
  <c r="M268" i="48" s="1"/>
  <c r="N268" i="48" s="1"/>
  <c r="O268" i="48" s="1"/>
  <c r="P268" i="48" s="1"/>
  <c r="K268" i="48"/>
  <c r="J268" i="48"/>
  <c r="H268" i="48"/>
  <c r="X268" i="48" s="1"/>
  <c r="AA268" i="48" s="1"/>
  <c r="W267" i="48"/>
  <c r="V267" i="48"/>
  <c r="T267" i="48"/>
  <c r="S267" i="48"/>
  <c r="R267" i="48"/>
  <c r="Q267" i="48"/>
  <c r="L267" i="48"/>
  <c r="M267" i="48" s="1"/>
  <c r="N267" i="48" s="1"/>
  <c r="O267" i="48" s="1"/>
  <c r="P267" i="48" s="1"/>
  <c r="K267" i="48"/>
  <c r="J267" i="48"/>
  <c r="H267" i="48"/>
  <c r="W266" i="48"/>
  <c r="V266" i="48"/>
  <c r="T266" i="48"/>
  <c r="S266" i="48"/>
  <c r="R266" i="48"/>
  <c r="Q266" i="48"/>
  <c r="L266" i="48"/>
  <c r="M266" i="48" s="1"/>
  <c r="N266" i="48" s="1"/>
  <c r="O266" i="48" s="1"/>
  <c r="P266" i="48" s="1"/>
  <c r="K266" i="48"/>
  <c r="J266" i="48"/>
  <c r="H266" i="48"/>
  <c r="I266" i="48" s="1"/>
  <c r="W265" i="48"/>
  <c r="V265" i="48"/>
  <c r="T265" i="48"/>
  <c r="S265" i="48"/>
  <c r="R265" i="48"/>
  <c r="Q265" i="48"/>
  <c r="L265" i="48"/>
  <c r="M265" i="48" s="1"/>
  <c r="N265" i="48" s="1"/>
  <c r="O265" i="48" s="1"/>
  <c r="P265" i="48" s="1"/>
  <c r="K265" i="48"/>
  <c r="J265" i="48"/>
  <c r="H265" i="48"/>
  <c r="X265" i="48" s="1"/>
  <c r="AA265" i="48" s="1"/>
  <c r="W264" i="48"/>
  <c r="V264" i="48"/>
  <c r="T264" i="48"/>
  <c r="S264" i="48"/>
  <c r="R264" i="48"/>
  <c r="Q264" i="48"/>
  <c r="L264" i="48"/>
  <c r="M264" i="48" s="1"/>
  <c r="N264" i="48" s="1"/>
  <c r="O264" i="48" s="1"/>
  <c r="P264" i="48" s="1"/>
  <c r="K264" i="48"/>
  <c r="J264" i="48"/>
  <c r="H264" i="48"/>
  <c r="X264" i="48" s="1"/>
  <c r="AA264" i="48" s="1"/>
  <c r="W263" i="48"/>
  <c r="V263" i="48"/>
  <c r="T263" i="48"/>
  <c r="S263" i="48"/>
  <c r="R263" i="48"/>
  <c r="Q263" i="48"/>
  <c r="L263" i="48"/>
  <c r="M263" i="48" s="1"/>
  <c r="N263" i="48" s="1"/>
  <c r="O263" i="48" s="1"/>
  <c r="P263" i="48" s="1"/>
  <c r="K263" i="48"/>
  <c r="J263" i="48"/>
  <c r="H263" i="48"/>
  <c r="W262" i="48"/>
  <c r="V262" i="48"/>
  <c r="T262" i="48"/>
  <c r="S262" i="48"/>
  <c r="R262" i="48"/>
  <c r="Q262" i="48"/>
  <c r="L262" i="48"/>
  <c r="M262" i="48" s="1"/>
  <c r="N262" i="48" s="1"/>
  <c r="O262" i="48" s="1"/>
  <c r="P262" i="48" s="1"/>
  <c r="K262" i="48"/>
  <c r="J262" i="48"/>
  <c r="H262" i="48"/>
  <c r="I262" i="48" s="1"/>
  <c r="W261" i="48"/>
  <c r="V261" i="48"/>
  <c r="T261" i="48"/>
  <c r="S261" i="48"/>
  <c r="R261" i="48"/>
  <c r="Q261" i="48"/>
  <c r="L261" i="48"/>
  <c r="M261" i="48" s="1"/>
  <c r="N261" i="48" s="1"/>
  <c r="O261" i="48" s="1"/>
  <c r="P261" i="48" s="1"/>
  <c r="K261" i="48"/>
  <c r="J261" i="48"/>
  <c r="H261" i="48"/>
  <c r="W260" i="48"/>
  <c r="V260" i="48"/>
  <c r="T260" i="48"/>
  <c r="S260" i="48"/>
  <c r="R260" i="48"/>
  <c r="Q260" i="48"/>
  <c r="L260" i="48"/>
  <c r="M260" i="48" s="1"/>
  <c r="N260" i="48" s="1"/>
  <c r="O260" i="48" s="1"/>
  <c r="P260" i="48" s="1"/>
  <c r="K260" i="48"/>
  <c r="J260" i="48"/>
  <c r="H260" i="48"/>
  <c r="W259" i="48"/>
  <c r="V259" i="48"/>
  <c r="T259" i="48"/>
  <c r="S259" i="48"/>
  <c r="R259" i="48"/>
  <c r="Q259" i="48"/>
  <c r="L259" i="48"/>
  <c r="M259" i="48" s="1"/>
  <c r="N259" i="48" s="1"/>
  <c r="O259" i="48" s="1"/>
  <c r="P259" i="48" s="1"/>
  <c r="K259" i="48"/>
  <c r="J259" i="48"/>
  <c r="H259" i="48"/>
  <c r="X259" i="48" s="1"/>
  <c r="AA259" i="48" s="1"/>
  <c r="W258" i="48"/>
  <c r="V258" i="48"/>
  <c r="T258" i="48"/>
  <c r="S258" i="48"/>
  <c r="R258" i="48"/>
  <c r="Q258" i="48"/>
  <c r="L258" i="48"/>
  <c r="M258" i="48" s="1"/>
  <c r="N258" i="48" s="1"/>
  <c r="O258" i="48" s="1"/>
  <c r="P258" i="48" s="1"/>
  <c r="K258" i="48"/>
  <c r="J258" i="48"/>
  <c r="H258" i="48"/>
  <c r="I258" i="48" s="1"/>
  <c r="W257" i="48"/>
  <c r="V257" i="48"/>
  <c r="T257" i="48"/>
  <c r="S257" i="48"/>
  <c r="R257" i="48"/>
  <c r="Q257" i="48"/>
  <c r="L257" i="48"/>
  <c r="M257" i="48" s="1"/>
  <c r="N257" i="48" s="1"/>
  <c r="O257" i="48" s="1"/>
  <c r="P257" i="48" s="1"/>
  <c r="K257" i="48"/>
  <c r="J257" i="48"/>
  <c r="H257" i="48"/>
  <c r="W256" i="48"/>
  <c r="V256" i="48"/>
  <c r="T256" i="48"/>
  <c r="S256" i="48"/>
  <c r="R256" i="48"/>
  <c r="Q256" i="48"/>
  <c r="L256" i="48"/>
  <c r="M256" i="48" s="1"/>
  <c r="N256" i="48" s="1"/>
  <c r="O256" i="48" s="1"/>
  <c r="P256" i="48" s="1"/>
  <c r="K256" i="48"/>
  <c r="J256" i="48"/>
  <c r="H256" i="48"/>
  <c r="X256" i="48" s="1"/>
  <c r="AA256" i="48" s="1"/>
  <c r="W255" i="48"/>
  <c r="V255" i="48"/>
  <c r="T255" i="48"/>
  <c r="S255" i="48"/>
  <c r="R255" i="48"/>
  <c r="Q255" i="48"/>
  <c r="L255" i="48"/>
  <c r="M255" i="48" s="1"/>
  <c r="N255" i="48" s="1"/>
  <c r="O255" i="48" s="1"/>
  <c r="P255" i="48" s="1"/>
  <c r="K255" i="48"/>
  <c r="J255" i="48"/>
  <c r="H255" i="48"/>
  <c r="X255" i="48" s="1"/>
  <c r="AA255" i="48" s="1"/>
  <c r="W254" i="48"/>
  <c r="V254" i="48"/>
  <c r="T254" i="48"/>
  <c r="S254" i="48"/>
  <c r="R254" i="48"/>
  <c r="Q254" i="48"/>
  <c r="L254" i="48"/>
  <c r="M254" i="48" s="1"/>
  <c r="N254" i="48" s="1"/>
  <c r="O254" i="48" s="1"/>
  <c r="P254" i="48" s="1"/>
  <c r="K254" i="48"/>
  <c r="J254" i="48"/>
  <c r="H254" i="48"/>
  <c r="I254" i="48" s="1"/>
  <c r="W253" i="48"/>
  <c r="V253" i="48"/>
  <c r="T253" i="48"/>
  <c r="S253" i="48"/>
  <c r="R253" i="48"/>
  <c r="Q253" i="48"/>
  <c r="L253" i="48"/>
  <c r="M253" i="48" s="1"/>
  <c r="N253" i="48" s="1"/>
  <c r="O253" i="48" s="1"/>
  <c r="P253" i="48" s="1"/>
  <c r="K253" i="48"/>
  <c r="J253" i="48"/>
  <c r="H253" i="48"/>
  <c r="X253" i="48" s="1"/>
  <c r="AA253" i="48" s="1"/>
  <c r="W252" i="48"/>
  <c r="V252" i="48"/>
  <c r="T252" i="48"/>
  <c r="S252" i="48"/>
  <c r="R252" i="48"/>
  <c r="Q252" i="48"/>
  <c r="L252" i="48"/>
  <c r="M252" i="48" s="1"/>
  <c r="N252" i="48" s="1"/>
  <c r="O252" i="48" s="1"/>
  <c r="P252" i="48" s="1"/>
  <c r="K252" i="48"/>
  <c r="J252" i="48"/>
  <c r="H252" i="48"/>
  <c r="W251" i="48"/>
  <c r="V251" i="48"/>
  <c r="T251" i="48"/>
  <c r="S251" i="48"/>
  <c r="R251" i="48"/>
  <c r="Q251" i="48"/>
  <c r="L251" i="48"/>
  <c r="M251" i="48" s="1"/>
  <c r="N251" i="48" s="1"/>
  <c r="O251" i="48" s="1"/>
  <c r="P251" i="48" s="1"/>
  <c r="K251" i="48"/>
  <c r="J251" i="48"/>
  <c r="H251" i="48"/>
  <c r="I251" i="48" s="1"/>
  <c r="W250" i="48"/>
  <c r="V250" i="48"/>
  <c r="T250" i="48"/>
  <c r="S250" i="48"/>
  <c r="R250" i="48"/>
  <c r="Q250" i="48"/>
  <c r="L250" i="48"/>
  <c r="M250" i="48" s="1"/>
  <c r="N250" i="48" s="1"/>
  <c r="O250" i="48" s="1"/>
  <c r="P250" i="48" s="1"/>
  <c r="K250" i="48"/>
  <c r="J250" i="48"/>
  <c r="H250" i="48"/>
  <c r="I250" i="48" s="1"/>
  <c r="W249" i="48"/>
  <c r="V249" i="48"/>
  <c r="T249" i="48"/>
  <c r="S249" i="48"/>
  <c r="R249" i="48"/>
  <c r="Q249" i="48"/>
  <c r="L249" i="48"/>
  <c r="M249" i="48" s="1"/>
  <c r="N249" i="48" s="1"/>
  <c r="O249" i="48" s="1"/>
  <c r="P249" i="48" s="1"/>
  <c r="K249" i="48"/>
  <c r="J249" i="48"/>
  <c r="H249" i="48"/>
  <c r="X249" i="48" s="1"/>
  <c r="AA249" i="48" s="1"/>
  <c r="W248" i="48"/>
  <c r="V248" i="48"/>
  <c r="T248" i="48"/>
  <c r="S248" i="48"/>
  <c r="R248" i="48"/>
  <c r="Q248" i="48"/>
  <c r="L248" i="48"/>
  <c r="M248" i="48" s="1"/>
  <c r="N248" i="48" s="1"/>
  <c r="O248" i="48" s="1"/>
  <c r="P248" i="48" s="1"/>
  <c r="K248" i="48"/>
  <c r="J248" i="48"/>
  <c r="H248" i="48"/>
  <c r="W247" i="48"/>
  <c r="V247" i="48"/>
  <c r="T247" i="48"/>
  <c r="S247" i="48"/>
  <c r="R247" i="48"/>
  <c r="Q247" i="48"/>
  <c r="L247" i="48"/>
  <c r="M247" i="48" s="1"/>
  <c r="N247" i="48" s="1"/>
  <c r="O247" i="48" s="1"/>
  <c r="P247" i="48" s="1"/>
  <c r="K247" i="48"/>
  <c r="J247" i="48"/>
  <c r="H247" i="48"/>
  <c r="W246" i="48"/>
  <c r="V246" i="48"/>
  <c r="T246" i="48"/>
  <c r="S246" i="48"/>
  <c r="R246" i="48"/>
  <c r="Q246" i="48"/>
  <c r="L246" i="48"/>
  <c r="M246" i="48" s="1"/>
  <c r="N246" i="48" s="1"/>
  <c r="O246" i="48" s="1"/>
  <c r="P246" i="48" s="1"/>
  <c r="K246" i="48"/>
  <c r="J246" i="48"/>
  <c r="H246" i="48"/>
  <c r="I246" i="48" s="1"/>
  <c r="W245" i="48"/>
  <c r="V245" i="48"/>
  <c r="T245" i="48"/>
  <c r="S245" i="48"/>
  <c r="R245" i="48"/>
  <c r="Q245" i="48"/>
  <c r="L245" i="48"/>
  <c r="M245" i="48" s="1"/>
  <c r="N245" i="48" s="1"/>
  <c r="O245" i="48" s="1"/>
  <c r="P245" i="48" s="1"/>
  <c r="K245" i="48"/>
  <c r="J245" i="48"/>
  <c r="H245" i="48"/>
  <c r="X245" i="48" s="1"/>
  <c r="AA245" i="48" s="1"/>
  <c r="W244" i="48"/>
  <c r="V244" i="48"/>
  <c r="T244" i="48"/>
  <c r="S244" i="48"/>
  <c r="R244" i="48"/>
  <c r="Q244" i="48"/>
  <c r="L244" i="48"/>
  <c r="M244" i="48" s="1"/>
  <c r="N244" i="48" s="1"/>
  <c r="O244" i="48" s="1"/>
  <c r="P244" i="48" s="1"/>
  <c r="K244" i="48"/>
  <c r="J244" i="48"/>
  <c r="H244" i="48"/>
  <c r="W243" i="48"/>
  <c r="V243" i="48"/>
  <c r="T243" i="48"/>
  <c r="S243" i="48"/>
  <c r="R243" i="48"/>
  <c r="Q243" i="48"/>
  <c r="L243" i="48"/>
  <c r="M243" i="48" s="1"/>
  <c r="N243" i="48" s="1"/>
  <c r="O243" i="48" s="1"/>
  <c r="P243" i="48" s="1"/>
  <c r="K243" i="48"/>
  <c r="J243" i="48"/>
  <c r="H243" i="48"/>
  <c r="X243" i="48" s="1"/>
  <c r="AA243" i="48" s="1"/>
  <c r="W242" i="48"/>
  <c r="V242" i="48"/>
  <c r="T242" i="48"/>
  <c r="S242" i="48"/>
  <c r="R242" i="48"/>
  <c r="Q242" i="48"/>
  <c r="L242" i="48"/>
  <c r="M242" i="48" s="1"/>
  <c r="N242" i="48" s="1"/>
  <c r="O242" i="48" s="1"/>
  <c r="P242" i="48" s="1"/>
  <c r="K242" i="48"/>
  <c r="J242" i="48"/>
  <c r="H242" i="48"/>
  <c r="I242" i="48" s="1"/>
  <c r="W241" i="48"/>
  <c r="V241" i="48"/>
  <c r="T241" i="48"/>
  <c r="S241" i="48"/>
  <c r="R241" i="48"/>
  <c r="Q241" i="48"/>
  <c r="L241" i="48"/>
  <c r="M241" i="48" s="1"/>
  <c r="N241" i="48" s="1"/>
  <c r="O241" i="48" s="1"/>
  <c r="P241" i="48" s="1"/>
  <c r="K241" i="48"/>
  <c r="J241" i="48"/>
  <c r="H241" i="48"/>
  <c r="X241" i="48" s="1"/>
  <c r="AA241" i="48" s="1"/>
  <c r="W240" i="48"/>
  <c r="V240" i="48"/>
  <c r="T240" i="48"/>
  <c r="S240" i="48"/>
  <c r="R240" i="48"/>
  <c r="Q240" i="48"/>
  <c r="L240" i="48"/>
  <c r="M240" i="48" s="1"/>
  <c r="N240" i="48" s="1"/>
  <c r="O240" i="48" s="1"/>
  <c r="P240" i="48" s="1"/>
  <c r="K240" i="48"/>
  <c r="J240" i="48"/>
  <c r="H240" i="48"/>
  <c r="X240" i="48" s="1"/>
  <c r="AA240" i="48" s="1"/>
  <c r="W239" i="48"/>
  <c r="V239" i="48"/>
  <c r="T239" i="48"/>
  <c r="S239" i="48"/>
  <c r="R239" i="48"/>
  <c r="Q239" i="48"/>
  <c r="L239" i="48"/>
  <c r="M239" i="48" s="1"/>
  <c r="N239" i="48" s="1"/>
  <c r="O239" i="48" s="1"/>
  <c r="P239" i="48" s="1"/>
  <c r="K239" i="48"/>
  <c r="J239" i="48"/>
  <c r="H239" i="48"/>
  <c r="W238" i="48"/>
  <c r="V238" i="48"/>
  <c r="T238" i="48"/>
  <c r="S238" i="48"/>
  <c r="R238" i="48"/>
  <c r="Q238" i="48"/>
  <c r="L238" i="48"/>
  <c r="M238" i="48" s="1"/>
  <c r="N238" i="48" s="1"/>
  <c r="O238" i="48" s="1"/>
  <c r="P238" i="48" s="1"/>
  <c r="K238" i="48"/>
  <c r="J238" i="48"/>
  <c r="H238" i="48"/>
  <c r="I238" i="48" s="1"/>
  <c r="W237" i="48"/>
  <c r="V237" i="48"/>
  <c r="T237" i="48"/>
  <c r="S237" i="48"/>
  <c r="R237" i="48"/>
  <c r="Q237" i="48"/>
  <c r="L237" i="48"/>
  <c r="M237" i="48" s="1"/>
  <c r="N237" i="48" s="1"/>
  <c r="O237" i="48" s="1"/>
  <c r="P237" i="48" s="1"/>
  <c r="K237" i="48"/>
  <c r="J237" i="48"/>
  <c r="H237" i="48"/>
  <c r="I237" i="48" s="1"/>
  <c r="W236" i="48"/>
  <c r="V236" i="48"/>
  <c r="T236" i="48"/>
  <c r="S236" i="48"/>
  <c r="R236" i="48"/>
  <c r="Q236" i="48"/>
  <c r="L236" i="48"/>
  <c r="M236" i="48" s="1"/>
  <c r="N236" i="48" s="1"/>
  <c r="O236" i="48" s="1"/>
  <c r="P236" i="48" s="1"/>
  <c r="K236" i="48"/>
  <c r="J236" i="48"/>
  <c r="H236" i="48"/>
  <c r="X236" i="48" s="1"/>
  <c r="AA236" i="48" s="1"/>
  <c r="W235" i="48"/>
  <c r="V235" i="48"/>
  <c r="T235" i="48"/>
  <c r="S235" i="48"/>
  <c r="R235" i="48"/>
  <c r="Q235" i="48"/>
  <c r="L235" i="48"/>
  <c r="M235" i="48" s="1"/>
  <c r="N235" i="48" s="1"/>
  <c r="O235" i="48" s="1"/>
  <c r="P235" i="48" s="1"/>
  <c r="K235" i="48"/>
  <c r="J235" i="48"/>
  <c r="H235" i="48"/>
  <c r="W234" i="48"/>
  <c r="V234" i="48"/>
  <c r="T234" i="48"/>
  <c r="S234" i="48"/>
  <c r="R234" i="48"/>
  <c r="Q234" i="48"/>
  <c r="L234" i="48"/>
  <c r="M234" i="48" s="1"/>
  <c r="N234" i="48" s="1"/>
  <c r="O234" i="48" s="1"/>
  <c r="P234" i="48" s="1"/>
  <c r="K234" i="48"/>
  <c r="J234" i="48"/>
  <c r="H234" i="48"/>
  <c r="I234" i="48" s="1"/>
  <c r="W233" i="48"/>
  <c r="V233" i="48"/>
  <c r="T233" i="48"/>
  <c r="S233" i="48"/>
  <c r="R233" i="48"/>
  <c r="Q233" i="48"/>
  <c r="L233" i="48"/>
  <c r="M233" i="48" s="1"/>
  <c r="N233" i="48" s="1"/>
  <c r="O233" i="48" s="1"/>
  <c r="P233" i="48" s="1"/>
  <c r="K233" i="48"/>
  <c r="J233" i="48"/>
  <c r="H233" i="48"/>
  <c r="I233" i="48" s="1"/>
  <c r="W232" i="48"/>
  <c r="V232" i="48"/>
  <c r="T232" i="48"/>
  <c r="S232" i="48"/>
  <c r="R232" i="48"/>
  <c r="Q232" i="48"/>
  <c r="L232" i="48"/>
  <c r="M232" i="48" s="1"/>
  <c r="N232" i="48" s="1"/>
  <c r="O232" i="48" s="1"/>
  <c r="P232" i="48" s="1"/>
  <c r="K232" i="48"/>
  <c r="J232" i="48"/>
  <c r="H232" i="48"/>
  <c r="X232" i="48" s="1"/>
  <c r="AA232" i="48" s="1"/>
  <c r="W231" i="48"/>
  <c r="V231" i="48"/>
  <c r="T231" i="48"/>
  <c r="S231" i="48"/>
  <c r="R231" i="48"/>
  <c r="Q231" i="48"/>
  <c r="L231" i="48"/>
  <c r="M231" i="48" s="1"/>
  <c r="N231" i="48" s="1"/>
  <c r="O231" i="48" s="1"/>
  <c r="P231" i="48" s="1"/>
  <c r="K231" i="48"/>
  <c r="J231" i="48"/>
  <c r="H231" i="48"/>
  <c r="I231" i="48" s="1"/>
  <c r="W230" i="48"/>
  <c r="V230" i="48"/>
  <c r="T230" i="48"/>
  <c r="S230" i="48"/>
  <c r="R230" i="48"/>
  <c r="Q230" i="48"/>
  <c r="L230" i="48"/>
  <c r="M230" i="48" s="1"/>
  <c r="N230" i="48" s="1"/>
  <c r="O230" i="48" s="1"/>
  <c r="P230" i="48" s="1"/>
  <c r="K230" i="48"/>
  <c r="J230" i="48"/>
  <c r="H230" i="48"/>
  <c r="I230" i="48" s="1"/>
  <c r="W229" i="48"/>
  <c r="V229" i="48"/>
  <c r="T229" i="48"/>
  <c r="S229" i="48"/>
  <c r="R229" i="48"/>
  <c r="Q229" i="48"/>
  <c r="L229" i="48"/>
  <c r="M229" i="48" s="1"/>
  <c r="N229" i="48" s="1"/>
  <c r="O229" i="48" s="1"/>
  <c r="P229" i="48" s="1"/>
  <c r="K229" i="48"/>
  <c r="J229" i="48"/>
  <c r="H229" i="48"/>
  <c r="W228" i="48"/>
  <c r="V228" i="48"/>
  <c r="T228" i="48"/>
  <c r="S228" i="48"/>
  <c r="R228" i="48"/>
  <c r="Q228" i="48"/>
  <c r="L228" i="48"/>
  <c r="M228" i="48" s="1"/>
  <c r="N228" i="48" s="1"/>
  <c r="O228" i="48" s="1"/>
  <c r="P228" i="48" s="1"/>
  <c r="K228" i="48"/>
  <c r="J228" i="48"/>
  <c r="H228" i="48"/>
  <c r="I228" i="48" s="1"/>
  <c r="W227" i="48"/>
  <c r="V227" i="48"/>
  <c r="T227" i="48"/>
  <c r="S227" i="48"/>
  <c r="R227" i="48"/>
  <c r="Q227" i="48"/>
  <c r="L227" i="48"/>
  <c r="M227" i="48" s="1"/>
  <c r="N227" i="48" s="1"/>
  <c r="O227" i="48" s="1"/>
  <c r="P227" i="48" s="1"/>
  <c r="K227" i="48"/>
  <c r="J227" i="48"/>
  <c r="H227" i="48"/>
  <c r="X227" i="48" s="1"/>
  <c r="AA227" i="48" s="1"/>
  <c r="W226" i="48"/>
  <c r="V226" i="48"/>
  <c r="T226" i="48"/>
  <c r="S226" i="48"/>
  <c r="R226" i="48"/>
  <c r="Q226" i="48"/>
  <c r="L226" i="48"/>
  <c r="M226" i="48" s="1"/>
  <c r="N226" i="48" s="1"/>
  <c r="O226" i="48" s="1"/>
  <c r="P226" i="48" s="1"/>
  <c r="K226" i="48"/>
  <c r="J226" i="48"/>
  <c r="H226" i="48"/>
  <c r="W225" i="48"/>
  <c r="V225" i="48"/>
  <c r="T225" i="48"/>
  <c r="S225" i="48"/>
  <c r="R225" i="48"/>
  <c r="Q225" i="48"/>
  <c r="L225" i="48"/>
  <c r="M225" i="48" s="1"/>
  <c r="N225" i="48" s="1"/>
  <c r="O225" i="48" s="1"/>
  <c r="P225" i="48" s="1"/>
  <c r="K225" i="48"/>
  <c r="J225" i="48"/>
  <c r="H225" i="48"/>
  <c r="I225" i="48" s="1"/>
  <c r="W224" i="48"/>
  <c r="V224" i="48"/>
  <c r="T224" i="48"/>
  <c r="S224" i="48"/>
  <c r="R224" i="48"/>
  <c r="Q224" i="48"/>
  <c r="L224" i="48"/>
  <c r="M224" i="48" s="1"/>
  <c r="N224" i="48" s="1"/>
  <c r="O224" i="48" s="1"/>
  <c r="P224" i="48" s="1"/>
  <c r="K224" i="48"/>
  <c r="J224" i="48"/>
  <c r="H224" i="48"/>
  <c r="W223" i="48"/>
  <c r="V223" i="48"/>
  <c r="T223" i="48"/>
  <c r="S223" i="48"/>
  <c r="R223" i="48"/>
  <c r="Q223" i="48"/>
  <c r="L223" i="48"/>
  <c r="M223" i="48" s="1"/>
  <c r="N223" i="48" s="1"/>
  <c r="O223" i="48" s="1"/>
  <c r="P223" i="48" s="1"/>
  <c r="K223" i="48"/>
  <c r="J223" i="48"/>
  <c r="H223" i="48"/>
  <c r="I223" i="48" s="1"/>
  <c r="W222" i="48"/>
  <c r="V222" i="48"/>
  <c r="T222" i="48"/>
  <c r="S222" i="48"/>
  <c r="R222" i="48"/>
  <c r="Q222" i="48"/>
  <c r="L222" i="48"/>
  <c r="M222" i="48" s="1"/>
  <c r="N222" i="48" s="1"/>
  <c r="O222" i="48" s="1"/>
  <c r="P222" i="48" s="1"/>
  <c r="K222" i="48"/>
  <c r="J222" i="48"/>
  <c r="H222" i="48"/>
  <c r="I222" i="48" s="1"/>
  <c r="W221" i="48"/>
  <c r="V221" i="48"/>
  <c r="T221" i="48"/>
  <c r="S221" i="48"/>
  <c r="R221" i="48"/>
  <c r="Q221" i="48"/>
  <c r="L221" i="48"/>
  <c r="M221" i="48" s="1"/>
  <c r="N221" i="48" s="1"/>
  <c r="O221" i="48" s="1"/>
  <c r="P221" i="48" s="1"/>
  <c r="K221" i="48"/>
  <c r="J221" i="48"/>
  <c r="H221" i="48"/>
  <c r="W220" i="48"/>
  <c r="V220" i="48"/>
  <c r="T220" i="48"/>
  <c r="S220" i="48"/>
  <c r="R220" i="48"/>
  <c r="Q220" i="48"/>
  <c r="L220" i="48"/>
  <c r="M220" i="48" s="1"/>
  <c r="N220" i="48" s="1"/>
  <c r="O220" i="48" s="1"/>
  <c r="P220" i="48" s="1"/>
  <c r="K220" i="48"/>
  <c r="J220" i="48"/>
  <c r="H220" i="48"/>
  <c r="I220" i="48" s="1"/>
  <c r="W219" i="48"/>
  <c r="V219" i="48"/>
  <c r="T219" i="48"/>
  <c r="S219" i="48"/>
  <c r="R219" i="48"/>
  <c r="Q219" i="48"/>
  <c r="L219" i="48"/>
  <c r="M219" i="48" s="1"/>
  <c r="N219" i="48" s="1"/>
  <c r="O219" i="48" s="1"/>
  <c r="P219" i="48" s="1"/>
  <c r="K219" i="48"/>
  <c r="J219" i="48"/>
  <c r="H219" i="48"/>
  <c r="X219" i="48" s="1"/>
  <c r="AA219" i="48" s="1"/>
  <c r="W218" i="48"/>
  <c r="V218" i="48"/>
  <c r="T218" i="48"/>
  <c r="S218" i="48"/>
  <c r="R218" i="48"/>
  <c r="Q218" i="48"/>
  <c r="L218" i="48"/>
  <c r="M218" i="48" s="1"/>
  <c r="N218" i="48" s="1"/>
  <c r="O218" i="48" s="1"/>
  <c r="P218" i="48" s="1"/>
  <c r="K218" i="48"/>
  <c r="J218" i="48"/>
  <c r="H218" i="48"/>
  <c r="W217" i="48"/>
  <c r="V217" i="48"/>
  <c r="T217" i="48"/>
  <c r="S217" i="48"/>
  <c r="R217" i="48"/>
  <c r="Q217" i="48"/>
  <c r="L217" i="48"/>
  <c r="M217" i="48" s="1"/>
  <c r="N217" i="48" s="1"/>
  <c r="O217" i="48" s="1"/>
  <c r="P217" i="48" s="1"/>
  <c r="K217" i="48"/>
  <c r="J217" i="48"/>
  <c r="H217" i="48"/>
  <c r="X217" i="48" s="1"/>
  <c r="AA217" i="48" s="1"/>
  <c r="W216" i="48"/>
  <c r="V216" i="48"/>
  <c r="T216" i="48"/>
  <c r="S216" i="48"/>
  <c r="R216" i="48"/>
  <c r="Q216" i="48"/>
  <c r="L216" i="48"/>
  <c r="M216" i="48" s="1"/>
  <c r="N216" i="48" s="1"/>
  <c r="O216" i="48" s="1"/>
  <c r="P216" i="48" s="1"/>
  <c r="K216" i="48"/>
  <c r="J216" i="48"/>
  <c r="H216" i="48"/>
  <c r="I216" i="48" s="1"/>
  <c r="W215" i="48"/>
  <c r="V215" i="48"/>
  <c r="T215" i="48"/>
  <c r="S215" i="48"/>
  <c r="R215" i="48"/>
  <c r="Q215" i="48"/>
  <c r="L215" i="48"/>
  <c r="M215" i="48" s="1"/>
  <c r="N215" i="48" s="1"/>
  <c r="O215" i="48" s="1"/>
  <c r="P215" i="48" s="1"/>
  <c r="K215" i="48"/>
  <c r="J215" i="48"/>
  <c r="H215" i="48"/>
  <c r="W214" i="48"/>
  <c r="V214" i="48"/>
  <c r="T214" i="48"/>
  <c r="S214" i="48"/>
  <c r="R214" i="48"/>
  <c r="Q214" i="48"/>
  <c r="L214" i="48"/>
  <c r="M214" i="48" s="1"/>
  <c r="N214" i="48" s="1"/>
  <c r="O214" i="48" s="1"/>
  <c r="P214" i="48" s="1"/>
  <c r="K214" i="48"/>
  <c r="J214" i="48"/>
  <c r="H214" i="48"/>
  <c r="I214" i="48" s="1"/>
  <c r="W213" i="48"/>
  <c r="V213" i="48"/>
  <c r="T213" i="48"/>
  <c r="S213" i="48"/>
  <c r="R213" i="48"/>
  <c r="Q213" i="48"/>
  <c r="L213" i="48"/>
  <c r="M213" i="48" s="1"/>
  <c r="N213" i="48" s="1"/>
  <c r="O213" i="48" s="1"/>
  <c r="P213" i="48" s="1"/>
  <c r="K213" i="48"/>
  <c r="J213" i="48"/>
  <c r="H213" i="48"/>
  <c r="X213" i="48" s="1"/>
  <c r="AA213" i="48" s="1"/>
  <c r="W212" i="48"/>
  <c r="V212" i="48"/>
  <c r="T212" i="48"/>
  <c r="S212" i="48"/>
  <c r="R212" i="48"/>
  <c r="Q212" i="48"/>
  <c r="L212" i="48"/>
  <c r="M212" i="48" s="1"/>
  <c r="N212" i="48" s="1"/>
  <c r="O212" i="48" s="1"/>
  <c r="P212" i="48" s="1"/>
  <c r="K212" i="48"/>
  <c r="J212" i="48"/>
  <c r="H212" i="48"/>
  <c r="I212" i="48" s="1"/>
  <c r="W211" i="48"/>
  <c r="V211" i="48"/>
  <c r="T211" i="48"/>
  <c r="S211" i="48"/>
  <c r="R211" i="48"/>
  <c r="Q211" i="48"/>
  <c r="L211" i="48"/>
  <c r="M211" i="48" s="1"/>
  <c r="N211" i="48" s="1"/>
  <c r="O211" i="48" s="1"/>
  <c r="P211" i="48" s="1"/>
  <c r="K211" i="48"/>
  <c r="J211" i="48"/>
  <c r="H211" i="48"/>
  <c r="X211" i="48" s="1"/>
  <c r="AA211" i="48" s="1"/>
  <c r="W210" i="48"/>
  <c r="V210" i="48"/>
  <c r="T210" i="48"/>
  <c r="S210" i="48"/>
  <c r="R210" i="48"/>
  <c r="Q210" i="48"/>
  <c r="L210" i="48"/>
  <c r="M210" i="48" s="1"/>
  <c r="N210" i="48" s="1"/>
  <c r="O210" i="48" s="1"/>
  <c r="P210" i="48" s="1"/>
  <c r="K210" i="48"/>
  <c r="J210" i="48"/>
  <c r="H210" i="48"/>
  <c r="I210" i="48" s="1"/>
  <c r="W209" i="48"/>
  <c r="V209" i="48"/>
  <c r="T209" i="48"/>
  <c r="S209" i="48"/>
  <c r="R209" i="48"/>
  <c r="Q209" i="48"/>
  <c r="L209" i="48"/>
  <c r="M209" i="48" s="1"/>
  <c r="N209" i="48" s="1"/>
  <c r="O209" i="48" s="1"/>
  <c r="P209" i="48" s="1"/>
  <c r="K209" i="48"/>
  <c r="J209" i="48"/>
  <c r="H209" i="48"/>
  <c r="X209" i="48" s="1"/>
  <c r="AA209" i="48" s="1"/>
  <c r="W208" i="48"/>
  <c r="V208" i="48"/>
  <c r="T208" i="48"/>
  <c r="S208" i="48"/>
  <c r="R208" i="48"/>
  <c r="Q208" i="48"/>
  <c r="L208" i="48"/>
  <c r="M208" i="48" s="1"/>
  <c r="N208" i="48" s="1"/>
  <c r="O208" i="48" s="1"/>
  <c r="P208" i="48" s="1"/>
  <c r="K208" i="48"/>
  <c r="J208" i="48"/>
  <c r="H208" i="48"/>
  <c r="I208" i="48" s="1"/>
  <c r="W207" i="48"/>
  <c r="V207" i="48"/>
  <c r="T207" i="48"/>
  <c r="S207" i="48"/>
  <c r="R207" i="48"/>
  <c r="Q207" i="48"/>
  <c r="L207" i="48"/>
  <c r="M207" i="48" s="1"/>
  <c r="N207" i="48" s="1"/>
  <c r="O207" i="48" s="1"/>
  <c r="P207" i="48" s="1"/>
  <c r="K207" i="48"/>
  <c r="J207" i="48"/>
  <c r="H207" i="48"/>
  <c r="X207" i="48" s="1"/>
  <c r="AA207" i="48" s="1"/>
  <c r="W206" i="48"/>
  <c r="V206" i="48"/>
  <c r="T206" i="48"/>
  <c r="S206" i="48"/>
  <c r="R206" i="48"/>
  <c r="Q206" i="48"/>
  <c r="L206" i="48"/>
  <c r="M206" i="48" s="1"/>
  <c r="N206" i="48" s="1"/>
  <c r="O206" i="48" s="1"/>
  <c r="P206" i="48" s="1"/>
  <c r="K206" i="48"/>
  <c r="J206" i="48"/>
  <c r="H206" i="48"/>
  <c r="I206" i="48" s="1"/>
  <c r="W205" i="48"/>
  <c r="V205" i="48"/>
  <c r="T205" i="48"/>
  <c r="S205" i="48"/>
  <c r="R205" i="48"/>
  <c r="Q205" i="48"/>
  <c r="L205" i="48"/>
  <c r="M205" i="48" s="1"/>
  <c r="N205" i="48" s="1"/>
  <c r="O205" i="48" s="1"/>
  <c r="P205" i="48" s="1"/>
  <c r="K205" i="48"/>
  <c r="J205" i="48"/>
  <c r="H205" i="48"/>
  <c r="W204" i="48"/>
  <c r="V204" i="48"/>
  <c r="T204" i="48"/>
  <c r="S204" i="48"/>
  <c r="R204" i="48"/>
  <c r="Q204" i="48"/>
  <c r="L204" i="48"/>
  <c r="M204" i="48" s="1"/>
  <c r="N204" i="48" s="1"/>
  <c r="O204" i="48" s="1"/>
  <c r="P204" i="48" s="1"/>
  <c r="K204" i="48"/>
  <c r="J204" i="48"/>
  <c r="H204" i="48"/>
  <c r="I204" i="48" s="1"/>
  <c r="W203" i="48"/>
  <c r="V203" i="48"/>
  <c r="T203" i="48"/>
  <c r="S203" i="48"/>
  <c r="R203" i="48"/>
  <c r="Q203" i="48"/>
  <c r="L203" i="48"/>
  <c r="M203" i="48" s="1"/>
  <c r="N203" i="48" s="1"/>
  <c r="O203" i="48" s="1"/>
  <c r="P203" i="48" s="1"/>
  <c r="K203" i="48"/>
  <c r="J203" i="48"/>
  <c r="H203" i="48"/>
  <c r="X203" i="48" s="1"/>
  <c r="AA203" i="48" s="1"/>
  <c r="W202" i="48"/>
  <c r="V202" i="48"/>
  <c r="T202" i="48"/>
  <c r="S202" i="48"/>
  <c r="R202" i="48"/>
  <c r="Q202" i="48"/>
  <c r="L202" i="48"/>
  <c r="M202" i="48" s="1"/>
  <c r="N202" i="48" s="1"/>
  <c r="O202" i="48" s="1"/>
  <c r="P202" i="48" s="1"/>
  <c r="K202" i="48"/>
  <c r="J202" i="48"/>
  <c r="H202" i="48"/>
  <c r="I202" i="48" s="1"/>
  <c r="W201" i="48"/>
  <c r="V201" i="48"/>
  <c r="T201" i="48"/>
  <c r="S201" i="48"/>
  <c r="R201" i="48"/>
  <c r="Q201" i="48"/>
  <c r="L201" i="48"/>
  <c r="M201" i="48" s="1"/>
  <c r="N201" i="48" s="1"/>
  <c r="O201" i="48" s="1"/>
  <c r="P201" i="48" s="1"/>
  <c r="K201" i="48"/>
  <c r="J201" i="48"/>
  <c r="H201" i="48"/>
  <c r="W200" i="48"/>
  <c r="V200" i="48"/>
  <c r="T200" i="48"/>
  <c r="S200" i="48"/>
  <c r="R200" i="48"/>
  <c r="Q200" i="48"/>
  <c r="L200" i="48"/>
  <c r="M200" i="48" s="1"/>
  <c r="N200" i="48" s="1"/>
  <c r="O200" i="48" s="1"/>
  <c r="P200" i="48" s="1"/>
  <c r="K200" i="48"/>
  <c r="J200" i="48"/>
  <c r="H200" i="48"/>
  <c r="I200" i="48" s="1"/>
  <c r="W199" i="48"/>
  <c r="V199" i="48"/>
  <c r="T199" i="48"/>
  <c r="S199" i="48"/>
  <c r="R199" i="48"/>
  <c r="Q199" i="48"/>
  <c r="L199" i="48"/>
  <c r="M199" i="48" s="1"/>
  <c r="N199" i="48" s="1"/>
  <c r="O199" i="48" s="1"/>
  <c r="P199" i="48" s="1"/>
  <c r="K199" i="48"/>
  <c r="J199" i="48"/>
  <c r="H199" i="48"/>
  <c r="X199" i="48" s="1"/>
  <c r="AA199" i="48" s="1"/>
  <c r="W198" i="48"/>
  <c r="V198" i="48"/>
  <c r="T198" i="48"/>
  <c r="S198" i="48"/>
  <c r="R198" i="48"/>
  <c r="Q198" i="48"/>
  <c r="L198" i="48"/>
  <c r="M198" i="48" s="1"/>
  <c r="N198" i="48" s="1"/>
  <c r="O198" i="48" s="1"/>
  <c r="P198" i="48" s="1"/>
  <c r="K198" i="48"/>
  <c r="J198" i="48"/>
  <c r="H198" i="48"/>
  <c r="I198" i="48" s="1"/>
  <c r="W197" i="48"/>
  <c r="V197" i="48"/>
  <c r="T197" i="48"/>
  <c r="S197" i="48"/>
  <c r="R197" i="48"/>
  <c r="Q197" i="48"/>
  <c r="L197" i="48"/>
  <c r="M197" i="48" s="1"/>
  <c r="N197" i="48" s="1"/>
  <c r="O197" i="48" s="1"/>
  <c r="P197" i="48" s="1"/>
  <c r="K197" i="48"/>
  <c r="J197" i="48"/>
  <c r="H197" i="48"/>
  <c r="X197" i="48" s="1"/>
  <c r="AA197" i="48" s="1"/>
  <c r="W196" i="48"/>
  <c r="V196" i="48"/>
  <c r="T196" i="48"/>
  <c r="S196" i="48"/>
  <c r="R196" i="48"/>
  <c r="Q196" i="48"/>
  <c r="L196" i="48"/>
  <c r="M196" i="48" s="1"/>
  <c r="N196" i="48" s="1"/>
  <c r="O196" i="48" s="1"/>
  <c r="P196" i="48" s="1"/>
  <c r="K196" i="48"/>
  <c r="J196" i="48"/>
  <c r="H196" i="48"/>
  <c r="I196" i="48" s="1"/>
  <c r="W195" i="48"/>
  <c r="V195" i="48"/>
  <c r="T195" i="48"/>
  <c r="S195" i="48"/>
  <c r="R195" i="48"/>
  <c r="Q195" i="48"/>
  <c r="L195" i="48"/>
  <c r="M195" i="48" s="1"/>
  <c r="N195" i="48" s="1"/>
  <c r="O195" i="48" s="1"/>
  <c r="P195" i="48" s="1"/>
  <c r="K195" i="48"/>
  <c r="J195" i="48"/>
  <c r="H195" i="48"/>
  <c r="X195" i="48" s="1"/>
  <c r="AA195" i="48" s="1"/>
  <c r="W194" i="48"/>
  <c r="V194" i="48"/>
  <c r="T194" i="48"/>
  <c r="S194" i="48"/>
  <c r="R194" i="48"/>
  <c r="Q194" i="48"/>
  <c r="L194" i="48"/>
  <c r="M194" i="48" s="1"/>
  <c r="N194" i="48" s="1"/>
  <c r="O194" i="48" s="1"/>
  <c r="P194" i="48" s="1"/>
  <c r="K194" i="48"/>
  <c r="J194" i="48"/>
  <c r="H194" i="48"/>
  <c r="I194" i="48" s="1"/>
  <c r="W193" i="48"/>
  <c r="V193" i="48"/>
  <c r="T193" i="48"/>
  <c r="S193" i="48"/>
  <c r="R193" i="48"/>
  <c r="Q193" i="48"/>
  <c r="L193" i="48"/>
  <c r="M193" i="48" s="1"/>
  <c r="N193" i="48" s="1"/>
  <c r="O193" i="48" s="1"/>
  <c r="P193" i="48" s="1"/>
  <c r="K193" i="48"/>
  <c r="J193" i="48"/>
  <c r="H193" i="48"/>
  <c r="X193" i="48" s="1"/>
  <c r="AA193" i="48" s="1"/>
  <c r="W192" i="48"/>
  <c r="V192" i="48"/>
  <c r="T192" i="48"/>
  <c r="S192" i="48"/>
  <c r="R192" i="48"/>
  <c r="Q192" i="48"/>
  <c r="L192" i="48"/>
  <c r="M192" i="48" s="1"/>
  <c r="N192" i="48" s="1"/>
  <c r="O192" i="48" s="1"/>
  <c r="P192" i="48" s="1"/>
  <c r="K192" i="48"/>
  <c r="J192" i="48"/>
  <c r="H192" i="48"/>
  <c r="I192" i="48" s="1"/>
  <c r="W191" i="48"/>
  <c r="V191" i="48"/>
  <c r="T191" i="48"/>
  <c r="S191" i="48"/>
  <c r="R191" i="48"/>
  <c r="Q191" i="48"/>
  <c r="L191" i="48"/>
  <c r="M191" i="48" s="1"/>
  <c r="N191" i="48" s="1"/>
  <c r="O191" i="48" s="1"/>
  <c r="P191" i="48" s="1"/>
  <c r="K191" i="48"/>
  <c r="J191" i="48"/>
  <c r="H191" i="48"/>
  <c r="X191" i="48" s="1"/>
  <c r="AA191" i="48" s="1"/>
  <c r="W190" i="48"/>
  <c r="V190" i="48"/>
  <c r="T190" i="48"/>
  <c r="S190" i="48"/>
  <c r="R190" i="48"/>
  <c r="Q190" i="48"/>
  <c r="L190" i="48"/>
  <c r="M190" i="48" s="1"/>
  <c r="N190" i="48" s="1"/>
  <c r="O190" i="48" s="1"/>
  <c r="P190" i="48" s="1"/>
  <c r="K190" i="48"/>
  <c r="J190" i="48"/>
  <c r="H190" i="48"/>
  <c r="I190" i="48" s="1"/>
  <c r="W189" i="48"/>
  <c r="V189" i="48"/>
  <c r="T189" i="48"/>
  <c r="S189" i="48"/>
  <c r="R189" i="48"/>
  <c r="Q189" i="48"/>
  <c r="L189" i="48"/>
  <c r="M189" i="48" s="1"/>
  <c r="N189" i="48" s="1"/>
  <c r="O189" i="48" s="1"/>
  <c r="P189" i="48" s="1"/>
  <c r="K189" i="48"/>
  <c r="J189" i="48"/>
  <c r="H189" i="48"/>
  <c r="W188" i="48"/>
  <c r="V188" i="48"/>
  <c r="T188" i="48"/>
  <c r="S188" i="48"/>
  <c r="R188" i="48"/>
  <c r="Q188" i="48"/>
  <c r="L188" i="48"/>
  <c r="M188" i="48" s="1"/>
  <c r="N188" i="48" s="1"/>
  <c r="O188" i="48" s="1"/>
  <c r="P188" i="48" s="1"/>
  <c r="K188" i="48"/>
  <c r="J188" i="48"/>
  <c r="H188" i="48"/>
  <c r="I188" i="48" s="1"/>
  <c r="W187" i="48"/>
  <c r="V187" i="48"/>
  <c r="T187" i="48"/>
  <c r="S187" i="48"/>
  <c r="R187" i="48"/>
  <c r="Q187" i="48"/>
  <c r="L187" i="48"/>
  <c r="M187" i="48" s="1"/>
  <c r="N187" i="48" s="1"/>
  <c r="O187" i="48" s="1"/>
  <c r="P187" i="48" s="1"/>
  <c r="K187" i="48"/>
  <c r="J187" i="48"/>
  <c r="H187" i="48"/>
  <c r="X187" i="48" s="1"/>
  <c r="AA187" i="48" s="1"/>
  <c r="W186" i="48"/>
  <c r="V186" i="48"/>
  <c r="T186" i="48"/>
  <c r="S186" i="48"/>
  <c r="R186" i="48"/>
  <c r="Q186" i="48"/>
  <c r="L186" i="48"/>
  <c r="M186" i="48" s="1"/>
  <c r="N186" i="48" s="1"/>
  <c r="O186" i="48" s="1"/>
  <c r="P186" i="48" s="1"/>
  <c r="K186" i="48"/>
  <c r="J186" i="48"/>
  <c r="H186" i="48"/>
  <c r="I186" i="48" s="1"/>
  <c r="W185" i="48"/>
  <c r="V185" i="48"/>
  <c r="T185" i="48"/>
  <c r="S185" i="48"/>
  <c r="R185" i="48"/>
  <c r="Q185" i="48"/>
  <c r="L185" i="48"/>
  <c r="M185" i="48" s="1"/>
  <c r="N185" i="48" s="1"/>
  <c r="O185" i="48" s="1"/>
  <c r="P185" i="48" s="1"/>
  <c r="K185" i="48"/>
  <c r="J185" i="48"/>
  <c r="H185" i="48"/>
  <c r="W184" i="48"/>
  <c r="V184" i="48"/>
  <c r="T184" i="48"/>
  <c r="S184" i="48"/>
  <c r="R184" i="48"/>
  <c r="Q184" i="48"/>
  <c r="L184" i="48"/>
  <c r="M184" i="48" s="1"/>
  <c r="N184" i="48" s="1"/>
  <c r="O184" i="48" s="1"/>
  <c r="P184" i="48" s="1"/>
  <c r="K184" i="48"/>
  <c r="J184" i="48"/>
  <c r="H184" i="48"/>
  <c r="I184" i="48" s="1"/>
  <c r="W183" i="48"/>
  <c r="V183" i="48"/>
  <c r="T183" i="48"/>
  <c r="S183" i="48"/>
  <c r="R183" i="48"/>
  <c r="Q183" i="48"/>
  <c r="L183" i="48"/>
  <c r="M183" i="48" s="1"/>
  <c r="N183" i="48" s="1"/>
  <c r="O183" i="48" s="1"/>
  <c r="P183" i="48" s="1"/>
  <c r="K183" i="48"/>
  <c r="J183" i="48"/>
  <c r="H183" i="48"/>
  <c r="W182" i="48"/>
  <c r="V182" i="48"/>
  <c r="T182" i="48"/>
  <c r="S182" i="48"/>
  <c r="R182" i="48"/>
  <c r="Q182" i="48"/>
  <c r="L182" i="48"/>
  <c r="M182" i="48" s="1"/>
  <c r="N182" i="48" s="1"/>
  <c r="O182" i="48" s="1"/>
  <c r="P182" i="48" s="1"/>
  <c r="K182" i="48"/>
  <c r="J182" i="48"/>
  <c r="H182" i="48"/>
  <c r="I182" i="48" s="1"/>
  <c r="W181" i="48"/>
  <c r="V181" i="48"/>
  <c r="T181" i="48"/>
  <c r="S181" i="48"/>
  <c r="R181" i="48"/>
  <c r="Q181" i="48"/>
  <c r="L181" i="48"/>
  <c r="M181" i="48" s="1"/>
  <c r="N181" i="48" s="1"/>
  <c r="O181" i="48" s="1"/>
  <c r="P181" i="48" s="1"/>
  <c r="K181" i="48"/>
  <c r="J181" i="48"/>
  <c r="H181" i="48"/>
  <c r="X181" i="48" s="1"/>
  <c r="AA181" i="48" s="1"/>
  <c r="W180" i="48"/>
  <c r="V180" i="48"/>
  <c r="T180" i="48"/>
  <c r="S180" i="48"/>
  <c r="R180" i="48"/>
  <c r="Q180" i="48"/>
  <c r="L180" i="48"/>
  <c r="M180" i="48" s="1"/>
  <c r="N180" i="48" s="1"/>
  <c r="O180" i="48" s="1"/>
  <c r="P180" i="48" s="1"/>
  <c r="K180" i="48"/>
  <c r="J180" i="48"/>
  <c r="H180" i="48"/>
  <c r="I180" i="48" s="1"/>
  <c r="W179" i="48"/>
  <c r="V179" i="48"/>
  <c r="T179" i="48"/>
  <c r="S179" i="48"/>
  <c r="R179" i="48"/>
  <c r="Q179" i="48"/>
  <c r="L179" i="48"/>
  <c r="M179" i="48" s="1"/>
  <c r="N179" i="48" s="1"/>
  <c r="O179" i="48" s="1"/>
  <c r="P179" i="48" s="1"/>
  <c r="K179" i="48"/>
  <c r="J179" i="48"/>
  <c r="H179" i="48"/>
  <c r="X179" i="48" s="1"/>
  <c r="AA179" i="48" s="1"/>
  <c r="W178" i="48"/>
  <c r="V178" i="48"/>
  <c r="T178" i="48"/>
  <c r="S178" i="48"/>
  <c r="R178" i="48"/>
  <c r="Q178" i="48"/>
  <c r="L178" i="48"/>
  <c r="M178" i="48" s="1"/>
  <c r="N178" i="48" s="1"/>
  <c r="O178" i="48" s="1"/>
  <c r="P178" i="48" s="1"/>
  <c r="K178" i="48"/>
  <c r="J178" i="48"/>
  <c r="H178" i="48"/>
  <c r="I178" i="48" s="1"/>
  <c r="W177" i="48"/>
  <c r="V177" i="48"/>
  <c r="T177" i="48"/>
  <c r="S177" i="48"/>
  <c r="R177" i="48"/>
  <c r="Q177" i="48"/>
  <c r="L177" i="48"/>
  <c r="M177" i="48" s="1"/>
  <c r="N177" i="48" s="1"/>
  <c r="O177" i="48" s="1"/>
  <c r="P177" i="48" s="1"/>
  <c r="K177" i="48"/>
  <c r="J177" i="48"/>
  <c r="H177" i="48"/>
  <c r="X177" i="48" s="1"/>
  <c r="AA177" i="48" s="1"/>
  <c r="W176" i="48"/>
  <c r="V176" i="48"/>
  <c r="T176" i="48"/>
  <c r="S176" i="48"/>
  <c r="R176" i="48"/>
  <c r="Q176" i="48"/>
  <c r="L176" i="48"/>
  <c r="M176" i="48" s="1"/>
  <c r="N176" i="48" s="1"/>
  <c r="O176" i="48" s="1"/>
  <c r="P176" i="48" s="1"/>
  <c r="K176" i="48"/>
  <c r="J176" i="48"/>
  <c r="H176" i="48"/>
  <c r="I176" i="48" s="1"/>
  <c r="W175" i="48"/>
  <c r="V175" i="48"/>
  <c r="T175" i="48"/>
  <c r="S175" i="48"/>
  <c r="R175" i="48"/>
  <c r="Q175" i="48"/>
  <c r="L175" i="48"/>
  <c r="M175" i="48" s="1"/>
  <c r="N175" i="48" s="1"/>
  <c r="O175" i="48" s="1"/>
  <c r="P175" i="48" s="1"/>
  <c r="K175" i="48"/>
  <c r="J175" i="48"/>
  <c r="H175" i="48"/>
  <c r="X175" i="48" s="1"/>
  <c r="AA175" i="48" s="1"/>
  <c r="W174" i="48"/>
  <c r="V174" i="48"/>
  <c r="T174" i="48"/>
  <c r="S174" i="48"/>
  <c r="R174" i="48"/>
  <c r="Q174" i="48"/>
  <c r="L174" i="48"/>
  <c r="M174" i="48" s="1"/>
  <c r="N174" i="48" s="1"/>
  <c r="O174" i="48" s="1"/>
  <c r="P174" i="48" s="1"/>
  <c r="K174" i="48"/>
  <c r="J174" i="48"/>
  <c r="H174" i="48"/>
  <c r="I174" i="48" s="1"/>
  <c r="W173" i="48"/>
  <c r="V173" i="48"/>
  <c r="T173" i="48"/>
  <c r="S173" i="48"/>
  <c r="R173" i="48"/>
  <c r="Q173" i="48"/>
  <c r="L173" i="48"/>
  <c r="M173" i="48" s="1"/>
  <c r="N173" i="48" s="1"/>
  <c r="O173" i="48" s="1"/>
  <c r="P173" i="48" s="1"/>
  <c r="K173" i="48"/>
  <c r="J173" i="48"/>
  <c r="H173" i="48"/>
  <c r="X173" i="48" s="1"/>
  <c r="AA173" i="48" s="1"/>
  <c r="W172" i="48"/>
  <c r="V172" i="48"/>
  <c r="T172" i="48"/>
  <c r="S172" i="48"/>
  <c r="R172" i="48"/>
  <c r="Q172" i="48"/>
  <c r="L172" i="48"/>
  <c r="M172" i="48" s="1"/>
  <c r="N172" i="48" s="1"/>
  <c r="O172" i="48" s="1"/>
  <c r="P172" i="48" s="1"/>
  <c r="K172" i="48"/>
  <c r="J172" i="48"/>
  <c r="H172" i="48"/>
  <c r="I172" i="48" s="1"/>
  <c r="W171" i="48"/>
  <c r="V171" i="48"/>
  <c r="T171" i="48"/>
  <c r="S171" i="48"/>
  <c r="R171" i="48"/>
  <c r="Q171" i="48"/>
  <c r="L171" i="48"/>
  <c r="M171" i="48" s="1"/>
  <c r="N171" i="48" s="1"/>
  <c r="O171" i="48" s="1"/>
  <c r="P171" i="48" s="1"/>
  <c r="K171" i="48"/>
  <c r="J171" i="48"/>
  <c r="H171" i="48"/>
  <c r="W170" i="48"/>
  <c r="V170" i="48"/>
  <c r="T170" i="48"/>
  <c r="S170" i="48"/>
  <c r="R170" i="48"/>
  <c r="Q170" i="48"/>
  <c r="L170" i="48"/>
  <c r="M170" i="48" s="1"/>
  <c r="N170" i="48" s="1"/>
  <c r="O170" i="48" s="1"/>
  <c r="P170" i="48" s="1"/>
  <c r="K170" i="48"/>
  <c r="J170" i="48"/>
  <c r="H170" i="48"/>
  <c r="I170" i="48" s="1"/>
  <c r="W169" i="48"/>
  <c r="V169" i="48"/>
  <c r="T169" i="48"/>
  <c r="S169" i="48"/>
  <c r="R169" i="48"/>
  <c r="Q169" i="48"/>
  <c r="L169" i="48"/>
  <c r="M169" i="48" s="1"/>
  <c r="N169" i="48" s="1"/>
  <c r="O169" i="48" s="1"/>
  <c r="P169" i="48" s="1"/>
  <c r="K169" i="48"/>
  <c r="J169" i="48"/>
  <c r="H169" i="48"/>
  <c r="X169" i="48" s="1"/>
  <c r="AA169" i="48" s="1"/>
  <c r="W168" i="48"/>
  <c r="V168" i="48"/>
  <c r="T168" i="48"/>
  <c r="S168" i="48"/>
  <c r="R168" i="48"/>
  <c r="Q168" i="48"/>
  <c r="L168" i="48"/>
  <c r="M168" i="48" s="1"/>
  <c r="N168" i="48" s="1"/>
  <c r="O168" i="48" s="1"/>
  <c r="P168" i="48" s="1"/>
  <c r="K168" i="48"/>
  <c r="J168" i="48"/>
  <c r="H168" i="48"/>
  <c r="I168" i="48" s="1"/>
  <c r="W167" i="48"/>
  <c r="V167" i="48"/>
  <c r="T167" i="48"/>
  <c r="S167" i="48"/>
  <c r="R167" i="48"/>
  <c r="Q167" i="48"/>
  <c r="L167" i="48"/>
  <c r="M167" i="48" s="1"/>
  <c r="N167" i="48" s="1"/>
  <c r="O167" i="48" s="1"/>
  <c r="P167" i="48" s="1"/>
  <c r="K167" i="48"/>
  <c r="J167" i="48"/>
  <c r="H167" i="48"/>
  <c r="X167" i="48" s="1"/>
  <c r="AA167" i="48" s="1"/>
  <c r="W166" i="48"/>
  <c r="V166" i="48"/>
  <c r="T166" i="48"/>
  <c r="S166" i="48"/>
  <c r="R166" i="48"/>
  <c r="Q166" i="48"/>
  <c r="L166" i="48"/>
  <c r="M166" i="48" s="1"/>
  <c r="N166" i="48" s="1"/>
  <c r="O166" i="48" s="1"/>
  <c r="P166" i="48" s="1"/>
  <c r="K166" i="48"/>
  <c r="J166" i="48"/>
  <c r="H166" i="48"/>
  <c r="I166" i="48" s="1"/>
  <c r="W165" i="48"/>
  <c r="V165" i="48"/>
  <c r="T165" i="48"/>
  <c r="S165" i="48"/>
  <c r="R165" i="48"/>
  <c r="Q165" i="48"/>
  <c r="L165" i="48"/>
  <c r="M165" i="48" s="1"/>
  <c r="N165" i="48" s="1"/>
  <c r="O165" i="48" s="1"/>
  <c r="P165" i="48" s="1"/>
  <c r="K165" i="48"/>
  <c r="J165" i="48"/>
  <c r="H165" i="48"/>
  <c r="W164" i="48"/>
  <c r="V164" i="48"/>
  <c r="T164" i="48"/>
  <c r="S164" i="48"/>
  <c r="R164" i="48"/>
  <c r="Q164" i="48"/>
  <c r="L164" i="48"/>
  <c r="M164" i="48" s="1"/>
  <c r="N164" i="48" s="1"/>
  <c r="O164" i="48" s="1"/>
  <c r="P164" i="48" s="1"/>
  <c r="K164" i="48"/>
  <c r="J164" i="48"/>
  <c r="H164" i="48"/>
  <c r="I164" i="48" s="1"/>
  <c r="W163" i="48"/>
  <c r="V163" i="48"/>
  <c r="T163" i="48"/>
  <c r="S163" i="48"/>
  <c r="R163" i="48"/>
  <c r="Q163" i="48"/>
  <c r="L163" i="48"/>
  <c r="M163" i="48" s="1"/>
  <c r="N163" i="48" s="1"/>
  <c r="O163" i="48" s="1"/>
  <c r="P163" i="48" s="1"/>
  <c r="K163" i="48"/>
  <c r="J163" i="48"/>
  <c r="H163" i="48"/>
  <c r="X163" i="48" s="1"/>
  <c r="AA163" i="48" s="1"/>
  <c r="W162" i="48"/>
  <c r="V162" i="48"/>
  <c r="T162" i="48"/>
  <c r="S162" i="48"/>
  <c r="R162" i="48"/>
  <c r="Q162" i="48"/>
  <c r="L162" i="48"/>
  <c r="M162" i="48" s="1"/>
  <c r="N162" i="48" s="1"/>
  <c r="O162" i="48" s="1"/>
  <c r="P162" i="48" s="1"/>
  <c r="K162" i="48"/>
  <c r="J162" i="48"/>
  <c r="H162" i="48"/>
  <c r="I162" i="48" s="1"/>
  <c r="W161" i="48"/>
  <c r="V161" i="48"/>
  <c r="T161" i="48"/>
  <c r="S161" i="48"/>
  <c r="R161" i="48"/>
  <c r="Q161" i="48"/>
  <c r="L161" i="48"/>
  <c r="M161" i="48" s="1"/>
  <c r="N161" i="48" s="1"/>
  <c r="O161" i="48" s="1"/>
  <c r="P161" i="48" s="1"/>
  <c r="K161" i="48"/>
  <c r="J161" i="48"/>
  <c r="H161" i="48"/>
  <c r="X161" i="48" s="1"/>
  <c r="AA161" i="48" s="1"/>
  <c r="W160" i="48"/>
  <c r="V160" i="48"/>
  <c r="T160" i="48"/>
  <c r="S160" i="48"/>
  <c r="R160" i="48"/>
  <c r="Q160" i="48"/>
  <c r="L160" i="48"/>
  <c r="M160" i="48" s="1"/>
  <c r="N160" i="48" s="1"/>
  <c r="O160" i="48" s="1"/>
  <c r="P160" i="48" s="1"/>
  <c r="K160" i="48"/>
  <c r="J160" i="48"/>
  <c r="H160" i="48"/>
  <c r="I160" i="48" s="1"/>
  <c r="W159" i="48"/>
  <c r="V159" i="48"/>
  <c r="T159" i="48"/>
  <c r="S159" i="48"/>
  <c r="R159" i="48"/>
  <c r="Q159" i="48"/>
  <c r="L159" i="48"/>
  <c r="M159" i="48" s="1"/>
  <c r="N159" i="48" s="1"/>
  <c r="O159" i="48" s="1"/>
  <c r="P159" i="48" s="1"/>
  <c r="K159" i="48"/>
  <c r="J159" i="48"/>
  <c r="H159" i="48"/>
  <c r="X159" i="48" s="1"/>
  <c r="AA159" i="48" s="1"/>
  <c r="W158" i="48"/>
  <c r="V158" i="48"/>
  <c r="T158" i="48"/>
  <c r="S158" i="48"/>
  <c r="R158" i="48"/>
  <c r="Q158" i="48"/>
  <c r="L158" i="48"/>
  <c r="M158" i="48" s="1"/>
  <c r="N158" i="48" s="1"/>
  <c r="O158" i="48" s="1"/>
  <c r="P158" i="48" s="1"/>
  <c r="K158" i="48"/>
  <c r="J158" i="48"/>
  <c r="H158" i="48"/>
  <c r="I158" i="48" s="1"/>
  <c r="W157" i="48"/>
  <c r="V157" i="48"/>
  <c r="T157" i="48"/>
  <c r="S157" i="48"/>
  <c r="R157" i="48"/>
  <c r="Q157" i="48"/>
  <c r="L157" i="48"/>
  <c r="M157" i="48" s="1"/>
  <c r="N157" i="48" s="1"/>
  <c r="O157" i="48" s="1"/>
  <c r="P157" i="48" s="1"/>
  <c r="K157" i="48"/>
  <c r="J157" i="48"/>
  <c r="H157" i="48"/>
  <c r="X157" i="48" s="1"/>
  <c r="AA157" i="48" s="1"/>
  <c r="W156" i="48"/>
  <c r="V156" i="48"/>
  <c r="T156" i="48"/>
  <c r="S156" i="48"/>
  <c r="R156" i="48"/>
  <c r="Q156" i="48"/>
  <c r="L156" i="48"/>
  <c r="M156" i="48" s="1"/>
  <c r="N156" i="48" s="1"/>
  <c r="O156" i="48" s="1"/>
  <c r="P156" i="48" s="1"/>
  <c r="K156" i="48"/>
  <c r="J156" i="48"/>
  <c r="H156" i="48"/>
  <c r="I156" i="48" s="1"/>
  <c r="W155" i="48"/>
  <c r="V155" i="48"/>
  <c r="T155" i="48"/>
  <c r="S155" i="48"/>
  <c r="R155" i="48"/>
  <c r="Q155" i="48"/>
  <c r="L155" i="48"/>
  <c r="M155" i="48" s="1"/>
  <c r="N155" i="48" s="1"/>
  <c r="O155" i="48" s="1"/>
  <c r="P155" i="48" s="1"/>
  <c r="K155" i="48"/>
  <c r="J155" i="48"/>
  <c r="H155" i="48"/>
  <c r="X155" i="48" s="1"/>
  <c r="AA155" i="48" s="1"/>
  <c r="W154" i="48"/>
  <c r="V154" i="48"/>
  <c r="T154" i="48"/>
  <c r="S154" i="48"/>
  <c r="R154" i="48"/>
  <c r="Q154" i="48"/>
  <c r="L154" i="48"/>
  <c r="M154" i="48" s="1"/>
  <c r="N154" i="48" s="1"/>
  <c r="O154" i="48" s="1"/>
  <c r="P154" i="48" s="1"/>
  <c r="K154" i="48"/>
  <c r="J154" i="48"/>
  <c r="H154" i="48"/>
  <c r="I154" i="48" s="1"/>
  <c r="W153" i="48"/>
  <c r="V153" i="48"/>
  <c r="T153" i="48"/>
  <c r="S153" i="48"/>
  <c r="R153" i="48"/>
  <c r="Q153" i="48"/>
  <c r="L153" i="48"/>
  <c r="M153" i="48" s="1"/>
  <c r="N153" i="48" s="1"/>
  <c r="O153" i="48" s="1"/>
  <c r="P153" i="48" s="1"/>
  <c r="K153" i="48"/>
  <c r="J153" i="48"/>
  <c r="H153" i="48"/>
  <c r="X153" i="48" s="1"/>
  <c r="AA153" i="48" s="1"/>
  <c r="W152" i="48"/>
  <c r="V152" i="48"/>
  <c r="T152" i="48"/>
  <c r="S152" i="48"/>
  <c r="R152" i="48"/>
  <c r="Q152" i="48"/>
  <c r="L152" i="48"/>
  <c r="M152" i="48" s="1"/>
  <c r="N152" i="48" s="1"/>
  <c r="O152" i="48" s="1"/>
  <c r="P152" i="48" s="1"/>
  <c r="K152" i="48"/>
  <c r="J152" i="48"/>
  <c r="H152" i="48"/>
  <c r="I152" i="48" s="1"/>
  <c r="W151" i="48"/>
  <c r="V151" i="48"/>
  <c r="T151" i="48"/>
  <c r="S151" i="48"/>
  <c r="R151" i="48"/>
  <c r="Q151" i="48"/>
  <c r="L151" i="48"/>
  <c r="M151" i="48" s="1"/>
  <c r="N151" i="48" s="1"/>
  <c r="O151" i="48" s="1"/>
  <c r="P151" i="48" s="1"/>
  <c r="K151" i="48"/>
  <c r="J151" i="48"/>
  <c r="H151" i="48"/>
  <c r="X151" i="48" s="1"/>
  <c r="AA151" i="48" s="1"/>
  <c r="W150" i="48"/>
  <c r="V150" i="48"/>
  <c r="T150" i="48"/>
  <c r="S150" i="48"/>
  <c r="R150" i="48"/>
  <c r="Q150" i="48"/>
  <c r="L150" i="48"/>
  <c r="M150" i="48" s="1"/>
  <c r="N150" i="48" s="1"/>
  <c r="O150" i="48" s="1"/>
  <c r="P150" i="48" s="1"/>
  <c r="K150" i="48"/>
  <c r="J150" i="48"/>
  <c r="H150" i="48"/>
  <c r="I150" i="48" s="1"/>
  <c r="W149" i="48"/>
  <c r="V149" i="48"/>
  <c r="T149" i="48"/>
  <c r="S149" i="48"/>
  <c r="R149" i="48"/>
  <c r="Q149" i="48"/>
  <c r="L149" i="48"/>
  <c r="M149" i="48" s="1"/>
  <c r="N149" i="48" s="1"/>
  <c r="O149" i="48" s="1"/>
  <c r="P149" i="48" s="1"/>
  <c r="K149" i="48"/>
  <c r="J149" i="48"/>
  <c r="H149" i="48"/>
  <c r="X149" i="48" s="1"/>
  <c r="AA149" i="48" s="1"/>
  <c r="W148" i="48"/>
  <c r="V148" i="48"/>
  <c r="T148" i="48"/>
  <c r="S148" i="48"/>
  <c r="R148" i="48"/>
  <c r="Q148" i="48"/>
  <c r="L148" i="48"/>
  <c r="M148" i="48" s="1"/>
  <c r="N148" i="48" s="1"/>
  <c r="O148" i="48" s="1"/>
  <c r="P148" i="48" s="1"/>
  <c r="K148" i="48"/>
  <c r="J148" i="48"/>
  <c r="H148" i="48"/>
  <c r="I148" i="48" s="1"/>
  <c r="W147" i="48"/>
  <c r="V147" i="48"/>
  <c r="T147" i="48"/>
  <c r="S147" i="48"/>
  <c r="R147" i="48"/>
  <c r="Q147" i="48"/>
  <c r="L147" i="48"/>
  <c r="M147" i="48" s="1"/>
  <c r="N147" i="48" s="1"/>
  <c r="O147" i="48" s="1"/>
  <c r="P147" i="48" s="1"/>
  <c r="K147" i="48"/>
  <c r="J147" i="48"/>
  <c r="H147" i="48"/>
  <c r="X147" i="48" s="1"/>
  <c r="AA147" i="48" s="1"/>
  <c r="W146" i="48"/>
  <c r="V146" i="48"/>
  <c r="T146" i="48"/>
  <c r="S146" i="48"/>
  <c r="R146" i="48"/>
  <c r="Q146" i="48"/>
  <c r="L146" i="48"/>
  <c r="M146" i="48" s="1"/>
  <c r="N146" i="48" s="1"/>
  <c r="O146" i="48" s="1"/>
  <c r="P146" i="48" s="1"/>
  <c r="K146" i="48"/>
  <c r="J146" i="48"/>
  <c r="H146" i="48"/>
  <c r="I146" i="48" s="1"/>
  <c r="W145" i="48"/>
  <c r="V145" i="48"/>
  <c r="T145" i="48"/>
  <c r="S145" i="48"/>
  <c r="R145" i="48"/>
  <c r="Q145" i="48"/>
  <c r="L145" i="48"/>
  <c r="M145" i="48" s="1"/>
  <c r="N145" i="48" s="1"/>
  <c r="O145" i="48" s="1"/>
  <c r="P145" i="48" s="1"/>
  <c r="K145" i="48"/>
  <c r="J145" i="48"/>
  <c r="H145" i="48"/>
  <c r="X145" i="48" s="1"/>
  <c r="AA145" i="48" s="1"/>
  <c r="W144" i="48"/>
  <c r="V144" i="48"/>
  <c r="T144" i="48"/>
  <c r="S144" i="48"/>
  <c r="R144" i="48"/>
  <c r="Q144" i="48"/>
  <c r="L144" i="48"/>
  <c r="M144" i="48" s="1"/>
  <c r="N144" i="48" s="1"/>
  <c r="O144" i="48" s="1"/>
  <c r="P144" i="48" s="1"/>
  <c r="K144" i="48"/>
  <c r="J144" i="48"/>
  <c r="H144" i="48"/>
  <c r="I144" i="48" s="1"/>
  <c r="W143" i="48"/>
  <c r="V143" i="48"/>
  <c r="T143" i="48"/>
  <c r="S143" i="48"/>
  <c r="R143" i="48"/>
  <c r="Q143" i="48"/>
  <c r="L143" i="48"/>
  <c r="M143" i="48" s="1"/>
  <c r="N143" i="48" s="1"/>
  <c r="O143" i="48" s="1"/>
  <c r="P143" i="48" s="1"/>
  <c r="K143" i="48"/>
  <c r="J143" i="48"/>
  <c r="H143" i="48"/>
  <c r="X143" i="48" s="1"/>
  <c r="AA143" i="48" s="1"/>
  <c r="W142" i="48"/>
  <c r="V142" i="48"/>
  <c r="T142" i="48"/>
  <c r="S142" i="48"/>
  <c r="R142" i="48"/>
  <c r="Q142" i="48"/>
  <c r="L142" i="48"/>
  <c r="M142" i="48" s="1"/>
  <c r="N142" i="48" s="1"/>
  <c r="O142" i="48" s="1"/>
  <c r="P142" i="48" s="1"/>
  <c r="K142" i="48"/>
  <c r="J142" i="48"/>
  <c r="H142" i="48"/>
  <c r="I142" i="48" s="1"/>
  <c r="W141" i="48"/>
  <c r="V141" i="48"/>
  <c r="T141" i="48"/>
  <c r="S141" i="48"/>
  <c r="R141" i="48"/>
  <c r="Q141" i="48"/>
  <c r="L141" i="48"/>
  <c r="M141" i="48" s="1"/>
  <c r="N141" i="48" s="1"/>
  <c r="O141" i="48" s="1"/>
  <c r="P141" i="48" s="1"/>
  <c r="K141" i="48"/>
  <c r="J141" i="48"/>
  <c r="H141" i="48"/>
  <c r="X141" i="48" s="1"/>
  <c r="AA141" i="48" s="1"/>
  <c r="W140" i="48"/>
  <c r="V140" i="48"/>
  <c r="T140" i="48"/>
  <c r="S140" i="48"/>
  <c r="R140" i="48"/>
  <c r="Q140" i="48"/>
  <c r="L140" i="48"/>
  <c r="M140" i="48" s="1"/>
  <c r="N140" i="48" s="1"/>
  <c r="O140" i="48" s="1"/>
  <c r="P140" i="48" s="1"/>
  <c r="K140" i="48"/>
  <c r="J140" i="48"/>
  <c r="H140" i="48"/>
  <c r="I140" i="48" s="1"/>
  <c r="W139" i="48"/>
  <c r="V139" i="48"/>
  <c r="T139" i="48"/>
  <c r="S139" i="48"/>
  <c r="R139" i="48"/>
  <c r="Q139" i="48"/>
  <c r="L139" i="48"/>
  <c r="M139" i="48" s="1"/>
  <c r="N139" i="48" s="1"/>
  <c r="O139" i="48" s="1"/>
  <c r="P139" i="48" s="1"/>
  <c r="K139" i="48"/>
  <c r="J139" i="48"/>
  <c r="H139" i="48"/>
  <c r="X139" i="48" s="1"/>
  <c r="AA139" i="48" s="1"/>
  <c r="W138" i="48"/>
  <c r="V138" i="48"/>
  <c r="T138" i="48"/>
  <c r="S138" i="48"/>
  <c r="R138" i="48"/>
  <c r="Q138" i="48"/>
  <c r="L138" i="48"/>
  <c r="M138" i="48" s="1"/>
  <c r="N138" i="48" s="1"/>
  <c r="O138" i="48" s="1"/>
  <c r="P138" i="48" s="1"/>
  <c r="K138" i="48"/>
  <c r="J138" i="48"/>
  <c r="H138" i="48"/>
  <c r="I138" i="48" s="1"/>
  <c r="W137" i="48"/>
  <c r="V137" i="48"/>
  <c r="T137" i="48"/>
  <c r="S137" i="48"/>
  <c r="R137" i="48"/>
  <c r="Q137" i="48"/>
  <c r="L137" i="48"/>
  <c r="M137" i="48" s="1"/>
  <c r="N137" i="48" s="1"/>
  <c r="O137" i="48" s="1"/>
  <c r="P137" i="48" s="1"/>
  <c r="K137" i="48"/>
  <c r="J137" i="48"/>
  <c r="H137" i="48"/>
  <c r="X137" i="48" s="1"/>
  <c r="AA137" i="48" s="1"/>
  <c r="W136" i="48"/>
  <c r="V136" i="48"/>
  <c r="T136" i="48"/>
  <c r="S136" i="48"/>
  <c r="R136" i="48"/>
  <c r="Q136" i="48"/>
  <c r="L136" i="48"/>
  <c r="M136" i="48" s="1"/>
  <c r="N136" i="48" s="1"/>
  <c r="O136" i="48" s="1"/>
  <c r="P136" i="48" s="1"/>
  <c r="K136" i="48"/>
  <c r="J136" i="48"/>
  <c r="H136" i="48"/>
  <c r="I136" i="48" s="1"/>
  <c r="W135" i="48"/>
  <c r="V135" i="48"/>
  <c r="T135" i="48"/>
  <c r="S135" i="48"/>
  <c r="R135" i="48"/>
  <c r="Q135" i="48"/>
  <c r="L135" i="48"/>
  <c r="M135" i="48" s="1"/>
  <c r="N135" i="48" s="1"/>
  <c r="O135" i="48" s="1"/>
  <c r="P135" i="48" s="1"/>
  <c r="K135" i="48"/>
  <c r="J135" i="48"/>
  <c r="H135" i="48"/>
  <c r="X135" i="48" s="1"/>
  <c r="AA135" i="48" s="1"/>
  <c r="W134" i="48"/>
  <c r="V134" i="48"/>
  <c r="T134" i="48"/>
  <c r="S134" i="48"/>
  <c r="R134" i="48"/>
  <c r="Q134" i="48"/>
  <c r="L134" i="48"/>
  <c r="M134" i="48" s="1"/>
  <c r="N134" i="48" s="1"/>
  <c r="O134" i="48" s="1"/>
  <c r="P134" i="48" s="1"/>
  <c r="K134" i="48"/>
  <c r="J134" i="48"/>
  <c r="H134" i="48"/>
  <c r="I134" i="48" s="1"/>
  <c r="W133" i="48"/>
  <c r="V133" i="48"/>
  <c r="T133" i="48"/>
  <c r="S133" i="48"/>
  <c r="R133" i="48"/>
  <c r="Q133" i="48"/>
  <c r="L133" i="48"/>
  <c r="M133" i="48" s="1"/>
  <c r="N133" i="48" s="1"/>
  <c r="O133" i="48" s="1"/>
  <c r="P133" i="48" s="1"/>
  <c r="K133" i="48"/>
  <c r="J133" i="48"/>
  <c r="H133" i="48"/>
  <c r="X133" i="48" s="1"/>
  <c r="AA133" i="48" s="1"/>
  <c r="W132" i="48"/>
  <c r="V132" i="48"/>
  <c r="T132" i="48"/>
  <c r="S132" i="48"/>
  <c r="R132" i="48"/>
  <c r="Q132" i="48"/>
  <c r="L132" i="48"/>
  <c r="M132" i="48" s="1"/>
  <c r="N132" i="48" s="1"/>
  <c r="O132" i="48" s="1"/>
  <c r="P132" i="48" s="1"/>
  <c r="K132" i="48"/>
  <c r="J132" i="48"/>
  <c r="H132" i="48"/>
  <c r="I132" i="48" s="1"/>
  <c r="W131" i="48"/>
  <c r="V131" i="48"/>
  <c r="T131" i="48"/>
  <c r="S131" i="48"/>
  <c r="R131" i="48"/>
  <c r="Q131" i="48"/>
  <c r="L131" i="48"/>
  <c r="M131" i="48" s="1"/>
  <c r="N131" i="48" s="1"/>
  <c r="O131" i="48" s="1"/>
  <c r="P131" i="48" s="1"/>
  <c r="K131" i="48"/>
  <c r="J131" i="48"/>
  <c r="H131" i="48"/>
  <c r="X131" i="48" s="1"/>
  <c r="AA131" i="48" s="1"/>
  <c r="W130" i="48"/>
  <c r="V130" i="48"/>
  <c r="T130" i="48"/>
  <c r="S130" i="48"/>
  <c r="R130" i="48"/>
  <c r="Q130" i="48"/>
  <c r="L130" i="48"/>
  <c r="M130" i="48" s="1"/>
  <c r="N130" i="48" s="1"/>
  <c r="O130" i="48" s="1"/>
  <c r="P130" i="48" s="1"/>
  <c r="K130" i="48"/>
  <c r="J130" i="48"/>
  <c r="H130" i="48"/>
  <c r="I130" i="48" s="1"/>
  <c r="W129" i="48"/>
  <c r="V129" i="48"/>
  <c r="T129" i="48"/>
  <c r="S129" i="48"/>
  <c r="R129" i="48"/>
  <c r="Q129" i="48"/>
  <c r="L129" i="48"/>
  <c r="M129" i="48" s="1"/>
  <c r="N129" i="48" s="1"/>
  <c r="O129" i="48" s="1"/>
  <c r="P129" i="48" s="1"/>
  <c r="K129" i="48"/>
  <c r="J129" i="48"/>
  <c r="H129" i="48"/>
  <c r="X129" i="48" s="1"/>
  <c r="AA129" i="48" s="1"/>
  <c r="W128" i="48"/>
  <c r="V128" i="48"/>
  <c r="T128" i="48"/>
  <c r="S128" i="48"/>
  <c r="R128" i="48"/>
  <c r="Q128" i="48"/>
  <c r="L128" i="48"/>
  <c r="M128" i="48" s="1"/>
  <c r="N128" i="48" s="1"/>
  <c r="O128" i="48" s="1"/>
  <c r="P128" i="48" s="1"/>
  <c r="K128" i="48"/>
  <c r="J128" i="48"/>
  <c r="H128" i="48"/>
  <c r="I128" i="48" s="1"/>
  <c r="W127" i="48"/>
  <c r="V127" i="48"/>
  <c r="T127" i="48"/>
  <c r="S127" i="48"/>
  <c r="R127" i="48"/>
  <c r="Q127" i="48"/>
  <c r="L127" i="48"/>
  <c r="M127" i="48" s="1"/>
  <c r="N127" i="48" s="1"/>
  <c r="O127" i="48" s="1"/>
  <c r="P127" i="48" s="1"/>
  <c r="K127" i="48"/>
  <c r="J127" i="48"/>
  <c r="H127" i="48"/>
  <c r="X127" i="48" s="1"/>
  <c r="AA127" i="48" s="1"/>
  <c r="W126" i="48"/>
  <c r="V126" i="48"/>
  <c r="T126" i="48"/>
  <c r="S126" i="48"/>
  <c r="R126" i="48"/>
  <c r="Q126" i="48"/>
  <c r="L126" i="48"/>
  <c r="M126" i="48" s="1"/>
  <c r="N126" i="48" s="1"/>
  <c r="O126" i="48" s="1"/>
  <c r="P126" i="48" s="1"/>
  <c r="K126" i="48"/>
  <c r="J126" i="48"/>
  <c r="H126" i="48"/>
  <c r="I126" i="48" s="1"/>
  <c r="W125" i="48"/>
  <c r="V125" i="48"/>
  <c r="T125" i="48"/>
  <c r="S125" i="48"/>
  <c r="R125" i="48"/>
  <c r="Q125" i="48"/>
  <c r="L125" i="48"/>
  <c r="M125" i="48" s="1"/>
  <c r="N125" i="48" s="1"/>
  <c r="O125" i="48" s="1"/>
  <c r="P125" i="48" s="1"/>
  <c r="K125" i="48"/>
  <c r="J125" i="48"/>
  <c r="H125" i="48"/>
  <c r="X125" i="48" s="1"/>
  <c r="AA125" i="48" s="1"/>
  <c r="W124" i="48"/>
  <c r="V124" i="48"/>
  <c r="T124" i="48"/>
  <c r="S124" i="48"/>
  <c r="R124" i="48"/>
  <c r="Q124" i="48"/>
  <c r="L124" i="48"/>
  <c r="M124" i="48" s="1"/>
  <c r="N124" i="48" s="1"/>
  <c r="O124" i="48" s="1"/>
  <c r="P124" i="48" s="1"/>
  <c r="K124" i="48"/>
  <c r="J124" i="48"/>
  <c r="H124" i="48"/>
  <c r="I124" i="48" s="1"/>
  <c r="W123" i="48"/>
  <c r="V123" i="48"/>
  <c r="T123" i="48"/>
  <c r="S123" i="48"/>
  <c r="R123" i="48"/>
  <c r="Q123" i="48"/>
  <c r="L123" i="48"/>
  <c r="M123" i="48" s="1"/>
  <c r="N123" i="48" s="1"/>
  <c r="O123" i="48" s="1"/>
  <c r="P123" i="48" s="1"/>
  <c r="K123" i="48"/>
  <c r="J123" i="48"/>
  <c r="H123" i="48"/>
  <c r="X123" i="48" s="1"/>
  <c r="AA123" i="48" s="1"/>
  <c r="W122" i="48"/>
  <c r="V122" i="48"/>
  <c r="T122" i="48"/>
  <c r="S122" i="48"/>
  <c r="R122" i="48"/>
  <c r="Q122" i="48"/>
  <c r="L122" i="48"/>
  <c r="M122" i="48" s="1"/>
  <c r="N122" i="48" s="1"/>
  <c r="O122" i="48" s="1"/>
  <c r="P122" i="48" s="1"/>
  <c r="K122" i="48"/>
  <c r="J122" i="48"/>
  <c r="H122" i="48"/>
  <c r="I122" i="48" s="1"/>
  <c r="W121" i="48"/>
  <c r="V121" i="48"/>
  <c r="T121" i="48"/>
  <c r="S121" i="48"/>
  <c r="R121" i="48"/>
  <c r="Q121" i="48"/>
  <c r="L121" i="48"/>
  <c r="M121" i="48" s="1"/>
  <c r="N121" i="48" s="1"/>
  <c r="O121" i="48" s="1"/>
  <c r="P121" i="48" s="1"/>
  <c r="K121" i="48"/>
  <c r="J121" i="48"/>
  <c r="H121" i="48"/>
  <c r="X121" i="48" s="1"/>
  <c r="AA121" i="48" s="1"/>
  <c r="W120" i="48"/>
  <c r="V120" i="48"/>
  <c r="T120" i="48"/>
  <c r="S120" i="48"/>
  <c r="R120" i="48"/>
  <c r="Q120" i="48"/>
  <c r="L120" i="48"/>
  <c r="M120" i="48" s="1"/>
  <c r="N120" i="48" s="1"/>
  <c r="O120" i="48" s="1"/>
  <c r="P120" i="48" s="1"/>
  <c r="K120" i="48"/>
  <c r="J120" i="48"/>
  <c r="H120" i="48"/>
  <c r="I120" i="48" s="1"/>
  <c r="W119" i="48"/>
  <c r="V119" i="48"/>
  <c r="T119" i="48"/>
  <c r="S119" i="48"/>
  <c r="R119" i="48"/>
  <c r="Q119" i="48"/>
  <c r="L119" i="48"/>
  <c r="M119" i="48" s="1"/>
  <c r="N119" i="48" s="1"/>
  <c r="O119" i="48" s="1"/>
  <c r="P119" i="48" s="1"/>
  <c r="K119" i="48"/>
  <c r="J119" i="48"/>
  <c r="H119" i="48"/>
  <c r="X119" i="48" s="1"/>
  <c r="AA119" i="48" s="1"/>
  <c r="W118" i="48"/>
  <c r="V118" i="48"/>
  <c r="T118" i="48"/>
  <c r="S118" i="48"/>
  <c r="R118" i="48"/>
  <c r="Q118" i="48"/>
  <c r="L118" i="48"/>
  <c r="M118" i="48" s="1"/>
  <c r="N118" i="48" s="1"/>
  <c r="O118" i="48" s="1"/>
  <c r="P118" i="48" s="1"/>
  <c r="K118" i="48"/>
  <c r="J118" i="48"/>
  <c r="H118" i="48"/>
  <c r="I118" i="48" s="1"/>
  <c r="W117" i="48"/>
  <c r="V117" i="48"/>
  <c r="T117" i="48"/>
  <c r="S117" i="48"/>
  <c r="R117" i="48"/>
  <c r="Q117" i="48"/>
  <c r="L117" i="48"/>
  <c r="M117" i="48" s="1"/>
  <c r="N117" i="48" s="1"/>
  <c r="O117" i="48" s="1"/>
  <c r="P117" i="48" s="1"/>
  <c r="K117" i="48"/>
  <c r="J117" i="48"/>
  <c r="H117" i="48"/>
  <c r="X117" i="48" s="1"/>
  <c r="AA117" i="48" s="1"/>
  <c r="W116" i="48"/>
  <c r="V116" i="48"/>
  <c r="T116" i="48"/>
  <c r="S116" i="48"/>
  <c r="R116" i="48"/>
  <c r="Q116" i="48"/>
  <c r="L116" i="48"/>
  <c r="M116" i="48" s="1"/>
  <c r="N116" i="48" s="1"/>
  <c r="O116" i="48" s="1"/>
  <c r="P116" i="48" s="1"/>
  <c r="K116" i="48"/>
  <c r="J116" i="48"/>
  <c r="H116" i="48"/>
  <c r="I116" i="48" s="1"/>
  <c r="W115" i="48"/>
  <c r="V115" i="48"/>
  <c r="T115" i="48"/>
  <c r="S115" i="48"/>
  <c r="R115" i="48"/>
  <c r="Q115" i="48"/>
  <c r="L115" i="48"/>
  <c r="M115" i="48" s="1"/>
  <c r="N115" i="48" s="1"/>
  <c r="O115" i="48" s="1"/>
  <c r="P115" i="48" s="1"/>
  <c r="K115" i="48"/>
  <c r="J115" i="48"/>
  <c r="H115" i="48"/>
  <c r="X115" i="48" s="1"/>
  <c r="AA115" i="48" s="1"/>
  <c r="W114" i="48"/>
  <c r="V114" i="48"/>
  <c r="T114" i="48"/>
  <c r="S114" i="48"/>
  <c r="R114" i="48"/>
  <c r="Q114" i="48"/>
  <c r="L114" i="48"/>
  <c r="M114" i="48" s="1"/>
  <c r="N114" i="48" s="1"/>
  <c r="O114" i="48" s="1"/>
  <c r="P114" i="48" s="1"/>
  <c r="K114" i="48"/>
  <c r="J114" i="48"/>
  <c r="H114" i="48"/>
  <c r="I114" i="48" s="1"/>
  <c r="W113" i="48"/>
  <c r="V113" i="48"/>
  <c r="T113" i="48"/>
  <c r="S113" i="48"/>
  <c r="R113" i="48"/>
  <c r="Q113" i="48"/>
  <c r="L113" i="48"/>
  <c r="M113" i="48" s="1"/>
  <c r="N113" i="48" s="1"/>
  <c r="O113" i="48" s="1"/>
  <c r="P113" i="48" s="1"/>
  <c r="K113" i="48"/>
  <c r="J113" i="48"/>
  <c r="H113" i="48"/>
  <c r="X113" i="48" s="1"/>
  <c r="AA113" i="48" s="1"/>
  <c r="W112" i="48"/>
  <c r="V112" i="48"/>
  <c r="T112" i="48"/>
  <c r="S112" i="48"/>
  <c r="R112" i="48"/>
  <c r="Q112" i="48"/>
  <c r="L112" i="48"/>
  <c r="M112" i="48" s="1"/>
  <c r="N112" i="48" s="1"/>
  <c r="O112" i="48" s="1"/>
  <c r="P112" i="48" s="1"/>
  <c r="K112" i="48"/>
  <c r="J112" i="48"/>
  <c r="H112" i="48"/>
  <c r="I112" i="48" s="1"/>
  <c r="W111" i="48"/>
  <c r="V111" i="48"/>
  <c r="T111" i="48"/>
  <c r="S111" i="48"/>
  <c r="R111" i="48"/>
  <c r="Q111" i="48"/>
  <c r="L111" i="48"/>
  <c r="M111" i="48" s="1"/>
  <c r="N111" i="48" s="1"/>
  <c r="O111" i="48" s="1"/>
  <c r="P111" i="48" s="1"/>
  <c r="K111" i="48"/>
  <c r="J111" i="48"/>
  <c r="H111" i="48"/>
  <c r="X111" i="48" s="1"/>
  <c r="AA111" i="48" s="1"/>
  <c r="W110" i="48"/>
  <c r="V110" i="48"/>
  <c r="T110" i="48"/>
  <c r="S110" i="48"/>
  <c r="R110" i="48"/>
  <c r="Q110" i="48"/>
  <c r="L110" i="48"/>
  <c r="M110" i="48" s="1"/>
  <c r="N110" i="48" s="1"/>
  <c r="O110" i="48" s="1"/>
  <c r="P110" i="48" s="1"/>
  <c r="K110" i="48"/>
  <c r="J110" i="48"/>
  <c r="H110" i="48"/>
  <c r="I110" i="48" s="1"/>
  <c r="W109" i="48"/>
  <c r="V109" i="48"/>
  <c r="T109" i="48"/>
  <c r="S109" i="48"/>
  <c r="R109" i="48"/>
  <c r="Q109" i="48"/>
  <c r="L109" i="48"/>
  <c r="M109" i="48" s="1"/>
  <c r="N109" i="48" s="1"/>
  <c r="O109" i="48" s="1"/>
  <c r="P109" i="48" s="1"/>
  <c r="K109" i="48"/>
  <c r="J109" i="48"/>
  <c r="H109" i="48"/>
  <c r="X109" i="48" s="1"/>
  <c r="AA109" i="48" s="1"/>
  <c r="W108" i="48"/>
  <c r="V108" i="48"/>
  <c r="T108" i="48"/>
  <c r="S108" i="48"/>
  <c r="R108" i="48"/>
  <c r="Q108" i="48"/>
  <c r="L108" i="48"/>
  <c r="M108" i="48" s="1"/>
  <c r="N108" i="48" s="1"/>
  <c r="O108" i="48" s="1"/>
  <c r="P108" i="48" s="1"/>
  <c r="K108" i="48"/>
  <c r="J108" i="48"/>
  <c r="H108" i="48"/>
  <c r="I108" i="48" s="1"/>
  <c r="W107" i="48"/>
  <c r="V107" i="48"/>
  <c r="T107" i="48"/>
  <c r="S107" i="48"/>
  <c r="R107" i="48"/>
  <c r="Q107" i="48"/>
  <c r="L107" i="48"/>
  <c r="M107" i="48" s="1"/>
  <c r="N107" i="48" s="1"/>
  <c r="O107" i="48" s="1"/>
  <c r="P107" i="48" s="1"/>
  <c r="K107" i="48"/>
  <c r="J107" i="48"/>
  <c r="H107" i="48"/>
  <c r="X107" i="48" s="1"/>
  <c r="AA107" i="48" s="1"/>
  <c r="W106" i="48"/>
  <c r="V106" i="48"/>
  <c r="T106" i="48"/>
  <c r="S106" i="48"/>
  <c r="R106" i="48"/>
  <c r="Q106" i="48"/>
  <c r="L106" i="48"/>
  <c r="M106" i="48" s="1"/>
  <c r="N106" i="48" s="1"/>
  <c r="O106" i="48" s="1"/>
  <c r="P106" i="48" s="1"/>
  <c r="K106" i="48"/>
  <c r="J106" i="48"/>
  <c r="H106" i="48"/>
  <c r="I106" i="48" s="1"/>
  <c r="W105" i="48"/>
  <c r="V105" i="48"/>
  <c r="T105" i="48"/>
  <c r="S105" i="48"/>
  <c r="R105" i="48"/>
  <c r="Q105" i="48"/>
  <c r="L105" i="48"/>
  <c r="M105" i="48" s="1"/>
  <c r="N105" i="48" s="1"/>
  <c r="O105" i="48" s="1"/>
  <c r="P105" i="48" s="1"/>
  <c r="K105" i="48"/>
  <c r="J105" i="48"/>
  <c r="H105" i="48"/>
  <c r="X105" i="48" s="1"/>
  <c r="AA105" i="48" s="1"/>
  <c r="W104" i="48"/>
  <c r="V104" i="48"/>
  <c r="T104" i="48"/>
  <c r="S104" i="48"/>
  <c r="R104" i="48"/>
  <c r="Q104" i="48"/>
  <c r="L104" i="48"/>
  <c r="M104" i="48" s="1"/>
  <c r="N104" i="48" s="1"/>
  <c r="O104" i="48" s="1"/>
  <c r="P104" i="48" s="1"/>
  <c r="K104" i="48"/>
  <c r="J104" i="48"/>
  <c r="H104" i="48"/>
  <c r="I104" i="48" s="1"/>
  <c r="W103" i="48"/>
  <c r="V103" i="48"/>
  <c r="T103" i="48"/>
  <c r="S103" i="48"/>
  <c r="R103" i="48"/>
  <c r="Q103" i="48"/>
  <c r="L103" i="48"/>
  <c r="M103" i="48" s="1"/>
  <c r="N103" i="48" s="1"/>
  <c r="O103" i="48" s="1"/>
  <c r="P103" i="48" s="1"/>
  <c r="K103" i="48"/>
  <c r="J103" i="48"/>
  <c r="H103" i="48"/>
  <c r="X103" i="48" s="1"/>
  <c r="AA103" i="48" s="1"/>
  <c r="W102" i="48"/>
  <c r="V102" i="48"/>
  <c r="T102" i="48"/>
  <c r="S102" i="48"/>
  <c r="R102" i="48"/>
  <c r="Q102" i="48"/>
  <c r="L102" i="48"/>
  <c r="M102" i="48" s="1"/>
  <c r="N102" i="48" s="1"/>
  <c r="O102" i="48" s="1"/>
  <c r="P102" i="48" s="1"/>
  <c r="K102" i="48"/>
  <c r="J102" i="48"/>
  <c r="H102" i="48"/>
  <c r="I102" i="48" s="1"/>
  <c r="W101" i="48"/>
  <c r="V101" i="48"/>
  <c r="T101" i="48"/>
  <c r="S101" i="48"/>
  <c r="R101" i="48"/>
  <c r="Q101" i="48"/>
  <c r="L101" i="48"/>
  <c r="M101" i="48" s="1"/>
  <c r="N101" i="48" s="1"/>
  <c r="O101" i="48" s="1"/>
  <c r="P101" i="48" s="1"/>
  <c r="K101" i="48"/>
  <c r="J101" i="48"/>
  <c r="H101" i="48"/>
  <c r="X101" i="48" s="1"/>
  <c r="AA101" i="48" s="1"/>
  <c r="W100" i="48"/>
  <c r="V100" i="48"/>
  <c r="T100" i="48"/>
  <c r="S100" i="48"/>
  <c r="R100" i="48"/>
  <c r="Q100" i="48"/>
  <c r="L100" i="48"/>
  <c r="M100" i="48" s="1"/>
  <c r="N100" i="48" s="1"/>
  <c r="O100" i="48" s="1"/>
  <c r="P100" i="48" s="1"/>
  <c r="K100" i="48"/>
  <c r="J100" i="48"/>
  <c r="H100" i="48"/>
  <c r="I100" i="48" s="1"/>
  <c r="W99" i="48"/>
  <c r="V99" i="48"/>
  <c r="T99" i="48"/>
  <c r="S99" i="48"/>
  <c r="R99" i="48"/>
  <c r="Q99" i="48"/>
  <c r="L99" i="48"/>
  <c r="M99" i="48" s="1"/>
  <c r="N99" i="48" s="1"/>
  <c r="O99" i="48" s="1"/>
  <c r="P99" i="48" s="1"/>
  <c r="K99" i="48"/>
  <c r="J99" i="48"/>
  <c r="H99" i="48"/>
  <c r="X99" i="48" s="1"/>
  <c r="AA99" i="48" s="1"/>
  <c r="W98" i="48"/>
  <c r="V98" i="48"/>
  <c r="T98" i="48"/>
  <c r="S98" i="48"/>
  <c r="R98" i="48"/>
  <c r="Q98" i="48"/>
  <c r="L98" i="48"/>
  <c r="M98" i="48" s="1"/>
  <c r="N98" i="48" s="1"/>
  <c r="O98" i="48" s="1"/>
  <c r="P98" i="48" s="1"/>
  <c r="K98" i="48"/>
  <c r="J98" i="48"/>
  <c r="H98" i="48"/>
  <c r="I98" i="48" s="1"/>
  <c r="W97" i="48"/>
  <c r="V97" i="48"/>
  <c r="T97" i="48"/>
  <c r="S97" i="48"/>
  <c r="R97" i="48"/>
  <c r="Q97" i="48"/>
  <c r="L97" i="48"/>
  <c r="M97" i="48" s="1"/>
  <c r="N97" i="48" s="1"/>
  <c r="O97" i="48" s="1"/>
  <c r="P97" i="48" s="1"/>
  <c r="K97" i="48"/>
  <c r="J97" i="48"/>
  <c r="H97" i="48"/>
  <c r="X97" i="48" s="1"/>
  <c r="AA97" i="48" s="1"/>
  <c r="W96" i="48"/>
  <c r="V96" i="48"/>
  <c r="T96" i="48"/>
  <c r="S96" i="48"/>
  <c r="R96" i="48"/>
  <c r="Q96" i="48"/>
  <c r="L96" i="48"/>
  <c r="M96" i="48" s="1"/>
  <c r="N96" i="48" s="1"/>
  <c r="O96" i="48" s="1"/>
  <c r="P96" i="48" s="1"/>
  <c r="K96" i="48"/>
  <c r="J96" i="48"/>
  <c r="H96" i="48"/>
  <c r="I96" i="48" s="1"/>
  <c r="W95" i="48"/>
  <c r="V95" i="48"/>
  <c r="T95" i="48"/>
  <c r="S95" i="48"/>
  <c r="R95" i="48"/>
  <c r="Q95" i="48"/>
  <c r="L95" i="48"/>
  <c r="M95" i="48" s="1"/>
  <c r="N95" i="48" s="1"/>
  <c r="O95" i="48" s="1"/>
  <c r="P95" i="48" s="1"/>
  <c r="K95" i="48"/>
  <c r="J95" i="48"/>
  <c r="H95" i="48"/>
  <c r="X95" i="48" s="1"/>
  <c r="AA95" i="48" s="1"/>
  <c r="W94" i="48"/>
  <c r="V94" i="48"/>
  <c r="T94" i="48"/>
  <c r="S94" i="48"/>
  <c r="R94" i="48"/>
  <c r="Q94" i="48"/>
  <c r="L94" i="48"/>
  <c r="M94" i="48" s="1"/>
  <c r="N94" i="48" s="1"/>
  <c r="O94" i="48" s="1"/>
  <c r="P94" i="48" s="1"/>
  <c r="K94" i="48"/>
  <c r="J94" i="48"/>
  <c r="H94" i="48"/>
  <c r="I94" i="48" s="1"/>
  <c r="W93" i="48"/>
  <c r="V93" i="48"/>
  <c r="T93" i="48"/>
  <c r="S93" i="48"/>
  <c r="R93" i="48"/>
  <c r="Q93" i="48"/>
  <c r="L93" i="48"/>
  <c r="M93" i="48" s="1"/>
  <c r="N93" i="48" s="1"/>
  <c r="O93" i="48" s="1"/>
  <c r="P93" i="48" s="1"/>
  <c r="K93" i="48"/>
  <c r="J93" i="48"/>
  <c r="H93" i="48"/>
  <c r="X93" i="48" s="1"/>
  <c r="AA93" i="48" s="1"/>
  <c r="W92" i="48"/>
  <c r="V92" i="48"/>
  <c r="T92" i="48"/>
  <c r="S92" i="48"/>
  <c r="R92" i="48"/>
  <c r="Q92" i="48"/>
  <c r="L92" i="48"/>
  <c r="M92" i="48" s="1"/>
  <c r="N92" i="48" s="1"/>
  <c r="O92" i="48" s="1"/>
  <c r="P92" i="48" s="1"/>
  <c r="K92" i="48"/>
  <c r="J92" i="48"/>
  <c r="H92" i="48"/>
  <c r="I92" i="48" s="1"/>
  <c r="W91" i="48"/>
  <c r="V91" i="48"/>
  <c r="T91" i="48"/>
  <c r="S91" i="48"/>
  <c r="R91" i="48"/>
  <c r="Q91" i="48"/>
  <c r="L91" i="48"/>
  <c r="M91" i="48" s="1"/>
  <c r="N91" i="48" s="1"/>
  <c r="O91" i="48" s="1"/>
  <c r="P91" i="48" s="1"/>
  <c r="K91" i="48"/>
  <c r="J91" i="48"/>
  <c r="H91" i="48"/>
  <c r="X91" i="48" s="1"/>
  <c r="AA91" i="48" s="1"/>
  <c r="W90" i="48"/>
  <c r="V90" i="48"/>
  <c r="T90" i="48"/>
  <c r="S90" i="48"/>
  <c r="R90" i="48"/>
  <c r="Q90" i="48"/>
  <c r="L90" i="48"/>
  <c r="M90" i="48" s="1"/>
  <c r="N90" i="48" s="1"/>
  <c r="O90" i="48" s="1"/>
  <c r="P90" i="48" s="1"/>
  <c r="K90" i="48"/>
  <c r="J90" i="48"/>
  <c r="H90" i="48"/>
  <c r="I90" i="48" s="1"/>
  <c r="W89" i="48"/>
  <c r="V89" i="48"/>
  <c r="T89" i="48"/>
  <c r="S89" i="48"/>
  <c r="R89" i="48"/>
  <c r="Q89" i="48"/>
  <c r="L89" i="48"/>
  <c r="M89" i="48" s="1"/>
  <c r="N89" i="48" s="1"/>
  <c r="O89" i="48" s="1"/>
  <c r="P89" i="48" s="1"/>
  <c r="K89" i="48"/>
  <c r="J89" i="48"/>
  <c r="H89" i="48"/>
  <c r="X89" i="48" s="1"/>
  <c r="AA89" i="48" s="1"/>
  <c r="W88" i="48"/>
  <c r="V88" i="48"/>
  <c r="T88" i="48"/>
  <c r="S88" i="48"/>
  <c r="R88" i="48"/>
  <c r="Q88" i="48"/>
  <c r="L88" i="48"/>
  <c r="M88" i="48" s="1"/>
  <c r="N88" i="48" s="1"/>
  <c r="O88" i="48" s="1"/>
  <c r="P88" i="48" s="1"/>
  <c r="K88" i="48"/>
  <c r="J88" i="48"/>
  <c r="H88" i="48"/>
  <c r="I88" i="48" s="1"/>
  <c r="W87" i="48"/>
  <c r="V87" i="48"/>
  <c r="T87" i="48"/>
  <c r="S87" i="48"/>
  <c r="R87" i="48"/>
  <c r="Q87" i="48"/>
  <c r="L87" i="48"/>
  <c r="M87" i="48" s="1"/>
  <c r="N87" i="48" s="1"/>
  <c r="O87" i="48" s="1"/>
  <c r="P87" i="48" s="1"/>
  <c r="K87" i="48"/>
  <c r="J87" i="48"/>
  <c r="H87" i="48"/>
  <c r="X87" i="48" s="1"/>
  <c r="AA87" i="48" s="1"/>
  <c r="W86" i="48"/>
  <c r="V86" i="48"/>
  <c r="T86" i="48"/>
  <c r="S86" i="48"/>
  <c r="R86" i="48"/>
  <c r="Q86" i="48"/>
  <c r="L86" i="48"/>
  <c r="M86" i="48" s="1"/>
  <c r="N86" i="48" s="1"/>
  <c r="O86" i="48" s="1"/>
  <c r="P86" i="48" s="1"/>
  <c r="K86" i="48"/>
  <c r="J86" i="48"/>
  <c r="H86" i="48"/>
  <c r="I86" i="48" s="1"/>
  <c r="W85" i="48"/>
  <c r="V85" i="48"/>
  <c r="T85" i="48"/>
  <c r="S85" i="48"/>
  <c r="R85" i="48"/>
  <c r="Q85" i="48"/>
  <c r="L85" i="48"/>
  <c r="M85" i="48" s="1"/>
  <c r="N85" i="48" s="1"/>
  <c r="O85" i="48" s="1"/>
  <c r="P85" i="48" s="1"/>
  <c r="K85" i="48"/>
  <c r="J85" i="48"/>
  <c r="H85" i="48"/>
  <c r="X85" i="48" s="1"/>
  <c r="AA85" i="48" s="1"/>
  <c r="W84" i="48"/>
  <c r="V84" i="48"/>
  <c r="T84" i="48"/>
  <c r="S84" i="48"/>
  <c r="R84" i="48"/>
  <c r="Q84" i="48"/>
  <c r="L84" i="48"/>
  <c r="M84" i="48" s="1"/>
  <c r="N84" i="48" s="1"/>
  <c r="O84" i="48" s="1"/>
  <c r="P84" i="48" s="1"/>
  <c r="K84" i="48"/>
  <c r="J84" i="48"/>
  <c r="H84" i="48"/>
  <c r="I84" i="48" s="1"/>
  <c r="W83" i="48"/>
  <c r="V83" i="48"/>
  <c r="T83" i="48"/>
  <c r="S83" i="48"/>
  <c r="R83" i="48"/>
  <c r="Q83" i="48"/>
  <c r="L83" i="48"/>
  <c r="M83" i="48" s="1"/>
  <c r="N83" i="48" s="1"/>
  <c r="O83" i="48" s="1"/>
  <c r="P83" i="48" s="1"/>
  <c r="K83" i="48"/>
  <c r="J83" i="48"/>
  <c r="H83" i="48"/>
  <c r="I83" i="48" s="1"/>
  <c r="W82" i="48"/>
  <c r="V82" i="48"/>
  <c r="T82" i="48"/>
  <c r="S82" i="48"/>
  <c r="R82" i="48"/>
  <c r="Q82" i="48"/>
  <c r="L82" i="48"/>
  <c r="M82" i="48" s="1"/>
  <c r="N82" i="48" s="1"/>
  <c r="O82" i="48" s="1"/>
  <c r="P82" i="48" s="1"/>
  <c r="K82" i="48"/>
  <c r="J82" i="48"/>
  <c r="H82" i="48"/>
  <c r="I82" i="48" s="1"/>
  <c r="W81" i="48"/>
  <c r="V81" i="48"/>
  <c r="T81" i="48"/>
  <c r="S81" i="48"/>
  <c r="R81" i="48"/>
  <c r="Q81" i="48"/>
  <c r="L81" i="48"/>
  <c r="M81" i="48" s="1"/>
  <c r="N81" i="48" s="1"/>
  <c r="O81" i="48" s="1"/>
  <c r="P81" i="48" s="1"/>
  <c r="K81" i="48"/>
  <c r="J81" i="48"/>
  <c r="H81" i="48"/>
  <c r="I81" i="48" s="1"/>
  <c r="W80" i="48"/>
  <c r="V80" i="48"/>
  <c r="T80" i="48"/>
  <c r="S80" i="48"/>
  <c r="R80" i="48"/>
  <c r="Q80" i="48"/>
  <c r="L80" i="48"/>
  <c r="M80" i="48" s="1"/>
  <c r="N80" i="48" s="1"/>
  <c r="O80" i="48" s="1"/>
  <c r="P80" i="48" s="1"/>
  <c r="K80" i="48"/>
  <c r="J80" i="48"/>
  <c r="H80" i="48"/>
  <c r="I80" i="48" s="1"/>
  <c r="W79" i="48"/>
  <c r="V79" i="48"/>
  <c r="T79" i="48"/>
  <c r="S79" i="48"/>
  <c r="R79" i="48"/>
  <c r="Q79" i="48"/>
  <c r="L79" i="48"/>
  <c r="M79" i="48" s="1"/>
  <c r="N79" i="48" s="1"/>
  <c r="O79" i="48" s="1"/>
  <c r="P79" i="48" s="1"/>
  <c r="K79" i="48"/>
  <c r="J79" i="48"/>
  <c r="H79" i="48"/>
  <c r="X79" i="48" s="1"/>
  <c r="AA79" i="48" s="1"/>
  <c r="W78" i="48"/>
  <c r="V78" i="48"/>
  <c r="T78" i="48"/>
  <c r="S78" i="48"/>
  <c r="R78" i="48"/>
  <c r="Q78" i="48"/>
  <c r="L78" i="48"/>
  <c r="M78" i="48" s="1"/>
  <c r="N78" i="48" s="1"/>
  <c r="O78" i="48" s="1"/>
  <c r="P78" i="48" s="1"/>
  <c r="K78" i="48"/>
  <c r="J78" i="48"/>
  <c r="H78" i="48"/>
  <c r="X78" i="48" s="1"/>
  <c r="AA78" i="48" s="1"/>
  <c r="W77" i="48"/>
  <c r="V77" i="48"/>
  <c r="T77" i="48"/>
  <c r="S77" i="48"/>
  <c r="R77" i="48"/>
  <c r="Q77" i="48"/>
  <c r="L77" i="48"/>
  <c r="M77" i="48" s="1"/>
  <c r="N77" i="48" s="1"/>
  <c r="O77" i="48" s="1"/>
  <c r="P77" i="48" s="1"/>
  <c r="K77" i="48"/>
  <c r="J77" i="48"/>
  <c r="H77" i="48"/>
  <c r="X77" i="48" s="1"/>
  <c r="AA77" i="48" s="1"/>
  <c r="W76" i="48"/>
  <c r="V76" i="48"/>
  <c r="T76" i="48"/>
  <c r="S76" i="48"/>
  <c r="R76" i="48"/>
  <c r="Q76" i="48"/>
  <c r="L76" i="48"/>
  <c r="M76" i="48" s="1"/>
  <c r="N76" i="48" s="1"/>
  <c r="O76" i="48" s="1"/>
  <c r="P76" i="48" s="1"/>
  <c r="K76" i="48"/>
  <c r="J76" i="48"/>
  <c r="H76" i="48"/>
  <c r="I76" i="48" s="1"/>
  <c r="W75" i="48"/>
  <c r="V75" i="48"/>
  <c r="T75" i="48"/>
  <c r="S75" i="48"/>
  <c r="R75" i="48"/>
  <c r="Q75" i="48"/>
  <c r="L75" i="48"/>
  <c r="M75" i="48" s="1"/>
  <c r="N75" i="48" s="1"/>
  <c r="O75" i="48" s="1"/>
  <c r="P75" i="48" s="1"/>
  <c r="K75" i="48"/>
  <c r="J75" i="48"/>
  <c r="H75" i="48"/>
  <c r="I75" i="48" s="1"/>
  <c r="W74" i="48"/>
  <c r="V74" i="48"/>
  <c r="T74" i="48"/>
  <c r="S74" i="48"/>
  <c r="R74" i="48"/>
  <c r="Q74" i="48"/>
  <c r="L74" i="48"/>
  <c r="M74" i="48" s="1"/>
  <c r="N74" i="48" s="1"/>
  <c r="O74" i="48" s="1"/>
  <c r="P74" i="48" s="1"/>
  <c r="K74" i="48"/>
  <c r="J74" i="48"/>
  <c r="H74" i="48"/>
  <c r="I74" i="48" s="1"/>
  <c r="W73" i="48"/>
  <c r="V73" i="48"/>
  <c r="T73" i="48"/>
  <c r="S73" i="48"/>
  <c r="R73" i="48"/>
  <c r="Q73" i="48"/>
  <c r="L73" i="48"/>
  <c r="M73" i="48" s="1"/>
  <c r="N73" i="48" s="1"/>
  <c r="O73" i="48" s="1"/>
  <c r="P73" i="48" s="1"/>
  <c r="K73" i="48"/>
  <c r="J73" i="48"/>
  <c r="H73" i="48"/>
  <c r="I73" i="48" s="1"/>
  <c r="W72" i="48"/>
  <c r="V72" i="48"/>
  <c r="T72" i="48"/>
  <c r="S72" i="48"/>
  <c r="R72" i="48"/>
  <c r="Q72" i="48"/>
  <c r="L72" i="48"/>
  <c r="M72" i="48" s="1"/>
  <c r="N72" i="48" s="1"/>
  <c r="O72" i="48" s="1"/>
  <c r="P72" i="48" s="1"/>
  <c r="K72" i="48"/>
  <c r="J72" i="48"/>
  <c r="H72" i="48"/>
  <c r="I72" i="48" s="1"/>
  <c r="W71" i="48"/>
  <c r="V71" i="48"/>
  <c r="T71" i="48"/>
  <c r="S71" i="48"/>
  <c r="R71" i="48"/>
  <c r="Q71" i="48"/>
  <c r="L71" i="48"/>
  <c r="M71" i="48" s="1"/>
  <c r="N71" i="48" s="1"/>
  <c r="O71" i="48" s="1"/>
  <c r="P71" i="48" s="1"/>
  <c r="K71" i="48"/>
  <c r="J71" i="48"/>
  <c r="H71" i="48"/>
  <c r="X71" i="48" s="1"/>
  <c r="AA71" i="48" s="1"/>
  <c r="W70" i="48"/>
  <c r="V70" i="48"/>
  <c r="T70" i="48"/>
  <c r="S70" i="48"/>
  <c r="R70" i="48"/>
  <c r="Q70" i="48"/>
  <c r="L70" i="48"/>
  <c r="M70" i="48" s="1"/>
  <c r="N70" i="48" s="1"/>
  <c r="O70" i="48" s="1"/>
  <c r="P70" i="48" s="1"/>
  <c r="K70" i="48"/>
  <c r="J70" i="48"/>
  <c r="H70" i="48"/>
  <c r="X70" i="48" s="1"/>
  <c r="AA70" i="48" s="1"/>
  <c r="W69" i="48"/>
  <c r="V69" i="48"/>
  <c r="T69" i="48"/>
  <c r="S69" i="48"/>
  <c r="R69" i="48"/>
  <c r="Q69" i="48"/>
  <c r="L69" i="48"/>
  <c r="M69" i="48" s="1"/>
  <c r="N69" i="48" s="1"/>
  <c r="O69" i="48" s="1"/>
  <c r="P69" i="48" s="1"/>
  <c r="K69" i="48"/>
  <c r="J69" i="48"/>
  <c r="H69" i="48"/>
  <c r="I69" i="48" s="1"/>
  <c r="W68" i="48"/>
  <c r="V68" i="48"/>
  <c r="T68" i="48"/>
  <c r="S68" i="48"/>
  <c r="R68" i="48"/>
  <c r="Q68" i="48"/>
  <c r="L68" i="48"/>
  <c r="M68" i="48" s="1"/>
  <c r="N68" i="48" s="1"/>
  <c r="O68" i="48" s="1"/>
  <c r="P68" i="48" s="1"/>
  <c r="K68" i="48"/>
  <c r="J68" i="48"/>
  <c r="H68" i="48"/>
  <c r="I68" i="48" s="1"/>
  <c r="W67" i="48"/>
  <c r="V67" i="48"/>
  <c r="T67" i="48"/>
  <c r="S67" i="48"/>
  <c r="R67" i="48"/>
  <c r="Q67" i="48"/>
  <c r="L67" i="48"/>
  <c r="M67" i="48" s="1"/>
  <c r="N67" i="48" s="1"/>
  <c r="O67" i="48" s="1"/>
  <c r="P67" i="48" s="1"/>
  <c r="K67" i="48"/>
  <c r="J67" i="48"/>
  <c r="H67" i="48"/>
  <c r="X67" i="48" s="1"/>
  <c r="AA67" i="48" s="1"/>
  <c r="W66" i="48"/>
  <c r="V66" i="48"/>
  <c r="T66" i="48"/>
  <c r="S66" i="48"/>
  <c r="R66" i="48"/>
  <c r="Q66" i="48"/>
  <c r="L66" i="48"/>
  <c r="M66" i="48" s="1"/>
  <c r="N66" i="48" s="1"/>
  <c r="O66" i="48" s="1"/>
  <c r="P66" i="48" s="1"/>
  <c r="K66" i="48"/>
  <c r="J66" i="48"/>
  <c r="H66" i="48"/>
  <c r="X66" i="48" s="1"/>
  <c r="AA66" i="48" s="1"/>
  <c r="W65" i="48"/>
  <c r="V65" i="48"/>
  <c r="T65" i="48"/>
  <c r="S65" i="48"/>
  <c r="R65" i="48"/>
  <c r="Q65" i="48"/>
  <c r="L65" i="48"/>
  <c r="M65" i="48" s="1"/>
  <c r="N65" i="48" s="1"/>
  <c r="O65" i="48" s="1"/>
  <c r="P65" i="48" s="1"/>
  <c r="K65" i="48"/>
  <c r="J65" i="48"/>
  <c r="H65" i="48"/>
  <c r="I65" i="48" s="1"/>
  <c r="W64" i="48"/>
  <c r="V64" i="48"/>
  <c r="T64" i="48"/>
  <c r="S64" i="48"/>
  <c r="R64" i="48"/>
  <c r="Q64" i="48"/>
  <c r="L64" i="48"/>
  <c r="M64" i="48" s="1"/>
  <c r="N64" i="48" s="1"/>
  <c r="O64" i="48" s="1"/>
  <c r="P64" i="48" s="1"/>
  <c r="K64" i="48"/>
  <c r="J64" i="48"/>
  <c r="H64" i="48"/>
  <c r="I64" i="48" s="1"/>
  <c r="W63" i="48"/>
  <c r="V63" i="48"/>
  <c r="T63" i="48"/>
  <c r="S63" i="48"/>
  <c r="R63" i="48"/>
  <c r="Q63" i="48"/>
  <c r="L63" i="48"/>
  <c r="M63" i="48" s="1"/>
  <c r="N63" i="48" s="1"/>
  <c r="O63" i="48" s="1"/>
  <c r="P63" i="48" s="1"/>
  <c r="K63" i="48"/>
  <c r="J63" i="48"/>
  <c r="H63" i="48"/>
  <c r="X63" i="48" s="1"/>
  <c r="AA63" i="48" s="1"/>
  <c r="W62" i="48"/>
  <c r="V62" i="48"/>
  <c r="T62" i="48"/>
  <c r="S62" i="48"/>
  <c r="R62" i="48"/>
  <c r="Q62" i="48"/>
  <c r="L62" i="48"/>
  <c r="M62" i="48" s="1"/>
  <c r="N62" i="48" s="1"/>
  <c r="O62" i="48" s="1"/>
  <c r="P62" i="48" s="1"/>
  <c r="K62" i="48"/>
  <c r="J62" i="48"/>
  <c r="H62" i="48"/>
  <c r="X62" i="48" s="1"/>
  <c r="AA62" i="48" s="1"/>
  <c r="W61" i="48"/>
  <c r="V61" i="48"/>
  <c r="T61" i="48"/>
  <c r="S61" i="48"/>
  <c r="R61" i="48"/>
  <c r="Q61" i="48"/>
  <c r="L61" i="48"/>
  <c r="M61" i="48" s="1"/>
  <c r="N61" i="48" s="1"/>
  <c r="O61" i="48" s="1"/>
  <c r="P61" i="48" s="1"/>
  <c r="K61" i="48"/>
  <c r="J61" i="48"/>
  <c r="H61" i="48"/>
  <c r="I61" i="48" s="1"/>
  <c r="W60" i="48"/>
  <c r="V60" i="48"/>
  <c r="T60" i="48"/>
  <c r="S60" i="48"/>
  <c r="R60" i="48"/>
  <c r="Q60" i="48"/>
  <c r="L60" i="48"/>
  <c r="M60" i="48" s="1"/>
  <c r="N60" i="48" s="1"/>
  <c r="O60" i="48" s="1"/>
  <c r="P60" i="48" s="1"/>
  <c r="K60" i="48"/>
  <c r="J60" i="48"/>
  <c r="H60" i="48"/>
  <c r="I60" i="48" s="1"/>
  <c r="W59" i="48"/>
  <c r="V59" i="48"/>
  <c r="T59" i="48"/>
  <c r="S59" i="48"/>
  <c r="R59" i="48"/>
  <c r="Q59" i="48"/>
  <c r="L59" i="48"/>
  <c r="M59" i="48" s="1"/>
  <c r="N59" i="48" s="1"/>
  <c r="O59" i="48" s="1"/>
  <c r="P59" i="48" s="1"/>
  <c r="K59" i="48"/>
  <c r="J59" i="48"/>
  <c r="H59" i="48"/>
  <c r="X59" i="48" s="1"/>
  <c r="AA59" i="48" s="1"/>
  <c r="W58" i="48"/>
  <c r="V58" i="48"/>
  <c r="T58" i="48"/>
  <c r="S58" i="48"/>
  <c r="R58" i="48"/>
  <c r="Q58" i="48"/>
  <c r="L58" i="48"/>
  <c r="M58" i="48" s="1"/>
  <c r="N58" i="48" s="1"/>
  <c r="O58" i="48" s="1"/>
  <c r="P58" i="48" s="1"/>
  <c r="K58" i="48"/>
  <c r="J58" i="48"/>
  <c r="H58" i="48"/>
  <c r="X58" i="48" s="1"/>
  <c r="AA58" i="48" s="1"/>
  <c r="W57" i="48"/>
  <c r="V57" i="48"/>
  <c r="T57" i="48"/>
  <c r="S57" i="48"/>
  <c r="R57" i="48"/>
  <c r="Q57" i="48"/>
  <c r="L57" i="48"/>
  <c r="M57" i="48" s="1"/>
  <c r="N57" i="48" s="1"/>
  <c r="O57" i="48" s="1"/>
  <c r="P57" i="48" s="1"/>
  <c r="K57" i="48"/>
  <c r="J57" i="48"/>
  <c r="H57" i="48"/>
  <c r="I57" i="48" s="1"/>
  <c r="W56" i="48"/>
  <c r="V56" i="48"/>
  <c r="T56" i="48"/>
  <c r="S56" i="48"/>
  <c r="R56" i="48"/>
  <c r="Q56" i="48"/>
  <c r="L56" i="48"/>
  <c r="M56" i="48" s="1"/>
  <c r="N56" i="48" s="1"/>
  <c r="O56" i="48" s="1"/>
  <c r="P56" i="48" s="1"/>
  <c r="K56" i="48"/>
  <c r="J56" i="48"/>
  <c r="H56" i="48"/>
  <c r="I56" i="48" s="1"/>
  <c r="W55" i="48"/>
  <c r="V55" i="48"/>
  <c r="T55" i="48"/>
  <c r="S55" i="48"/>
  <c r="R55" i="48"/>
  <c r="Q55" i="48"/>
  <c r="L55" i="48"/>
  <c r="M55" i="48" s="1"/>
  <c r="N55" i="48" s="1"/>
  <c r="O55" i="48" s="1"/>
  <c r="P55" i="48" s="1"/>
  <c r="K55" i="48"/>
  <c r="J55" i="48"/>
  <c r="H55" i="48"/>
  <c r="X55" i="48" s="1"/>
  <c r="AA55" i="48" s="1"/>
  <c r="W54" i="48"/>
  <c r="V54" i="48"/>
  <c r="T54" i="48"/>
  <c r="S54" i="48"/>
  <c r="R54" i="48"/>
  <c r="Q54" i="48"/>
  <c r="L54" i="48"/>
  <c r="M54" i="48" s="1"/>
  <c r="N54" i="48" s="1"/>
  <c r="O54" i="48" s="1"/>
  <c r="P54" i="48" s="1"/>
  <c r="K54" i="48"/>
  <c r="J54" i="48"/>
  <c r="H54" i="48"/>
  <c r="X54" i="48" s="1"/>
  <c r="AA54" i="48" s="1"/>
  <c r="W53" i="48"/>
  <c r="V53" i="48"/>
  <c r="T53" i="48"/>
  <c r="S53" i="48"/>
  <c r="R53" i="48"/>
  <c r="Q53" i="48"/>
  <c r="L53" i="48"/>
  <c r="M53" i="48" s="1"/>
  <c r="N53" i="48" s="1"/>
  <c r="O53" i="48" s="1"/>
  <c r="P53" i="48" s="1"/>
  <c r="K53" i="48"/>
  <c r="J53" i="48"/>
  <c r="H53" i="48"/>
  <c r="I53" i="48" s="1"/>
  <c r="W52" i="48"/>
  <c r="V52" i="48"/>
  <c r="T52" i="48"/>
  <c r="S52" i="48"/>
  <c r="R52" i="48"/>
  <c r="Q52" i="48"/>
  <c r="L52" i="48"/>
  <c r="M52" i="48" s="1"/>
  <c r="N52" i="48" s="1"/>
  <c r="O52" i="48" s="1"/>
  <c r="P52" i="48" s="1"/>
  <c r="K52" i="48"/>
  <c r="J52" i="48"/>
  <c r="H52" i="48"/>
  <c r="I52" i="48" s="1"/>
  <c r="W51" i="48"/>
  <c r="V51" i="48"/>
  <c r="T51" i="48"/>
  <c r="S51" i="48"/>
  <c r="R51" i="48"/>
  <c r="Q51" i="48"/>
  <c r="L51" i="48"/>
  <c r="M51" i="48" s="1"/>
  <c r="N51" i="48" s="1"/>
  <c r="O51" i="48" s="1"/>
  <c r="P51" i="48" s="1"/>
  <c r="K51" i="48"/>
  <c r="J51" i="48"/>
  <c r="H51" i="48"/>
  <c r="X51" i="48" s="1"/>
  <c r="AA51" i="48" s="1"/>
  <c r="W50" i="48"/>
  <c r="V50" i="48"/>
  <c r="T50" i="48"/>
  <c r="S50" i="48"/>
  <c r="R50" i="48"/>
  <c r="Q50" i="48"/>
  <c r="L50" i="48"/>
  <c r="M50" i="48" s="1"/>
  <c r="N50" i="48" s="1"/>
  <c r="O50" i="48" s="1"/>
  <c r="P50" i="48" s="1"/>
  <c r="K50" i="48"/>
  <c r="J50" i="48"/>
  <c r="H50" i="48"/>
  <c r="X50" i="48" s="1"/>
  <c r="AA50" i="48" s="1"/>
  <c r="W49" i="48"/>
  <c r="V49" i="48"/>
  <c r="T49" i="48"/>
  <c r="S49" i="48"/>
  <c r="R49" i="48"/>
  <c r="Q49" i="48"/>
  <c r="L49" i="48"/>
  <c r="M49" i="48" s="1"/>
  <c r="N49" i="48" s="1"/>
  <c r="O49" i="48" s="1"/>
  <c r="P49" i="48" s="1"/>
  <c r="K49" i="48"/>
  <c r="J49" i="48"/>
  <c r="H49" i="48"/>
  <c r="I49" i="48" s="1"/>
  <c r="W48" i="48"/>
  <c r="V48" i="48"/>
  <c r="T48" i="48"/>
  <c r="S48" i="48"/>
  <c r="R48" i="48"/>
  <c r="Q48" i="48"/>
  <c r="L48" i="48"/>
  <c r="M48" i="48" s="1"/>
  <c r="N48" i="48" s="1"/>
  <c r="O48" i="48" s="1"/>
  <c r="P48" i="48" s="1"/>
  <c r="K48" i="48"/>
  <c r="J48" i="48"/>
  <c r="H48" i="48"/>
  <c r="I48" i="48" s="1"/>
  <c r="W47" i="48"/>
  <c r="V47" i="48"/>
  <c r="T47" i="48"/>
  <c r="S47" i="48"/>
  <c r="R47" i="48"/>
  <c r="Q47" i="48"/>
  <c r="L47" i="48"/>
  <c r="M47" i="48" s="1"/>
  <c r="N47" i="48" s="1"/>
  <c r="O47" i="48" s="1"/>
  <c r="P47" i="48" s="1"/>
  <c r="K47" i="48"/>
  <c r="J47" i="48"/>
  <c r="H47" i="48"/>
  <c r="X47" i="48" s="1"/>
  <c r="AA47" i="48" s="1"/>
  <c r="W46" i="48"/>
  <c r="V46" i="48"/>
  <c r="T46" i="48"/>
  <c r="S46" i="48"/>
  <c r="R46" i="48"/>
  <c r="Q46" i="48"/>
  <c r="L46" i="48"/>
  <c r="M46" i="48" s="1"/>
  <c r="N46" i="48" s="1"/>
  <c r="O46" i="48" s="1"/>
  <c r="P46" i="48" s="1"/>
  <c r="K46" i="48"/>
  <c r="J46" i="48"/>
  <c r="H46" i="48"/>
  <c r="X46" i="48" s="1"/>
  <c r="AA46" i="48" s="1"/>
  <c r="W45" i="48"/>
  <c r="V45" i="48"/>
  <c r="T45" i="48"/>
  <c r="S45" i="48"/>
  <c r="R45" i="48"/>
  <c r="Q45" i="48"/>
  <c r="L45" i="48"/>
  <c r="M45" i="48" s="1"/>
  <c r="N45" i="48" s="1"/>
  <c r="O45" i="48" s="1"/>
  <c r="P45" i="48" s="1"/>
  <c r="K45" i="48"/>
  <c r="J45" i="48"/>
  <c r="H45" i="48"/>
  <c r="I45" i="48" s="1"/>
  <c r="W44" i="48"/>
  <c r="V44" i="48"/>
  <c r="T44" i="48"/>
  <c r="S44" i="48"/>
  <c r="R44" i="48"/>
  <c r="Q44" i="48"/>
  <c r="L44" i="48"/>
  <c r="M44" i="48" s="1"/>
  <c r="N44" i="48" s="1"/>
  <c r="O44" i="48" s="1"/>
  <c r="P44" i="48" s="1"/>
  <c r="K44" i="48"/>
  <c r="J44" i="48"/>
  <c r="H44" i="48"/>
  <c r="X44" i="48" s="1"/>
  <c r="AA44" i="48" s="1"/>
  <c r="W43" i="48"/>
  <c r="V43" i="48"/>
  <c r="T43" i="48"/>
  <c r="S43" i="48"/>
  <c r="R43" i="48"/>
  <c r="Q43" i="48"/>
  <c r="L43" i="48"/>
  <c r="M43" i="48" s="1"/>
  <c r="N43" i="48" s="1"/>
  <c r="O43" i="48" s="1"/>
  <c r="P43" i="48" s="1"/>
  <c r="K43" i="48"/>
  <c r="J43" i="48"/>
  <c r="H43" i="48"/>
  <c r="X43" i="48" s="1"/>
  <c r="AA43" i="48" s="1"/>
  <c r="W42" i="48"/>
  <c r="V42" i="48"/>
  <c r="T42" i="48"/>
  <c r="S42" i="48"/>
  <c r="R42" i="48"/>
  <c r="Q42" i="48"/>
  <c r="L42" i="48"/>
  <c r="M42" i="48" s="1"/>
  <c r="N42" i="48" s="1"/>
  <c r="O42" i="48" s="1"/>
  <c r="P42" i="48" s="1"/>
  <c r="K42" i="48"/>
  <c r="J42" i="48"/>
  <c r="H42" i="48"/>
  <c r="X42" i="48" s="1"/>
  <c r="AA42" i="48" s="1"/>
  <c r="W41" i="48"/>
  <c r="V41" i="48"/>
  <c r="T41" i="48"/>
  <c r="S41" i="48"/>
  <c r="R41" i="48"/>
  <c r="Q41" i="48"/>
  <c r="L41" i="48"/>
  <c r="M41" i="48" s="1"/>
  <c r="N41" i="48" s="1"/>
  <c r="O41" i="48" s="1"/>
  <c r="P41" i="48" s="1"/>
  <c r="K41" i="48"/>
  <c r="J41" i="48"/>
  <c r="H41" i="48"/>
  <c r="I41" i="48" s="1"/>
  <c r="W40" i="48"/>
  <c r="V40" i="48"/>
  <c r="T40" i="48"/>
  <c r="S40" i="48"/>
  <c r="R40" i="48"/>
  <c r="Q40" i="48"/>
  <c r="L40" i="48"/>
  <c r="M40" i="48" s="1"/>
  <c r="N40" i="48" s="1"/>
  <c r="O40" i="48" s="1"/>
  <c r="P40" i="48" s="1"/>
  <c r="K40" i="48"/>
  <c r="J40" i="48"/>
  <c r="H40" i="48"/>
  <c r="X40" i="48" s="1"/>
  <c r="AA40" i="48" s="1"/>
  <c r="W39" i="48"/>
  <c r="V39" i="48"/>
  <c r="T39" i="48"/>
  <c r="S39" i="48"/>
  <c r="R39" i="48"/>
  <c r="Q39" i="48"/>
  <c r="L39" i="48"/>
  <c r="M39" i="48" s="1"/>
  <c r="N39" i="48" s="1"/>
  <c r="O39" i="48" s="1"/>
  <c r="P39" i="48" s="1"/>
  <c r="K39" i="48"/>
  <c r="J39" i="48"/>
  <c r="X39" i="48"/>
  <c r="AA39" i="48" s="1"/>
  <c r="W38" i="48"/>
  <c r="V38" i="48"/>
  <c r="Y38" i="48"/>
  <c r="T38" i="48"/>
  <c r="S38" i="48"/>
  <c r="R38" i="48"/>
  <c r="Q38" i="48"/>
  <c r="L38" i="48"/>
  <c r="M38" i="48" s="1"/>
  <c r="N38" i="48" s="1"/>
  <c r="O38" i="48" s="1"/>
  <c r="P38" i="48" s="1"/>
  <c r="K38" i="48"/>
  <c r="J38" i="48"/>
  <c r="H38" i="48"/>
  <c r="X38" i="48" s="1"/>
  <c r="AA38" i="48" s="1"/>
  <c r="W37" i="48"/>
  <c r="V37" i="48"/>
  <c r="T37" i="48"/>
  <c r="S37" i="48"/>
  <c r="R37" i="48"/>
  <c r="Q37" i="48"/>
  <c r="L37" i="48"/>
  <c r="M37" i="48" s="1"/>
  <c r="N37" i="48" s="1"/>
  <c r="O37" i="48" s="1"/>
  <c r="P37" i="48" s="1"/>
  <c r="K37" i="48"/>
  <c r="J37" i="48"/>
  <c r="H37" i="48"/>
  <c r="I37" i="48" s="1"/>
  <c r="W36" i="48"/>
  <c r="V36" i="48"/>
  <c r="T36" i="48"/>
  <c r="S36" i="48"/>
  <c r="R36" i="48"/>
  <c r="Q36" i="48"/>
  <c r="L36" i="48"/>
  <c r="M36" i="48" s="1"/>
  <c r="N36" i="48" s="1"/>
  <c r="O36" i="48" s="1"/>
  <c r="P36" i="48" s="1"/>
  <c r="K36" i="48"/>
  <c r="J36" i="48"/>
  <c r="H36" i="48"/>
  <c r="X36" i="48" s="1"/>
  <c r="AA36" i="48" s="1"/>
  <c r="W35" i="48"/>
  <c r="V35" i="48"/>
  <c r="T35" i="48"/>
  <c r="S35" i="48"/>
  <c r="R35" i="48"/>
  <c r="Q35" i="48"/>
  <c r="L35" i="48"/>
  <c r="M35" i="48" s="1"/>
  <c r="N35" i="48" s="1"/>
  <c r="O35" i="48" s="1"/>
  <c r="P35" i="48" s="1"/>
  <c r="K35" i="48"/>
  <c r="J35" i="48"/>
  <c r="H35" i="48"/>
  <c r="X35" i="48" s="1"/>
  <c r="AA35" i="48" s="1"/>
  <c r="W34" i="48"/>
  <c r="V34" i="48"/>
  <c r="T34" i="48"/>
  <c r="S34" i="48"/>
  <c r="R34" i="48"/>
  <c r="Q34" i="48"/>
  <c r="L34" i="48"/>
  <c r="M34" i="48" s="1"/>
  <c r="N34" i="48" s="1"/>
  <c r="O34" i="48" s="1"/>
  <c r="P34" i="48" s="1"/>
  <c r="K34" i="48"/>
  <c r="J34" i="48"/>
  <c r="H34" i="48"/>
  <c r="X34" i="48" s="1"/>
  <c r="AA34" i="48" s="1"/>
  <c r="W33" i="48"/>
  <c r="V33" i="48"/>
  <c r="T33" i="48"/>
  <c r="S33" i="48"/>
  <c r="R33" i="48"/>
  <c r="Q33" i="48"/>
  <c r="L33" i="48"/>
  <c r="M33" i="48" s="1"/>
  <c r="N33" i="48" s="1"/>
  <c r="O33" i="48" s="1"/>
  <c r="P33" i="48" s="1"/>
  <c r="K33" i="48"/>
  <c r="J33" i="48"/>
  <c r="H33" i="48"/>
  <c r="I33" i="48" s="1"/>
  <c r="W32" i="48"/>
  <c r="V32" i="48"/>
  <c r="T32" i="48"/>
  <c r="S32" i="48"/>
  <c r="R32" i="48"/>
  <c r="Q32" i="48"/>
  <c r="L32" i="48"/>
  <c r="M32" i="48" s="1"/>
  <c r="N32" i="48" s="1"/>
  <c r="O32" i="48" s="1"/>
  <c r="P32" i="48" s="1"/>
  <c r="K32" i="48"/>
  <c r="J32" i="48"/>
  <c r="H32" i="48"/>
  <c r="X32" i="48" s="1"/>
  <c r="AA32" i="48" s="1"/>
  <c r="W31" i="48"/>
  <c r="V31" i="48"/>
  <c r="T31" i="48"/>
  <c r="S31" i="48"/>
  <c r="R31" i="48"/>
  <c r="Q31" i="48"/>
  <c r="L31" i="48"/>
  <c r="M31" i="48" s="1"/>
  <c r="N31" i="48" s="1"/>
  <c r="O31" i="48" s="1"/>
  <c r="P31" i="48" s="1"/>
  <c r="K31" i="48"/>
  <c r="J31" i="48"/>
  <c r="H31" i="48"/>
  <c r="X31" i="48" s="1"/>
  <c r="AA31" i="48" s="1"/>
  <c r="W30" i="48"/>
  <c r="V30" i="48"/>
  <c r="T30" i="48"/>
  <c r="S30" i="48"/>
  <c r="R30" i="48"/>
  <c r="Q30" i="48"/>
  <c r="L30" i="48"/>
  <c r="M30" i="48" s="1"/>
  <c r="N30" i="48" s="1"/>
  <c r="O30" i="48" s="1"/>
  <c r="P30" i="48" s="1"/>
  <c r="K30" i="48"/>
  <c r="J30" i="48"/>
  <c r="H30" i="48"/>
  <c r="X30" i="48" s="1"/>
  <c r="AA30" i="48" s="1"/>
  <c r="W29" i="48"/>
  <c r="V29" i="48"/>
  <c r="T29" i="48"/>
  <c r="S29" i="48"/>
  <c r="R29" i="48"/>
  <c r="Q29" i="48"/>
  <c r="L29" i="48"/>
  <c r="M29" i="48" s="1"/>
  <c r="N29" i="48" s="1"/>
  <c r="O29" i="48" s="1"/>
  <c r="P29" i="48" s="1"/>
  <c r="K29" i="48"/>
  <c r="J29" i="48"/>
  <c r="H29" i="48"/>
  <c r="I29" i="48" s="1"/>
  <c r="W28" i="48"/>
  <c r="V28" i="48"/>
  <c r="T28" i="48"/>
  <c r="S28" i="48"/>
  <c r="R28" i="48"/>
  <c r="Q28" i="48"/>
  <c r="L28" i="48"/>
  <c r="M28" i="48" s="1"/>
  <c r="N28" i="48" s="1"/>
  <c r="O28" i="48" s="1"/>
  <c r="P28" i="48" s="1"/>
  <c r="K28" i="48"/>
  <c r="J28" i="48"/>
  <c r="H28" i="48"/>
  <c r="I28" i="48" s="1"/>
  <c r="W27" i="48"/>
  <c r="V27" i="48"/>
  <c r="T27" i="48"/>
  <c r="S27" i="48"/>
  <c r="R27" i="48"/>
  <c r="Q27" i="48"/>
  <c r="L27" i="48"/>
  <c r="M27" i="48" s="1"/>
  <c r="N27" i="48" s="1"/>
  <c r="O27" i="48" s="1"/>
  <c r="P27" i="48" s="1"/>
  <c r="K27" i="48"/>
  <c r="J27" i="48"/>
  <c r="H27" i="48"/>
  <c r="X27" i="48" s="1"/>
  <c r="AA27" i="48" s="1"/>
  <c r="W26" i="48"/>
  <c r="V26" i="48"/>
  <c r="T26" i="48"/>
  <c r="S26" i="48"/>
  <c r="R26" i="48"/>
  <c r="Q26" i="48"/>
  <c r="L26" i="48"/>
  <c r="M26" i="48" s="1"/>
  <c r="N26" i="48" s="1"/>
  <c r="O26" i="48" s="1"/>
  <c r="P26" i="48" s="1"/>
  <c r="K26" i="48"/>
  <c r="J26" i="48"/>
  <c r="H26" i="48"/>
  <c r="X26" i="48" s="1"/>
  <c r="AA26" i="48" s="1"/>
  <c r="W25" i="48"/>
  <c r="V25" i="48"/>
  <c r="T25" i="48"/>
  <c r="S25" i="48"/>
  <c r="R25" i="48"/>
  <c r="Q25" i="48"/>
  <c r="L25" i="48"/>
  <c r="M25" i="48" s="1"/>
  <c r="N25" i="48" s="1"/>
  <c r="O25" i="48" s="1"/>
  <c r="P25" i="48" s="1"/>
  <c r="K25" i="48"/>
  <c r="J25" i="48"/>
  <c r="H25" i="48"/>
  <c r="X25" i="48" s="1"/>
  <c r="AA25" i="48" s="1"/>
  <c r="W24" i="48"/>
  <c r="V24" i="48"/>
  <c r="T24" i="48"/>
  <c r="S24" i="48"/>
  <c r="R24" i="48"/>
  <c r="Q24" i="48"/>
  <c r="L24" i="48"/>
  <c r="M24" i="48" s="1"/>
  <c r="N24" i="48" s="1"/>
  <c r="O24" i="48" s="1"/>
  <c r="P24" i="48" s="1"/>
  <c r="K24" i="48"/>
  <c r="J24" i="48"/>
  <c r="H24" i="48"/>
  <c r="X24" i="48" s="1"/>
  <c r="AA24" i="48" s="1"/>
  <c r="W23" i="48"/>
  <c r="V23" i="48"/>
  <c r="T23" i="48"/>
  <c r="S23" i="48"/>
  <c r="R23" i="48"/>
  <c r="Q23" i="48"/>
  <c r="L23" i="48"/>
  <c r="M23" i="48" s="1"/>
  <c r="N23" i="48" s="1"/>
  <c r="O23" i="48" s="1"/>
  <c r="P23" i="48" s="1"/>
  <c r="K23" i="48"/>
  <c r="J23" i="48"/>
  <c r="H23" i="48"/>
  <c r="X23" i="48" s="1"/>
  <c r="AA23" i="48" s="1"/>
  <c r="W22" i="48"/>
  <c r="V22" i="48"/>
  <c r="T22" i="48"/>
  <c r="S22" i="48"/>
  <c r="R22" i="48"/>
  <c r="Q22" i="48"/>
  <c r="L22" i="48"/>
  <c r="M22" i="48" s="1"/>
  <c r="N22" i="48" s="1"/>
  <c r="O22" i="48" s="1"/>
  <c r="P22" i="48" s="1"/>
  <c r="K22" i="48"/>
  <c r="J22" i="48"/>
  <c r="H22" i="48"/>
  <c r="X22" i="48" s="1"/>
  <c r="AA22" i="48" s="1"/>
  <c r="W21" i="48"/>
  <c r="V21" i="48"/>
  <c r="T21" i="48"/>
  <c r="S21" i="48"/>
  <c r="R21" i="48"/>
  <c r="Q21" i="48"/>
  <c r="L21" i="48"/>
  <c r="M21" i="48" s="1"/>
  <c r="N21" i="48" s="1"/>
  <c r="O21" i="48" s="1"/>
  <c r="P21" i="48" s="1"/>
  <c r="K21" i="48"/>
  <c r="J21" i="48"/>
  <c r="H21" i="48"/>
  <c r="X21" i="48" s="1"/>
  <c r="AA21" i="48" s="1"/>
  <c r="W20" i="48"/>
  <c r="V20" i="48"/>
  <c r="T20" i="48"/>
  <c r="S20" i="48"/>
  <c r="R20" i="48"/>
  <c r="Q20" i="48"/>
  <c r="L20" i="48"/>
  <c r="M20" i="48" s="1"/>
  <c r="N20" i="48" s="1"/>
  <c r="O20" i="48" s="1"/>
  <c r="P20" i="48" s="1"/>
  <c r="K20" i="48"/>
  <c r="J20" i="48"/>
  <c r="H20" i="48"/>
  <c r="X20" i="48" s="1"/>
  <c r="AA20" i="48" s="1"/>
  <c r="W19" i="48"/>
  <c r="V19" i="48"/>
  <c r="T19" i="48"/>
  <c r="S19" i="48"/>
  <c r="R19" i="48"/>
  <c r="Q19" i="48"/>
  <c r="L19" i="48"/>
  <c r="M19" i="48" s="1"/>
  <c r="N19" i="48" s="1"/>
  <c r="O19" i="48" s="1"/>
  <c r="P19" i="48" s="1"/>
  <c r="K19" i="48"/>
  <c r="J19" i="48"/>
  <c r="H19" i="48"/>
  <c r="X19" i="48" s="1"/>
  <c r="AA19" i="48" s="1"/>
  <c r="W18" i="48"/>
  <c r="V18" i="48"/>
  <c r="T18" i="48"/>
  <c r="S18" i="48"/>
  <c r="R18" i="48"/>
  <c r="Q18" i="48"/>
  <c r="L18" i="48"/>
  <c r="M18" i="48" s="1"/>
  <c r="N18" i="48" s="1"/>
  <c r="O18" i="48" s="1"/>
  <c r="P18" i="48" s="1"/>
  <c r="K18" i="48"/>
  <c r="J18" i="48"/>
  <c r="H18" i="48"/>
  <c r="X18" i="48" s="1"/>
  <c r="AA18" i="48" s="1"/>
  <c r="W17" i="48"/>
  <c r="V17" i="48"/>
  <c r="T17" i="48"/>
  <c r="S17" i="48"/>
  <c r="R17" i="48"/>
  <c r="Q17" i="48"/>
  <c r="L17" i="48"/>
  <c r="M17" i="48" s="1"/>
  <c r="N17" i="48" s="1"/>
  <c r="O17" i="48" s="1"/>
  <c r="P17" i="48" s="1"/>
  <c r="K17" i="48"/>
  <c r="J17" i="48"/>
  <c r="H17" i="48"/>
  <c r="X17" i="48" s="1"/>
  <c r="AA17" i="48" s="1"/>
  <c r="W16" i="48"/>
  <c r="V16" i="48"/>
  <c r="T16" i="48"/>
  <c r="S16" i="48"/>
  <c r="R16" i="48"/>
  <c r="Q16" i="48"/>
  <c r="L16" i="48"/>
  <c r="M16" i="48" s="1"/>
  <c r="N16" i="48" s="1"/>
  <c r="O16" i="48" s="1"/>
  <c r="P16" i="48" s="1"/>
  <c r="K16" i="48"/>
  <c r="J16" i="48"/>
  <c r="H16" i="48"/>
  <c r="I16" i="48" s="1"/>
  <c r="W15" i="48"/>
  <c r="V15" i="48"/>
  <c r="T15" i="48"/>
  <c r="S15" i="48"/>
  <c r="R15" i="48"/>
  <c r="Q15" i="48"/>
  <c r="L15" i="48"/>
  <c r="M15" i="48" s="1"/>
  <c r="N15" i="48" s="1"/>
  <c r="O15" i="48" s="1"/>
  <c r="P15" i="48" s="1"/>
  <c r="K15" i="48"/>
  <c r="J15" i="48"/>
  <c r="H15" i="48"/>
  <c r="X15" i="48" s="1"/>
  <c r="AA15" i="48" s="1"/>
  <c r="W14" i="48"/>
  <c r="V14" i="48"/>
  <c r="T14" i="48"/>
  <c r="S14" i="48"/>
  <c r="R14" i="48"/>
  <c r="Q14" i="48"/>
  <c r="L14" i="48"/>
  <c r="M14" i="48" s="1"/>
  <c r="N14" i="48" s="1"/>
  <c r="O14" i="48" s="1"/>
  <c r="P14" i="48" s="1"/>
  <c r="K14" i="48"/>
  <c r="J14" i="48"/>
  <c r="H14" i="48"/>
  <c r="X14" i="48" s="1"/>
  <c r="AA14" i="48" s="1"/>
  <c r="W13" i="48"/>
  <c r="V13" i="48"/>
  <c r="T13" i="48"/>
  <c r="S13" i="48"/>
  <c r="R13" i="48"/>
  <c r="Q13" i="48"/>
  <c r="L13" i="48"/>
  <c r="M13" i="48" s="1"/>
  <c r="N13" i="48" s="1"/>
  <c r="O13" i="48" s="1"/>
  <c r="P13" i="48" s="1"/>
  <c r="K13" i="48"/>
  <c r="J13" i="48"/>
  <c r="H13" i="48"/>
  <c r="X13" i="48" s="1"/>
  <c r="AA13" i="48" s="1"/>
  <c r="W12" i="48"/>
  <c r="V12" i="48"/>
  <c r="T12" i="48"/>
  <c r="S12" i="48"/>
  <c r="R12" i="48"/>
  <c r="Q12" i="48"/>
  <c r="L12" i="48"/>
  <c r="M12" i="48" s="1"/>
  <c r="N12" i="48" s="1"/>
  <c r="O12" i="48" s="1"/>
  <c r="P12" i="48" s="1"/>
  <c r="K12" i="48"/>
  <c r="J12" i="48"/>
  <c r="H12" i="48"/>
  <c r="I12" i="48" s="1"/>
  <c r="W11" i="48"/>
  <c r="V11" i="48"/>
  <c r="T11" i="48"/>
  <c r="S11" i="48"/>
  <c r="R11" i="48"/>
  <c r="Q11" i="48"/>
  <c r="L11" i="48"/>
  <c r="M11" i="48" s="1"/>
  <c r="N11" i="48" s="1"/>
  <c r="O11" i="48" s="1"/>
  <c r="P11" i="48" s="1"/>
  <c r="K11" i="48"/>
  <c r="J11" i="48"/>
  <c r="H11" i="48"/>
  <c r="X11" i="48" s="1"/>
  <c r="AA11" i="48" s="1"/>
  <c r="W10" i="48"/>
  <c r="V10" i="48"/>
  <c r="T10" i="48"/>
  <c r="S10" i="48"/>
  <c r="R10" i="48"/>
  <c r="Q10" i="48"/>
  <c r="L10" i="48"/>
  <c r="M10" i="48" s="1"/>
  <c r="N10" i="48" s="1"/>
  <c r="O10" i="48" s="1"/>
  <c r="P10" i="48" s="1"/>
  <c r="K10" i="48"/>
  <c r="J10" i="48"/>
  <c r="H10" i="48"/>
  <c r="X10" i="48" s="1"/>
  <c r="AA10" i="48" s="1"/>
  <c r="W9" i="48"/>
  <c r="V9" i="48"/>
  <c r="T9" i="48"/>
  <c r="S9" i="48"/>
  <c r="R9" i="48"/>
  <c r="Q9" i="48"/>
  <c r="L9" i="48"/>
  <c r="M9" i="48" s="1"/>
  <c r="N9" i="48" s="1"/>
  <c r="O9" i="48" s="1"/>
  <c r="P9" i="48" s="1"/>
  <c r="K9" i="48"/>
  <c r="J9" i="48"/>
  <c r="H9" i="48"/>
  <c r="I9" i="48" s="1"/>
  <c r="W8" i="48"/>
  <c r="V8" i="48"/>
  <c r="T8" i="48"/>
  <c r="S8" i="48"/>
  <c r="R8" i="48"/>
  <c r="Q8" i="48"/>
  <c r="L8" i="48"/>
  <c r="M8" i="48" s="1"/>
  <c r="N8" i="48" s="1"/>
  <c r="O8" i="48" s="1"/>
  <c r="P8" i="48" s="1"/>
  <c r="K8" i="48"/>
  <c r="J8" i="48"/>
  <c r="H8" i="48"/>
  <c r="X8" i="48" s="1"/>
  <c r="AA8" i="48" s="1"/>
  <c r="W7" i="48"/>
  <c r="V7" i="48"/>
  <c r="T7" i="48"/>
  <c r="S7" i="48"/>
  <c r="R7" i="48"/>
  <c r="Q7" i="48"/>
  <c r="L7" i="48"/>
  <c r="M7" i="48" s="1"/>
  <c r="N7" i="48" s="1"/>
  <c r="O7" i="48" s="1"/>
  <c r="P7" i="48" s="1"/>
  <c r="K7" i="48"/>
  <c r="J7" i="48"/>
  <c r="H7" i="48"/>
  <c r="X7" i="48" s="1"/>
  <c r="AA7" i="48" s="1"/>
  <c r="Y286" i="48" l="1"/>
  <c r="Y446" i="48"/>
  <c r="Y662" i="48"/>
  <c r="Y74" i="48"/>
  <c r="Y385" i="48"/>
  <c r="Y124" i="48"/>
  <c r="Y508" i="48"/>
  <c r="Y674" i="48"/>
  <c r="Y192" i="48"/>
  <c r="Y608" i="48"/>
  <c r="Y259" i="48"/>
  <c r="I129" i="48"/>
  <c r="X494" i="48"/>
  <c r="AA494" i="48" s="1"/>
  <c r="Y929" i="48"/>
  <c r="I788" i="48"/>
  <c r="X344" i="48"/>
  <c r="AA344" i="48" s="1"/>
  <c r="I240" i="48"/>
  <c r="I241" i="48"/>
  <c r="I243" i="48"/>
  <c r="I660" i="48"/>
  <c r="X80" i="48"/>
  <c r="AA80" i="48" s="1"/>
  <c r="I390" i="48"/>
  <c r="I359" i="48"/>
  <c r="I756" i="48"/>
  <c r="Y352" i="48"/>
  <c r="Y82" i="48"/>
  <c r="I207" i="48"/>
  <c r="I471" i="48"/>
  <c r="I825" i="48"/>
  <c r="I840" i="48"/>
  <c r="I871" i="48"/>
  <c r="Y825" i="48"/>
  <c r="I635" i="48"/>
  <c r="I661" i="48"/>
  <c r="I177" i="48"/>
  <c r="Y439" i="48"/>
  <c r="Y335" i="48"/>
  <c r="I829" i="48"/>
  <c r="Y48" i="48"/>
  <c r="X182" i="48"/>
  <c r="AA182" i="48" s="1"/>
  <c r="Y427" i="48"/>
  <c r="I878" i="48"/>
  <c r="Y687" i="48"/>
  <c r="Y186" i="48"/>
  <c r="I429" i="48"/>
  <c r="X614" i="48"/>
  <c r="AA614" i="48" s="1"/>
  <c r="I43" i="48"/>
  <c r="Y355" i="48"/>
  <c r="I409" i="48"/>
  <c r="I604" i="48"/>
  <c r="I606" i="48"/>
  <c r="I816" i="48"/>
  <c r="Y817" i="48"/>
  <c r="I821" i="48"/>
  <c r="Y861" i="48"/>
  <c r="I887" i="48"/>
  <c r="I26" i="48"/>
  <c r="Y39" i="48"/>
  <c r="Y126" i="48"/>
  <c r="Y583" i="48"/>
  <c r="X705" i="48"/>
  <c r="AA705" i="48" s="1"/>
  <c r="I728" i="48"/>
  <c r="X942" i="48"/>
  <c r="AA942" i="48" s="1"/>
  <c r="Y241" i="48"/>
  <c r="I253" i="48"/>
  <c r="Y701" i="48"/>
  <c r="I759" i="48"/>
  <c r="I764" i="48"/>
  <c r="Y849" i="48"/>
  <c r="X880" i="48"/>
  <c r="AA880" i="48" s="1"/>
  <c r="I898" i="48"/>
  <c r="I123" i="48"/>
  <c r="I151" i="48"/>
  <c r="I197" i="48"/>
  <c r="Y372" i="48"/>
  <c r="I689" i="48"/>
  <c r="I792" i="48"/>
  <c r="X796" i="48"/>
  <c r="AA796" i="48" s="1"/>
  <c r="I867" i="48"/>
  <c r="I149" i="48"/>
  <c r="I195" i="48"/>
  <c r="I277" i="48"/>
  <c r="I284" i="48"/>
  <c r="I418" i="48"/>
  <c r="I454" i="48"/>
  <c r="I490" i="48"/>
  <c r="I589" i="48"/>
  <c r="Y720" i="48"/>
  <c r="I784" i="48"/>
  <c r="X804" i="48"/>
  <c r="AA804" i="48" s="1"/>
  <c r="I870" i="48"/>
  <c r="I19" i="48"/>
  <c r="I66" i="48"/>
  <c r="I147" i="48"/>
  <c r="Y159" i="48"/>
  <c r="X206" i="48"/>
  <c r="AA206" i="48" s="1"/>
  <c r="Y261" i="48"/>
  <c r="I289" i="48"/>
  <c r="Y300" i="48"/>
  <c r="Y312" i="48"/>
  <c r="Y325" i="48"/>
  <c r="Y333" i="48"/>
  <c r="I411" i="48"/>
  <c r="Y411" i="48"/>
  <c r="Y556" i="48"/>
  <c r="I627" i="48"/>
  <c r="I664" i="48"/>
  <c r="I669" i="48"/>
  <c r="I671" i="48"/>
  <c r="I683" i="48"/>
  <c r="Y684" i="48"/>
  <c r="X691" i="48"/>
  <c r="AA691" i="48" s="1"/>
  <c r="Y704" i="48"/>
  <c r="I772" i="48"/>
  <c r="X797" i="48"/>
  <c r="AA797" i="48" s="1"/>
  <c r="I902" i="48"/>
  <c r="Y907" i="48"/>
  <c r="Y963" i="48"/>
  <c r="Y18" i="48"/>
  <c r="I59" i="48"/>
  <c r="Y64" i="48"/>
  <c r="I89" i="48"/>
  <c r="Y90" i="48"/>
  <c r="Y414" i="48"/>
  <c r="Y447" i="48"/>
  <c r="Y688" i="48"/>
  <c r="Y716" i="48"/>
  <c r="Y732" i="48"/>
  <c r="I760" i="48"/>
  <c r="X823" i="48"/>
  <c r="AA823" i="48" s="1"/>
  <c r="Y826" i="48"/>
  <c r="I895" i="48"/>
  <c r="X926" i="48"/>
  <c r="AA926" i="48" s="1"/>
  <c r="Y227" i="48"/>
  <c r="Y239" i="48"/>
  <c r="Y310" i="48"/>
  <c r="Y407" i="48"/>
  <c r="I430" i="48"/>
  <c r="Y482" i="48"/>
  <c r="X507" i="48"/>
  <c r="AA507" i="48" s="1"/>
  <c r="X610" i="48"/>
  <c r="AA610" i="48" s="1"/>
  <c r="X753" i="48"/>
  <c r="AA753" i="48" s="1"/>
  <c r="Y756" i="48"/>
  <c r="X856" i="48"/>
  <c r="AA856" i="48" s="1"/>
  <c r="Y863" i="48"/>
  <c r="X868" i="48"/>
  <c r="AA868" i="48" s="1"/>
  <c r="Y925" i="48"/>
  <c r="Y934" i="48"/>
  <c r="Y24" i="48"/>
  <c r="Y30" i="48"/>
  <c r="I30" i="48"/>
  <c r="I143" i="48"/>
  <c r="X186" i="48"/>
  <c r="AA186" i="48" s="1"/>
  <c r="I203" i="48"/>
  <c r="Y207" i="48"/>
  <c r="I217" i="48"/>
  <c r="I276" i="48"/>
  <c r="I285" i="48"/>
  <c r="X338" i="48"/>
  <c r="AA338" i="48" s="1"/>
  <c r="I363" i="48"/>
  <c r="Y368" i="48"/>
  <c r="I378" i="48"/>
  <c r="I426" i="48"/>
  <c r="X478" i="48"/>
  <c r="AA478" i="48" s="1"/>
  <c r="I588" i="48"/>
  <c r="I590" i="48"/>
  <c r="I609" i="48"/>
  <c r="I719" i="48"/>
  <c r="Y293" i="48"/>
  <c r="Y405" i="48"/>
  <c r="Y415" i="48"/>
  <c r="I422" i="48"/>
  <c r="I433" i="48"/>
  <c r="Y455" i="48"/>
  <c r="I611" i="48"/>
  <c r="I643" i="48"/>
  <c r="Y677" i="48"/>
  <c r="Y695" i="48"/>
  <c r="Y805" i="48"/>
  <c r="Y837" i="48"/>
  <c r="Y846" i="48"/>
  <c r="I891" i="48"/>
  <c r="Y73" i="48"/>
  <c r="Y94" i="48"/>
  <c r="X138" i="48"/>
  <c r="AA138" i="48" s="1"/>
  <c r="I153" i="48"/>
  <c r="I163" i="48"/>
  <c r="Y174" i="48"/>
  <c r="X198" i="48"/>
  <c r="AA198" i="48" s="1"/>
  <c r="Y229" i="48"/>
  <c r="I401" i="48"/>
  <c r="X496" i="48"/>
  <c r="AA496" i="48" s="1"/>
  <c r="Y797" i="48"/>
  <c r="Y854" i="48"/>
  <c r="Y199" i="48"/>
  <c r="X298" i="48"/>
  <c r="AA298" i="48" s="1"/>
  <c r="I298" i="48"/>
  <c r="I601" i="48"/>
  <c r="X601" i="48"/>
  <c r="AA601" i="48" s="1"/>
  <c r="I10" i="48"/>
  <c r="I50" i="48"/>
  <c r="Y58" i="48"/>
  <c r="Y75" i="48"/>
  <c r="Y146" i="48"/>
  <c r="Y162" i="48"/>
  <c r="I236" i="48"/>
  <c r="I264" i="48"/>
  <c r="I273" i="48"/>
  <c r="Y304" i="48"/>
  <c r="Y311" i="48"/>
  <c r="I405" i="48"/>
  <c r="Y423" i="48"/>
  <c r="I425" i="48"/>
  <c r="Y426" i="48"/>
  <c r="X463" i="48"/>
  <c r="AA463" i="48" s="1"/>
  <c r="I706" i="48"/>
  <c r="X706" i="48"/>
  <c r="AA706" i="48" s="1"/>
  <c r="Y42" i="48"/>
  <c r="Y72" i="48"/>
  <c r="I78" i="48"/>
  <c r="I85" i="48"/>
  <c r="I95" i="48"/>
  <c r="Y95" i="48"/>
  <c r="Y128" i="48"/>
  <c r="Y139" i="48"/>
  <c r="Y143" i="48"/>
  <c r="X171" i="48"/>
  <c r="AA171" i="48" s="1"/>
  <c r="I171" i="48"/>
  <c r="Y196" i="48"/>
  <c r="X205" i="48"/>
  <c r="AA205" i="48" s="1"/>
  <c r="I205" i="48"/>
  <c r="Y218" i="48"/>
  <c r="I232" i="48"/>
  <c r="Y247" i="48"/>
  <c r="X260" i="48"/>
  <c r="AA260" i="48" s="1"/>
  <c r="I260" i="48"/>
  <c r="Y317" i="48"/>
  <c r="I349" i="48"/>
  <c r="Y351" i="48"/>
  <c r="X354" i="48"/>
  <c r="AA354" i="48" s="1"/>
  <c r="I354" i="48"/>
  <c r="I385" i="48"/>
  <c r="I394" i="48"/>
  <c r="Y394" i="48"/>
  <c r="Y410" i="48"/>
  <c r="I592" i="48"/>
  <c r="Y660" i="48"/>
  <c r="I690" i="48"/>
  <c r="X690" i="48"/>
  <c r="AA690" i="48" s="1"/>
  <c r="Y171" i="48"/>
  <c r="X252" i="48"/>
  <c r="AA252" i="48" s="1"/>
  <c r="I252" i="48"/>
  <c r="Y378" i="48"/>
  <c r="Y428" i="48"/>
  <c r="Y444" i="48"/>
  <c r="I543" i="48"/>
  <c r="X543" i="48"/>
  <c r="AA543" i="48" s="1"/>
  <c r="Y586" i="48"/>
  <c r="X615" i="48"/>
  <c r="AA615" i="48" s="1"/>
  <c r="I615" i="48"/>
  <c r="I464" i="48"/>
  <c r="X464" i="48"/>
  <c r="AA464" i="48" s="1"/>
  <c r="X599" i="48"/>
  <c r="AA599" i="48" s="1"/>
  <c r="I599" i="48"/>
  <c r="X743" i="48"/>
  <c r="AA743" i="48" s="1"/>
  <c r="I743" i="48"/>
  <c r="Y14" i="48"/>
  <c r="I11" i="48"/>
  <c r="I23" i="48"/>
  <c r="I35" i="48"/>
  <c r="Y135" i="48"/>
  <c r="X150" i="48"/>
  <c r="AA150" i="48" s="1"/>
  <c r="I157" i="48"/>
  <c r="X166" i="48"/>
  <c r="AA166" i="48" s="1"/>
  <c r="Y170" i="48"/>
  <c r="X194" i="48"/>
  <c r="AA194" i="48" s="1"/>
  <c r="X216" i="48"/>
  <c r="AA216" i="48" s="1"/>
  <c r="I263" i="48"/>
  <c r="X263" i="48"/>
  <c r="AA263" i="48" s="1"/>
  <c r="I272" i="48"/>
  <c r="X281" i="48"/>
  <c r="AA281" i="48" s="1"/>
  <c r="I281" i="48"/>
  <c r="X287" i="48"/>
  <c r="AA287" i="48" s="1"/>
  <c r="Y297" i="48"/>
  <c r="Y336" i="48"/>
  <c r="X342" i="48"/>
  <c r="AA342" i="48" s="1"/>
  <c r="X345" i="48"/>
  <c r="AA345" i="48" s="1"/>
  <c r="I345" i="48"/>
  <c r="X397" i="48"/>
  <c r="AA397" i="48" s="1"/>
  <c r="I397" i="48"/>
  <c r="Y467" i="48"/>
  <c r="Y525" i="48"/>
  <c r="X724" i="48"/>
  <c r="AA724" i="48" s="1"/>
  <c r="I724" i="48"/>
  <c r="Y34" i="48"/>
  <c r="X72" i="48"/>
  <c r="AA72" i="48" s="1"/>
  <c r="I101" i="48"/>
  <c r="X126" i="48"/>
  <c r="AA126" i="48" s="1"/>
  <c r="Y140" i="48"/>
  <c r="I191" i="48"/>
  <c r="I193" i="48"/>
  <c r="Y202" i="48"/>
  <c r="Y248" i="48"/>
  <c r="Y257" i="48"/>
  <c r="I259" i="48"/>
  <c r="I265" i="48"/>
  <c r="I295" i="48"/>
  <c r="Y318" i="48"/>
  <c r="I369" i="48"/>
  <c r="I374" i="48"/>
  <c r="X381" i="48"/>
  <c r="AA381" i="48" s="1"/>
  <c r="I381" i="48"/>
  <c r="I447" i="48"/>
  <c r="Y470" i="48"/>
  <c r="I487" i="48"/>
  <c r="X487" i="48"/>
  <c r="AA487" i="48" s="1"/>
  <c r="Y506" i="48"/>
  <c r="X518" i="48"/>
  <c r="AA518" i="48" s="1"/>
  <c r="I518" i="48"/>
  <c r="I554" i="48"/>
  <c r="X554" i="48"/>
  <c r="AA554" i="48" s="1"/>
  <c r="I584" i="48"/>
  <c r="Y603" i="48"/>
  <c r="X677" i="48"/>
  <c r="AA677" i="48" s="1"/>
  <c r="I677" i="48"/>
  <c r="X441" i="48"/>
  <c r="AA441" i="48" s="1"/>
  <c r="I441" i="48"/>
  <c r="Y490" i="48"/>
  <c r="Y78" i="48"/>
  <c r="Y150" i="48"/>
  <c r="X162" i="48"/>
  <c r="AA162" i="48" s="1"/>
  <c r="X165" i="48"/>
  <c r="AA165" i="48" s="1"/>
  <c r="I165" i="48"/>
  <c r="Y306" i="48"/>
  <c r="Y334" i="48"/>
  <c r="Y384" i="48"/>
  <c r="Y386" i="48"/>
  <c r="Y431" i="48"/>
  <c r="Y440" i="48"/>
  <c r="Y456" i="48"/>
  <c r="I883" i="48"/>
  <c r="Y891" i="48"/>
  <c r="Y903" i="48"/>
  <c r="Y671" i="48"/>
  <c r="Y672" i="48"/>
  <c r="Y708" i="48"/>
  <c r="I845" i="48"/>
  <c r="X854" i="48"/>
  <c r="AA854" i="48" s="1"/>
  <c r="X869" i="48"/>
  <c r="AA869" i="48" s="1"/>
  <c r="I875" i="48"/>
  <c r="Y875" i="48"/>
  <c r="Y928" i="48"/>
  <c r="Y528" i="48"/>
  <c r="Y599" i="48"/>
  <c r="I631" i="48"/>
  <c r="I647" i="48"/>
  <c r="I651" i="48"/>
  <c r="I653" i="48"/>
  <c r="I655" i="48"/>
  <c r="X679" i="48"/>
  <c r="AA679" i="48" s="1"/>
  <c r="I700" i="48"/>
  <c r="X718" i="48"/>
  <c r="AA718" i="48" s="1"/>
  <c r="I739" i="48"/>
  <c r="I752" i="48"/>
  <c r="I776" i="48"/>
  <c r="I780" i="48"/>
  <c r="X814" i="48"/>
  <c r="AA814" i="48" s="1"/>
  <c r="Y845" i="48"/>
  <c r="Y915" i="48"/>
  <c r="Y920" i="48"/>
  <c r="X932" i="48"/>
  <c r="AA932" i="48" s="1"/>
  <c r="Y959" i="48"/>
  <c r="Y176" i="48"/>
  <c r="Y237" i="48"/>
  <c r="Y292" i="48"/>
  <c r="Y326" i="48"/>
  <c r="Y363" i="48"/>
  <c r="Y379" i="48"/>
  <c r="Y395" i="48"/>
  <c r="Y408" i="48"/>
  <c r="X465" i="48"/>
  <c r="AA465" i="48" s="1"/>
  <c r="X488" i="48"/>
  <c r="AA488" i="48" s="1"/>
  <c r="Y509" i="48"/>
  <c r="X575" i="48"/>
  <c r="AA575" i="48" s="1"/>
  <c r="I583" i="48"/>
  <c r="I608" i="48"/>
  <c r="Y663" i="48"/>
  <c r="I673" i="48"/>
  <c r="Y698" i="48"/>
  <c r="I715" i="48"/>
  <c r="Y733" i="48"/>
  <c r="X745" i="48"/>
  <c r="AA745" i="48" s="1"/>
  <c r="Y765" i="48"/>
  <c r="I767" i="48"/>
  <c r="I787" i="48"/>
  <c r="Y789" i="48"/>
  <c r="I791" i="48"/>
  <c r="Y813" i="48"/>
  <c r="I855" i="48"/>
  <c r="I886" i="48"/>
  <c r="Y904" i="48"/>
  <c r="Y939" i="48"/>
  <c r="Y514" i="48"/>
  <c r="Y589" i="48"/>
  <c r="Y606" i="48"/>
  <c r="Y620" i="48"/>
  <c r="Y668" i="48"/>
  <c r="Y680" i="48"/>
  <c r="Y696" i="48"/>
  <c r="Y721" i="48"/>
  <c r="X741" i="48"/>
  <c r="AA741" i="48" s="1"/>
  <c r="Y744" i="48"/>
  <c r="X873" i="48"/>
  <c r="AA873" i="48" s="1"/>
  <c r="Y919" i="48"/>
  <c r="Y931" i="48"/>
  <c r="Y962" i="48"/>
  <c r="Y319" i="48"/>
  <c r="Y330" i="48"/>
  <c r="Y357" i="48"/>
  <c r="Y359" i="48"/>
  <c r="Y480" i="48"/>
  <c r="Y500" i="48"/>
  <c r="Y512" i="48"/>
  <c r="X550" i="48"/>
  <c r="AA550" i="48" s="1"/>
  <c r="X587" i="48"/>
  <c r="AA587" i="48" s="1"/>
  <c r="I618" i="48"/>
  <c r="I650" i="48"/>
  <c r="X682" i="48"/>
  <c r="AA682" i="48" s="1"/>
  <c r="I684" i="48"/>
  <c r="Y685" i="48"/>
  <c r="Y703" i="48"/>
  <c r="I707" i="48"/>
  <c r="I711" i="48"/>
  <c r="I723" i="48"/>
  <c r="Y757" i="48"/>
  <c r="Y812" i="48"/>
  <c r="Y876" i="48"/>
  <c r="Y935" i="48"/>
  <c r="Y167" i="48"/>
  <c r="X228" i="48"/>
  <c r="AA228" i="48" s="1"/>
  <c r="X237" i="48"/>
  <c r="AA237" i="48" s="1"/>
  <c r="Y243" i="48"/>
  <c r="X279" i="48"/>
  <c r="AA279" i="48" s="1"/>
  <c r="X283" i="48"/>
  <c r="AA283" i="48" s="1"/>
  <c r="Y309" i="48"/>
  <c r="Y327" i="48"/>
  <c r="I421" i="48"/>
  <c r="I423" i="48"/>
  <c r="I453" i="48"/>
  <c r="Y453" i="48"/>
  <c r="Y524" i="48"/>
  <c r="Y560" i="48"/>
  <c r="I600" i="48"/>
  <c r="I623" i="48"/>
  <c r="I639" i="48"/>
  <c r="I658" i="48"/>
  <c r="X717" i="48"/>
  <c r="AA717" i="48" s="1"/>
  <c r="X733" i="48"/>
  <c r="AA733" i="48" s="1"/>
  <c r="I740" i="48"/>
  <c r="I751" i="48"/>
  <c r="I775" i="48"/>
  <c r="I779" i="48"/>
  <c r="Y779" i="48"/>
  <c r="X813" i="48"/>
  <c r="AA813" i="48" s="1"/>
  <c r="X837" i="48"/>
  <c r="AA837" i="48" s="1"/>
  <c r="I852" i="48"/>
  <c r="I863" i="48"/>
  <c r="X888" i="48"/>
  <c r="AA888" i="48" s="1"/>
  <c r="Y927" i="48"/>
  <c r="Y942" i="48"/>
  <c r="Y976" i="48"/>
  <c r="Y749" i="48"/>
  <c r="Y764" i="48"/>
  <c r="Y773" i="48"/>
  <c r="Y788" i="48"/>
  <c r="Y829" i="48"/>
  <c r="Y197" i="48"/>
  <c r="X311" i="48"/>
  <c r="AA311" i="48" s="1"/>
  <c r="I311" i="48"/>
  <c r="X361" i="48"/>
  <c r="AA361" i="48" s="1"/>
  <c r="I361" i="48"/>
  <c r="X377" i="48"/>
  <c r="AA377" i="48" s="1"/>
  <c r="I377" i="48"/>
  <c r="Y40" i="48"/>
  <c r="I42" i="48"/>
  <c r="Y50" i="48"/>
  <c r="I51" i="48"/>
  <c r="Y56" i="48"/>
  <c r="I58" i="48"/>
  <c r="Y66" i="48"/>
  <c r="I67" i="48"/>
  <c r="X81" i="48"/>
  <c r="AA81" i="48" s="1"/>
  <c r="X82" i="48"/>
  <c r="AA82" i="48" s="1"/>
  <c r="I87" i="48"/>
  <c r="Y87" i="48"/>
  <c r="I103" i="48"/>
  <c r="Y103" i="48"/>
  <c r="I105" i="48"/>
  <c r="Y106" i="48"/>
  <c r="I107" i="48"/>
  <c r="Y107" i="48"/>
  <c r="I109" i="48"/>
  <c r="Y110" i="48"/>
  <c r="I111" i="48"/>
  <c r="Y111" i="48"/>
  <c r="I113" i="48"/>
  <c r="Y114" i="48"/>
  <c r="I115" i="48"/>
  <c r="Y115" i="48"/>
  <c r="I117" i="48"/>
  <c r="Y118" i="48"/>
  <c r="I119" i="48"/>
  <c r="Y125" i="48"/>
  <c r="I127" i="48"/>
  <c r="Y138" i="48"/>
  <c r="I139" i="48"/>
  <c r="I141" i="48"/>
  <c r="Y147" i="48"/>
  <c r="Y163" i="48"/>
  <c r="Y166" i="48"/>
  <c r="I175" i="48"/>
  <c r="I209" i="48"/>
  <c r="X214" i="48"/>
  <c r="AA214" i="48" s="1"/>
  <c r="X220" i="48"/>
  <c r="AA220" i="48" s="1"/>
  <c r="X229" i="48"/>
  <c r="AA229" i="48" s="1"/>
  <c r="I229" i="48"/>
  <c r="X248" i="48"/>
  <c r="AA248" i="48" s="1"/>
  <c r="I248" i="48"/>
  <c r="X329" i="48"/>
  <c r="AA329" i="48" s="1"/>
  <c r="I329" i="48"/>
  <c r="X366" i="48"/>
  <c r="AA366" i="48" s="1"/>
  <c r="I366" i="48"/>
  <c r="Y375" i="48"/>
  <c r="X393" i="48"/>
  <c r="AA393" i="48" s="1"/>
  <c r="I393" i="48"/>
  <c r="Y12" i="48"/>
  <c r="I14" i="48"/>
  <c r="Y28" i="48"/>
  <c r="Y37" i="48"/>
  <c r="Y79" i="48"/>
  <c r="Y81" i="48"/>
  <c r="Y102" i="48"/>
  <c r="X120" i="48"/>
  <c r="AA120" i="48" s="1"/>
  <c r="Y156" i="48"/>
  <c r="Y157" i="48"/>
  <c r="X185" i="48"/>
  <c r="AA185" i="48" s="1"/>
  <c r="I185" i="48"/>
  <c r="Y210" i="48"/>
  <c r="I211" i="48"/>
  <c r="I213" i="48"/>
  <c r="X215" i="48"/>
  <c r="AA215" i="48" s="1"/>
  <c r="I215" i="48"/>
  <c r="X221" i="48"/>
  <c r="AA221" i="48" s="1"/>
  <c r="I221" i="48"/>
  <c r="X257" i="48"/>
  <c r="AA257" i="48" s="1"/>
  <c r="I257" i="48"/>
  <c r="Y391" i="48"/>
  <c r="I7" i="48"/>
  <c r="Y44" i="48"/>
  <c r="I46" i="48"/>
  <c r="Y54" i="48"/>
  <c r="I55" i="48"/>
  <c r="Y60" i="48"/>
  <c r="I62" i="48"/>
  <c r="Y70" i="48"/>
  <c r="I71" i="48"/>
  <c r="Y83" i="48"/>
  <c r="I99" i="48"/>
  <c r="Y99" i="48"/>
  <c r="Y119" i="48"/>
  <c r="X122" i="48"/>
  <c r="AA122" i="48" s="1"/>
  <c r="Y127" i="48"/>
  <c r="Y142" i="48"/>
  <c r="Y144" i="48"/>
  <c r="Y145" i="48"/>
  <c r="Y151" i="48"/>
  <c r="Y154" i="48"/>
  <c r="X154" i="48"/>
  <c r="AA154" i="48" s="1"/>
  <c r="Y175" i="48"/>
  <c r="Y178" i="48"/>
  <c r="I179" i="48"/>
  <c r="I181" i="48"/>
  <c r="X183" i="48"/>
  <c r="AA183" i="48" s="1"/>
  <c r="I183" i="48"/>
  <c r="X189" i="48"/>
  <c r="AA189" i="48" s="1"/>
  <c r="I189" i="48"/>
  <c r="Y190" i="48"/>
  <c r="Y189" i="48"/>
  <c r="Y191" i="48"/>
  <c r="Y194" i="48"/>
  <c r="X297" i="48"/>
  <c r="AA297" i="48" s="1"/>
  <c r="I297" i="48"/>
  <c r="X353" i="48"/>
  <c r="AA353" i="48" s="1"/>
  <c r="I353" i="48"/>
  <c r="Y382" i="48"/>
  <c r="X450" i="48"/>
  <c r="AA450" i="48" s="1"/>
  <c r="I450" i="48"/>
  <c r="Y22" i="48"/>
  <c r="Y10" i="48"/>
  <c r="Y16" i="48"/>
  <c r="I18" i="48"/>
  <c r="Y27" i="48"/>
  <c r="I27" i="48"/>
  <c r="Y32" i="48"/>
  <c r="I34" i="48"/>
  <c r="X73" i="48"/>
  <c r="AA73" i="48" s="1"/>
  <c r="X74" i="48"/>
  <c r="AA74" i="48" s="1"/>
  <c r="I97" i="48"/>
  <c r="Y98" i="48"/>
  <c r="I121" i="48"/>
  <c r="Y122" i="48"/>
  <c r="Y130" i="48"/>
  <c r="I131" i="48"/>
  <c r="I133" i="48"/>
  <c r="X142" i="48"/>
  <c r="AA142" i="48" s="1"/>
  <c r="Y164" i="48"/>
  <c r="Y165" i="48"/>
  <c r="I167" i="48"/>
  <c r="Y179" i="48"/>
  <c r="Y183" i="48"/>
  <c r="I187" i="48"/>
  <c r="Y217" i="48"/>
  <c r="X244" i="48"/>
  <c r="AA244" i="48" s="1"/>
  <c r="I244" i="48"/>
  <c r="X261" i="48"/>
  <c r="AA261" i="48" s="1"/>
  <c r="I261" i="48"/>
  <c r="Y277" i="48"/>
  <c r="Y307" i="48"/>
  <c r="Y398" i="48"/>
  <c r="Y131" i="48"/>
  <c r="I155" i="48"/>
  <c r="I169" i="48"/>
  <c r="Y187" i="48"/>
  <c r="Y208" i="48"/>
  <c r="Y209" i="48"/>
  <c r="Y219" i="48"/>
  <c r="Y268" i="48"/>
  <c r="Y267" i="48"/>
  <c r="X333" i="48"/>
  <c r="AA333" i="48" s="1"/>
  <c r="I333" i="48"/>
  <c r="X446" i="48"/>
  <c r="AA446" i="48" s="1"/>
  <c r="I446" i="48"/>
  <c r="Y36" i="48"/>
  <c r="I38" i="48"/>
  <c r="I77" i="48"/>
  <c r="I93" i="48"/>
  <c r="I125" i="48"/>
  <c r="Y134" i="48"/>
  <c r="I135" i="48"/>
  <c r="Y141" i="48"/>
  <c r="Y177" i="48"/>
  <c r="Y193" i="48"/>
  <c r="X201" i="48"/>
  <c r="AA201" i="48" s="1"/>
  <c r="I201" i="48"/>
  <c r="Y220" i="48"/>
  <c r="I224" i="48"/>
  <c r="X224" i="48"/>
  <c r="AA224" i="48" s="1"/>
  <c r="Y226" i="48"/>
  <c r="X235" i="48"/>
  <c r="AA235" i="48" s="1"/>
  <c r="I235" i="48"/>
  <c r="X247" i="48"/>
  <c r="AA247" i="48" s="1"/>
  <c r="I247" i="48"/>
  <c r="Y258" i="48"/>
  <c r="X300" i="48"/>
  <c r="AA300" i="48" s="1"/>
  <c r="I300" i="48"/>
  <c r="I336" i="48"/>
  <c r="X336" i="48"/>
  <c r="AA336" i="48" s="1"/>
  <c r="X383" i="48"/>
  <c r="AA383" i="48" s="1"/>
  <c r="I383" i="48"/>
  <c r="Y383" i="48"/>
  <c r="I15" i="48"/>
  <c r="Y20" i="48"/>
  <c r="I22" i="48"/>
  <c r="I31" i="48"/>
  <c r="Y46" i="48"/>
  <c r="I47" i="48"/>
  <c r="Y52" i="48"/>
  <c r="I54" i="48"/>
  <c r="Y63" i="48"/>
  <c r="I63" i="48"/>
  <c r="Y68" i="48"/>
  <c r="I70" i="48"/>
  <c r="I79" i="48"/>
  <c r="Y80" i="48"/>
  <c r="I91" i="48"/>
  <c r="Y91" i="48"/>
  <c r="Y129" i="48"/>
  <c r="I137" i="48"/>
  <c r="I145" i="48"/>
  <c r="Y155" i="48"/>
  <c r="Y158" i="48"/>
  <c r="I159" i="48"/>
  <c r="I161" i="48"/>
  <c r="I173" i="48"/>
  <c r="X174" i="48"/>
  <c r="AA174" i="48" s="1"/>
  <c r="I199" i="48"/>
  <c r="X399" i="48"/>
  <c r="AA399" i="48" s="1"/>
  <c r="I399" i="48"/>
  <c r="Y399" i="48"/>
  <c r="X202" i="48"/>
  <c r="AA202" i="48" s="1"/>
  <c r="Y211" i="48"/>
  <c r="Y214" i="48"/>
  <c r="Y245" i="48"/>
  <c r="Y255" i="48"/>
  <c r="Y260" i="48"/>
  <c r="Y270" i="48"/>
  <c r="Y282" i="48"/>
  <c r="Y288" i="48"/>
  <c r="Y290" i="48"/>
  <c r="Y291" i="48"/>
  <c r="Y296" i="48"/>
  <c r="Y302" i="48"/>
  <c r="Y303" i="48"/>
  <c r="X313" i="48"/>
  <c r="AA313" i="48" s="1"/>
  <c r="X320" i="48"/>
  <c r="AA320" i="48" s="1"/>
  <c r="X350" i="48"/>
  <c r="AA350" i="48" s="1"/>
  <c r="Y356" i="48"/>
  <c r="Y361" i="48"/>
  <c r="Y364" i="48"/>
  <c r="Y369" i="48"/>
  <c r="Y471" i="48"/>
  <c r="I495" i="48"/>
  <c r="X495" i="48"/>
  <c r="AA495" i="48" s="1"/>
  <c r="I511" i="48"/>
  <c r="X511" i="48"/>
  <c r="AA511" i="48" s="1"/>
  <c r="Y331" i="48"/>
  <c r="Y350" i="48"/>
  <c r="X414" i="48"/>
  <c r="AA414" i="48" s="1"/>
  <c r="I414" i="48"/>
  <c r="Y420" i="48"/>
  <c r="Y463" i="48"/>
  <c r="Y462" i="48"/>
  <c r="Y221" i="48"/>
  <c r="Y222" i="48"/>
  <c r="I269" i="48"/>
  <c r="I292" i="48"/>
  <c r="I299" i="48"/>
  <c r="I304" i="48"/>
  <c r="X305" i="48"/>
  <c r="AA305" i="48" s="1"/>
  <c r="X312" i="48"/>
  <c r="AA312" i="48" s="1"/>
  <c r="I321" i="48"/>
  <c r="I325" i="48"/>
  <c r="I335" i="48"/>
  <c r="Y339" i="48"/>
  <c r="I341" i="48"/>
  <c r="Y342" i="48"/>
  <c r="I346" i="48"/>
  <c r="I379" i="48"/>
  <c r="I386" i="48"/>
  <c r="I389" i="48"/>
  <c r="I395" i="48"/>
  <c r="I402" i="48"/>
  <c r="I407" i="48"/>
  <c r="I417" i="48"/>
  <c r="Y430" i="48"/>
  <c r="Y269" i="48"/>
  <c r="Y294" i="48"/>
  <c r="Y322" i="48"/>
  <c r="Y323" i="48"/>
  <c r="Y328" i="48"/>
  <c r="I351" i="48"/>
  <c r="Y360" i="48"/>
  <c r="I373" i="48"/>
  <c r="I375" i="48"/>
  <c r="Y380" i="48"/>
  <c r="I382" i="48"/>
  <c r="Y389" i="48"/>
  <c r="I391" i="48"/>
  <c r="Y396" i="48"/>
  <c r="I398" i="48"/>
  <c r="I427" i="48"/>
  <c r="I437" i="48"/>
  <c r="I439" i="48"/>
  <c r="X458" i="48"/>
  <c r="AA458" i="48" s="1"/>
  <c r="I458" i="48"/>
  <c r="I480" i="48"/>
  <c r="X480" i="48"/>
  <c r="AA480" i="48" s="1"/>
  <c r="Y182" i="48"/>
  <c r="Y188" i="48"/>
  <c r="Y195" i="48"/>
  <c r="Y198" i="48"/>
  <c r="Y203" i="48"/>
  <c r="Y206" i="48"/>
  <c r="Y254" i="48"/>
  <c r="I256" i="48"/>
  <c r="I271" i="48"/>
  <c r="Y287" i="48"/>
  <c r="Y289" i="48"/>
  <c r="I296" i="48"/>
  <c r="I301" i="48"/>
  <c r="Y301" i="48"/>
  <c r="I303" i="48"/>
  <c r="I317" i="48"/>
  <c r="I327" i="48"/>
  <c r="I343" i="48"/>
  <c r="I357" i="48"/>
  <c r="I362" i="48"/>
  <c r="I365" i="48"/>
  <c r="I370" i="48"/>
  <c r="Y376" i="48"/>
  <c r="Y392" i="48"/>
  <c r="I410" i="48"/>
  <c r="I434" i="48"/>
  <c r="Y437" i="48"/>
  <c r="Y496" i="48"/>
  <c r="Y498" i="48"/>
  <c r="Y272" i="48"/>
  <c r="Y273" i="48"/>
  <c r="Y314" i="48"/>
  <c r="Y315" i="48"/>
  <c r="Y320" i="48"/>
  <c r="Y343" i="48"/>
  <c r="Y348" i="48"/>
  <c r="Y404" i="48"/>
  <c r="Y421" i="48"/>
  <c r="I443" i="48"/>
  <c r="I455" i="48"/>
  <c r="Y472" i="48"/>
  <c r="X498" i="48"/>
  <c r="AA498" i="48" s="1"/>
  <c r="I498" i="48"/>
  <c r="Y228" i="48"/>
  <c r="Y230" i="48"/>
  <c r="Y240" i="48"/>
  <c r="I245" i="48"/>
  <c r="I249" i="48"/>
  <c r="Y249" i="48"/>
  <c r="I268" i="48"/>
  <c r="I280" i="48"/>
  <c r="Y284" i="48"/>
  <c r="I288" i="48"/>
  <c r="I293" i="48"/>
  <c r="Y298" i="48"/>
  <c r="Y299" i="48"/>
  <c r="I309" i="48"/>
  <c r="I319" i="48"/>
  <c r="X328" i="48"/>
  <c r="AA328" i="48" s="1"/>
  <c r="I337" i="48"/>
  <c r="Y340" i="48"/>
  <c r="X352" i="48"/>
  <c r="AA352" i="48" s="1"/>
  <c r="X360" i="48"/>
  <c r="AA360" i="48" s="1"/>
  <c r="Y388" i="48"/>
  <c r="I406" i="48"/>
  <c r="I413" i="48"/>
  <c r="I415" i="48"/>
  <c r="I431" i="48"/>
  <c r="Y443" i="48"/>
  <c r="Y442" i="48"/>
  <c r="I474" i="48"/>
  <c r="Y474" i="48"/>
  <c r="Y548" i="48"/>
  <c r="Y580" i="48"/>
  <c r="Y592" i="48"/>
  <c r="Y604" i="48"/>
  <c r="I612" i="48"/>
  <c r="Y615" i="48"/>
  <c r="I617" i="48"/>
  <c r="I656" i="48"/>
  <c r="X663" i="48"/>
  <c r="AA663" i="48" s="1"/>
  <c r="I663" i="48"/>
  <c r="Y679" i="48"/>
  <c r="Y692" i="48"/>
  <c r="X704" i="48"/>
  <c r="AA704" i="48" s="1"/>
  <c r="I704" i="48"/>
  <c r="Y776" i="48"/>
  <c r="X879" i="48"/>
  <c r="AA879" i="48" s="1"/>
  <c r="I879" i="48"/>
  <c r="X903" i="48"/>
  <c r="AA903" i="48" s="1"/>
  <c r="I903" i="48"/>
  <c r="X936" i="48"/>
  <c r="AA936" i="48" s="1"/>
  <c r="X676" i="48"/>
  <c r="AA676" i="48" s="1"/>
  <c r="I676" i="48"/>
  <c r="I729" i="48"/>
  <c r="X729" i="48"/>
  <c r="AA729" i="48" s="1"/>
  <c r="X731" i="48"/>
  <c r="AA731" i="48" s="1"/>
  <c r="I731" i="48"/>
  <c r="I785" i="48"/>
  <c r="X785" i="48"/>
  <c r="AA785" i="48" s="1"/>
  <c r="X866" i="48"/>
  <c r="AA866" i="48" s="1"/>
  <c r="I866" i="48"/>
  <c r="X950" i="48"/>
  <c r="AA950" i="48" s="1"/>
  <c r="Y505" i="48"/>
  <c r="X506" i="48"/>
  <c r="AA506" i="48" s="1"/>
  <c r="X523" i="48"/>
  <c r="AA523" i="48" s="1"/>
  <c r="Y529" i="48"/>
  <c r="Y553" i="48"/>
  <c r="Y561" i="48"/>
  <c r="I596" i="48"/>
  <c r="X597" i="48"/>
  <c r="AA597" i="48" s="1"/>
  <c r="I603" i="48"/>
  <c r="Y610" i="48"/>
  <c r="I620" i="48"/>
  <c r="Y623" i="48"/>
  <c r="I625" i="48"/>
  <c r="I628" i="48"/>
  <c r="Y628" i="48"/>
  <c r="Y631" i="48"/>
  <c r="I633" i="48"/>
  <c r="I636" i="48"/>
  <c r="Y636" i="48"/>
  <c r="Y639" i="48"/>
  <c r="I641" i="48"/>
  <c r="I644" i="48"/>
  <c r="Y644" i="48"/>
  <c r="Y647" i="48"/>
  <c r="I649" i="48"/>
  <c r="X652" i="48"/>
  <c r="AA652" i="48" s="1"/>
  <c r="I652" i="48"/>
  <c r="I665" i="48"/>
  <c r="I667" i="48"/>
  <c r="I702" i="48"/>
  <c r="X702" i="48"/>
  <c r="AA702" i="48" s="1"/>
  <c r="Y712" i="48"/>
  <c r="X716" i="48"/>
  <c r="AA716" i="48" s="1"/>
  <c r="I716" i="48"/>
  <c r="X727" i="48"/>
  <c r="AA727" i="48" s="1"/>
  <c r="I727" i="48"/>
  <c r="X783" i="48"/>
  <c r="AA783" i="48" s="1"/>
  <c r="I783" i="48"/>
  <c r="X815" i="48"/>
  <c r="AA815" i="48" s="1"/>
  <c r="I815" i="48"/>
  <c r="X862" i="48"/>
  <c r="AA862" i="48" s="1"/>
  <c r="I862" i="48"/>
  <c r="I892" i="48"/>
  <c r="X892" i="48"/>
  <c r="AA892" i="48" s="1"/>
  <c r="X899" i="48"/>
  <c r="AA899" i="48" s="1"/>
  <c r="I899" i="48"/>
  <c r="X915" i="48"/>
  <c r="AA915" i="48" s="1"/>
  <c r="Y468" i="48"/>
  <c r="Y536" i="48"/>
  <c r="Y540" i="48"/>
  <c r="Y544" i="48"/>
  <c r="Y549" i="48"/>
  <c r="Y557" i="48"/>
  <c r="Y568" i="48"/>
  <c r="Y572" i="48"/>
  <c r="Y576" i="48"/>
  <c r="Y582" i="48"/>
  <c r="Y607" i="48"/>
  <c r="Y652" i="48"/>
  <c r="I674" i="48"/>
  <c r="X674" i="48"/>
  <c r="AA674" i="48" s="1"/>
  <c r="X678" i="48"/>
  <c r="AA678" i="48" s="1"/>
  <c r="I694" i="48"/>
  <c r="X694" i="48"/>
  <c r="AA694" i="48" s="1"/>
  <c r="Y888" i="48"/>
  <c r="X890" i="48"/>
  <c r="AA890" i="48" s="1"/>
  <c r="I890" i="48"/>
  <c r="X946" i="48"/>
  <c r="AA946" i="48" s="1"/>
  <c r="Y412" i="48"/>
  <c r="Y424" i="48"/>
  <c r="I442" i="48"/>
  <c r="I449" i="48"/>
  <c r="Y452" i="48"/>
  <c r="Y460" i="48"/>
  <c r="I482" i="48"/>
  <c r="Y513" i="48"/>
  <c r="I522" i="48"/>
  <c r="Y532" i="48"/>
  <c r="X538" i="48"/>
  <c r="AA538" i="48" s="1"/>
  <c r="Y564" i="48"/>
  <c r="X570" i="48"/>
  <c r="AA570" i="48" s="1"/>
  <c r="Y585" i="48"/>
  <c r="X586" i="48"/>
  <c r="AA586" i="48" s="1"/>
  <c r="Y591" i="48"/>
  <c r="X594" i="48"/>
  <c r="AA594" i="48" s="1"/>
  <c r="I605" i="48"/>
  <c r="I613" i="48"/>
  <c r="I616" i="48"/>
  <c r="Y616" i="48"/>
  <c r="I619" i="48"/>
  <c r="I654" i="48"/>
  <c r="Y655" i="48"/>
  <c r="X657" i="48"/>
  <c r="AA657" i="48" s="1"/>
  <c r="I657" i="48"/>
  <c r="I662" i="48"/>
  <c r="X681" i="48"/>
  <c r="AA681" i="48" s="1"/>
  <c r="I681" i="48"/>
  <c r="X696" i="48"/>
  <c r="AA696" i="48" s="1"/>
  <c r="I696" i="48"/>
  <c r="I800" i="48"/>
  <c r="X800" i="48"/>
  <c r="AA800" i="48" s="1"/>
  <c r="Y933" i="48"/>
  <c r="X953" i="48"/>
  <c r="AA953" i="48" s="1"/>
  <c r="X962" i="48"/>
  <c r="AA962" i="48" s="1"/>
  <c r="Y436" i="48"/>
  <c r="X469" i="48"/>
  <c r="AA469" i="48" s="1"/>
  <c r="X486" i="48"/>
  <c r="AA486" i="48" s="1"/>
  <c r="Y488" i="48"/>
  <c r="X527" i="48"/>
  <c r="AA527" i="48" s="1"/>
  <c r="X559" i="48"/>
  <c r="AA559" i="48" s="1"/>
  <c r="X703" i="48"/>
  <c r="AA703" i="48" s="1"/>
  <c r="I703" i="48"/>
  <c r="I438" i="48"/>
  <c r="I445" i="48"/>
  <c r="I457" i="48"/>
  <c r="I462" i="48"/>
  <c r="X468" i="48"/>
  <c r="AA468" i="48" s="1"/>
  <c r="X510" i="48"/>
  <c r="AA510" i="48" s="1"/>
  <c r="X526" i="48"/>
  <c r="AA526" i="48" s="1"/>
  <c r="X534" i="48"/>
  <c r="AA534" i="48" s="1"/>
  <c r="Y537" i="48"/>
  <c r="Y541" i="48"/>
  <c r="Y545" i="48"/>
  <c r="X566" i="48"/>
  <c r="AA566" i="48" s="1"/>
  <c r="Y569" i="48"/>
  <c r="Y573" i="48"/>
  <c r="Y577" i="48"/>
  <c r="X581" i="48"/>
  <c r="AA581" i="48" s="1"/>
  <c r="I595" i="48"/>
  <c r="Y595" i="48"/>
  <c r="I607" i="48"/>
  <c r="Y619" i="48"/>
  <c r="I621" i="48"/>
  <c r="I624" i="48"/>
  <c r="Y627" i="48"/>
  <c r="I629" i="48"/>
  <c r="I632" i="48"/>
  <c r="Y635" i="48"/>
  <c r="I637" i="48"/>
  <c r="I640" i="48"/>
  <c r="Y643" i="48"/>
  <c r="I645" i="48"/>
  <c r="I648" i="48"/>
  <c r="Y648" i="48"/>
  <c r="X659" i="48"/>
  <c r="AA659" i="48" s="1"/>
  <c r="I659" i="48"/>
  <c r="Y659" i="48"/>
  <c r="Y664" i="48"/>
  <c r="X666" i="48"/>
  <c r="AA666" i="48" s="1"/>
  <c r="I666" i="48"/>
  <c r="Y666" i="48"/>
  <c r="X675" i="48"/>
  <c r="AA675" i="48" s="1"/>
  <c r="I675" i="48"/>
  <c r="Y676" i="48"/>
  <c r="I685" i="48"/>
  <c r="X687" i="48"/>
  <c r="AA687" i="48" s="1"/>
  <c r="I687" i="48"/>
  <c r="Y691" i="48"/>
  <c r="X692" i="48"/>
  <c r="AA692" i="48" s="1"/>
  <c r="X699" i="48"/>
  <c r="AA699" i="48" s="1"/>
  <c r="I699" i="48"/>
  <c r="Y713" i="48"/>
  <c r="X720" i="48"/>
  <c r="AA720" i="48" s="1"/>
  <c r="I720" i="48"/>
  <c r="Y798" i="48"/>
  <c r="X848" i="48"/>
  <c r="AA848" i="48" s="1"/>
  <c r="I848" i="48"/>
  <c r="X858" i="48"/>
  <c r="AA858" i="48" s="1"/>
  <c r="I858" i="48"/>
  <c r="Y464" i="48"/>
  <c r="Y466" i="48"/>
  <c r="X479" i="48"/>
  <c r="AA479" i="48" s="1"/>
  <c r="Y504" i="48"/>
  <c r="Y510" i="48"/>
  <c r="Y526" i="48"/>
  <c r="Y533" i="48"/>
  <c r="Y552" i="48"/>
  <c r="Y565" i="48"/>
  <c r="X593" i="48"/>
  <c r="AA593" i="48" s="1"/>
  <c r="Y651" i="48"/>
  <c r="X668" i="48"/>
  <c r="AA668" i="48" s="1"/>
  <c r="I668" i="48"/>
  <c r="I670" i="48"/>
  <c r="X670" i="48"/>
  <c r="AA670" i="48" s="1"/>
  <c r="X695" i="48"/>
  <c r="AA695" i="48" s="1"/>
  <c r="I695" i="48"/>
  <c r="I697" i="48"/>
  <c r="X697" i="48"/>
  <c r="AA697" i="48" s="1"/>
  <c r="Y724" i="48"/>
  <c r="X812" i="48"/>
  <c r="AA812" i="48" s="1"/>
  <c r="I812" i="48"/>
  <c r="Y689" i="48"/>
  <c r="Y697" i="48"/>
  <c r="Y705" i="48"/>
  <c r="Y725" i="48"/>
  <c r="Y729" i="48"/>
  <c r="Y741" i="48"/>
  <c r="Y753" i="48"/>
  <c r="Y781" i="48"/>
  <c r="Y785" i="48"/>
  <c r="Y818" i="48"/>
  <c r="X924" i="48"/>
  <c r="AA924" i="48" s="1"/>
  <c r="Y951" i="48"/>
  <c r="Y769" i="48"/>
  <c r="X777" i="48"/>
  <c r="AA777" i="48" s="1"/>
  <c r="Y794" i="48"/>
  <c r="X807" i="48"/>
  <c r="AA807" i="48" s="1"/>
  <c r="X822" i="48"/>
  <c r="AA822" i="48" s="1"/>
  <c r="Y830" i="48"/>
  <c r="Y860" i="48"/>
  <c r="Y864" i="48"/>
  <c r="Y868" i="48"/>
  <c r="X872" i="48"/>
  <c r="AA872" i="48" s="1"/>
  <c r="I874" i="48"/>
  <c r="X884" i="48"/>
  <c r="AA884" i="48" s="1"/>
  <c r="Y892" i="48"/>
  <c r="Y918" i="48"/>
  <c r="X921" i="48"/>
  <c r="AA921" i="48" s="1"/>
  <c r="Y923" i="48"/>
  <c r="X929" i="48"/>
  <c r="AA929" i="48" s="1"/>
  <c r="X934" i="48"/>
  <c r="AA934" i="48" s="1"/>
  <c r="Y943" i="48"/>
  <c r="X944" i="48"/>
  <c r="AA944" i="48" s="1"/>
  <c r="Y972" i="48"/>
  <c r="Y667" i="48"/>
  <c r="Y673" i="48"/>
  <c r="I736" i="48"/>
  <c r="I748" i="48"/>
  <c r="I755" i="48"/>
  <c r="X765" i="48"/>
  <c r="AA765" i="48" s="1"/>
  <c r="I771" i="48"/>
  <c r="Y787" i="48"/>
  <c r="X798" i="48"/>
  <c r="AA798" i="48" s="1"/>
  <c r="Y806" i="48"/>
  <c r="X904" i="48"/>
  <c r="AA904" i="48" s="1"/>
  <c r="Y917" i="48"/>
  <c r="Y921" i="48"/>
  <c r="Y955" i="48"/>
  <c r="Y970" i="48"/>
  <c r="Y681" i="48"/>
  <c r="Y761" i="48"/>
  <c r="Y778" i="48"/>
  <c r="Y793" i="48"/>
  <c r="Y800" i="48"/>
  <c r="Y804" i="48"/>
  <c r="Y814" i="48"/>
  <c r="Y850" i="48"/>
  <c r="Y855" i="48"/>
  <c r="I894" i="48"/>
  <c r="Y896" i="48"/>
  <c r="Y908" i="48"/>
  <c r="Y912" i="48"/>
  <c r="X928" i="48"/>
  <c r="AA928" i="48" s="1"/>
  <c r="Y709" i="48"/>
  <c r="Y745" i="48"/>
  <c r="Y865" i="48"/>
  <c r="Y880" i="48"/>
  <c r="Y900" i="48"/>
  <c r="Y975" i="48"/>
  <c r="I744" i="48"/>
  <c r="I763" i="48"/>
  <c r="I768" i="48"/>
  <c r="I795" i="48"/>
  <c r="Y801" i="48"/>
  <c r="X806" i="48"/>
  <c r="AA806" i="48" s="1"/>
  <c r="X827" i="48"/>
  <c r="AA827" i="48" s="1"/>
  <c r="Y834" i="48"/>
  <c r="I836" i="48"/>
  <c r="Y838" i="48"/>
  <c r="I859" i="48"/>
  <c r="I882" i="48"/>
  <c r="Y916" i="48"/>
  <c r="Y924" i="48"/>
  <c r="Y947" i="48"/>
  <c r="Y656" i="48"/>
  <c r="X686" i="48"/>
  <c r="AA686" i="48" s="1"/>
  <c r="Y693" i="48"/>
  <c r="Y717" i="48"/>
  <c r="X721" i="48"/>
  <c r="AA721" i="48" s="1"/>
  <c r="I732" i="48"/>
  <c r="I735" i="48"/>
  <c r="Y737" i="48"/>
  <c r="I747" i="48"/>
  <c r="X761" i="48"/>
  <c r="AA761" i="48" s="1"/>
  <c r="Y777" i="48"/>
  <c r="Y786" i="48"/>
  <c r="X793" i="48"/>
  <c r="AA793" i="48" s="1"/>
  <c r="X799" i="48"/>
  <c r="AA799" i="48" s="1"/>
  <c r="X805" i="48"/>
  <c r="AA805" i="48" s="1"/>
  <c r="Y808" i="48"/>
  <c r="Y809" i="48"/>
  <c r="Y822" i="48"/>
  <c r="Y842" i="48"/>
  <c r="I844" i="48"/>
  <c r="I853" i="48"/>
  <c r="X857" i="48"/>
  <c r="AA857" i="48" s="1"/>
  <c r="Y872" i="48"/>
  <c r="X876" i="48"/>
  <c r="AA876" i="48" s="1"/>
  <c r="Y884" i="48"/>
  <c r="Y946" i="48"/>
  <c r="Y958" i="48"/>
  <c r="Y967" i="48"/>
  <c r="Y971" i="48"/>
  <c r="I39" i="48"/>
  <c r="X459" i="48"/>
  <c r="AA459" i="48" s="1"/>
  <c r="I459" i="48"/>
  <c r="X12" i="48"/>
  <c r="AA12" i="48" s="1"/>
  <c r="X48" i="48"/>
  <c r="AA48" i="48" s="1"/>
  <c r="X52" i="48"/>
  <c r="AA52" i="48" s="1"/>
  <c r="X56" i="48"/>
  <c r="AA56" i="48" s="1"/>
  <c r="X64" i="48"/>
  <c r="AA64" i="48" s="1"/>
  <c r="Y76" i="48"/>
  <c r="Y84" i="48"/>
  <c r="Y88" i="48"/>
  <c r="Y96" i="48"/>
  <c r="Y108" i="48"/>
  <c r="Y112" i="48"/>
  <c r="Y116" i="48"/>
  <c r="I219" i="48"/>
  <c r="Y225" i="48"/>
  <c r="I227" i="48"/>
  <c r="Y280" i="48"/>
  <c r="Y279" i="48"/>
  <c r="I504" i="48"/>
  <c r="X504" i="48"/>
  <c r="AA504" i="48" s="1"/>
  <c r="X514" i="48"/>
  <c r="AA514" i="48" s="1"/>
  <c r="I514" i="48"/>
  <c r="Y11" i="48"/>
  <c r="Y59" i="48"/>
  <c r="Y650" i="48"/>
  <c r="X16" i="48"/>
  <c r="AA16" i="48" s="1"/>
  <c r="X28" i="48"/>
  <c r="AA28" i="48" s="1"/>
  <c r="X60" i="48"/>
  <c r="AA60" i="48" s="1"/>
  <c r="X68" i="48"/>
  <c r="AA68" i="48" s="1"/>
  <c r="Y86" i="48"/>
  <c r="Y92" i="48"/>
  <c r="Y100" i="48"/>
  <c r="Y104" i="48"/>
  <c r="Y120" i="48"/>
  <c r="I8" i="48"/>
  <c r="I20" i="48"/>
  <c r="I24" i="48"/>
  <c r="I32" i="48"/>
  <c r="I36" i="48"/>
  <c r="I40" i="48"/>
  <c r="I44" i="48"/>
  <c r="Y152" i="48"/>
  <c r="Y153" i="48"/>
  <c r="Y184" i="48"/>
  <c r="Y185" i="48"/>
  <c r="X239" i="48"/>
  <c r="AA239" i="48" s="1"/>
  <c r="I239" i="48"/>
  <c r="X326" i="48"/>
  <c r="AA326" i="48" s="1"/>
  <c r="I326" i="48"/>
  <c r="X355" i="48"/>
  <c r="AA355" i="48" s="1"/>
  <c r="Y23" i="48"/>
  <c r="Y35" i="48"/>
  <c r="Y51" i="48"/>
  <c r="Y852" i="48"/>
  <c r="Y851" i="48"/>
  <c r="Y853" i="48"/>
  <c r="X971" i="48"/>
  <c r="AA971" i="48" s="1"/>
  <c r="X33" i="48"/>
  <c r="AA33" i="48" s="1"/>
  <c r="X37" i="48"/>
  <c r="AA37" i="48" s="1"/>
  <c r="X53" i="48"/>
  <c r="AA53" i="48" s="1"/>
  <c r="Y136" i="48"/>
  <c r="Y172" i="48"/>
  <c r="Y173" i="48"/>
  <c r="Y204" i="48"/>
  <c r="Y205" i="48"/>
  <c r="Y234" i="48"/>
  <c r="Y235" i="48"/>
  <c r="Y236" i="48"/>
  <c r="Y251" i="48"/>
  <c r="Y252" i="48"/>
  <c r="Y253" i="48"/>
  <c r="Y263" i="48"/>
  <c r="Y264" i="48"/>
  <c r="Y19" i="48"/>
  <c r="Y43" i="48"/>
  <c r="Y224" i="48"/>
  <c r="Y223" i="48"/>
  <c r="X9" i="48"/>
  <c r="AA9" i="48" s="1"/>
  <c r="X29" i="48"/>
  <c r="AA29" i="48" s="1"/>
  <c r="X41" i="48"/>
  <c r="AA41" i="48" s="1"/>
  <c r="X45" i="48"/>
  <c r="AA45" i="48" s="1"/>
  <c r="X49" i="48"/>
  <c r="AA49" i="48" s="1"/>
  <c r="X57" i="48"/>
  <c r="AA57" i="48" s="1"/>
  <c r="X61" i="48"/>
  <c r="AA61" i="48" s="1"/>
  <c r="X65" i="48"/>
  <c r="AA65" i="48" s="1"/>
  <c r="X69" i="48"/>
  <c r="AA69" i="48" s="1"/>
  <c r="X75" i="48"/>
  <c r="AA75" i="48" s="1"/>
  <c r="X83" i="48"/>
  <c r="AA83" i="48" s="1"/>
  <c r="Y121" i="48"/>
  <c r="Y9" i="48"/>
  <c r="I13" i="48"/>
  <c r="Y13" i="48"/>
  <c r="I17" i="48"/>
  <c r="Y17" i="48"/>
  <c r="I21" i="48"/>
  <c r="Y21" i="48"/>
  <c r="I25" i="48"/>
  <c r="Y25" i="48"/>
  <c r="Y29" i="48"/>
  <c r="Y33" i="48"/>
  <c r="Y41" i="48"/>
  <c r="Y45" i="48"/>
  <c r="Y49" i="48"/>
  <c r="Y53" i="48"/>
  <c r="Y57" i="48"/>
  <c r="Y61" i="48"/>
  <c r="Y65" i="48"/>
  <c r="Y69" i="48"/>
  <c r="X76" i="48"/>
  <c r="AA76" i="48" s="1"/>
  <c r="X84" i="48"/>
  <c r="AA84" i="48" s="1"/>
  <c r="X86" i="48"/>
  <c r="AA86" i="48" s="1"/>
  <c r="X88" i="48"/>
  <c r="AA88" i="48" s="1"/>
  <c r="X90" i="48"/>
  <c r="AA90" i="48" s="1"/>
  <c r="X92" i="48"/>
  <c r="AA92" i="48" s="1"/>
  <c r="X94" i="48"/>
  <c r="AA94" i="48" s="1"/>
  <c r="X96" i="48"/>
  <c r="AA96" i="48" s="1"/>
  <c r="X98" i="48"/>
  <c r="AA98" i="48" s="1"/>
  <c r="X100" i="48"/>
  <c r="AA100" i="48" s="1"/>
  <c r="X102" i="48"/>
  <c r="AA102" i="48" s="1"/>
  <c r="X104" i="48"/>
  <c r="AA104" i="48" s="1"/>
  <c r="X106" i="48"/>
  <c r="AA106" i="48" s="1"/>
  <c r="X108" i="48"/>
  <c r="AA108" i="48" s="1"/>
  <c r="X110" i="48"/>
  <c r="AA110" i="48" s="1"/>
  <c r="X112" i="48"/>
  <c r="AA112" i="48" s="1"/>
  <c r="X114" i="48"/>
  <c r="AA114" i="48" s="1"/>
  <c r="X116" i="48"/>
  <c r="AA116" i="48" s="1"/>
  <c r="X118" i="48"/>
  <c r="AA118" i="48" s="1"/>
  <c r="X124" i="48"/>
  <c r="AA124" i="48" s="1"/>
  <c r="X134" i="48"/>
  <c r="AA134" i="48" s="1"/>
  <c r="Y137" i="48"/>
  <c r="Y148" i="48"/>
  <c r="Y160" i="48"/>
  <c r="Y161" i="48"/>
  <c r="X170" i="48"/>
  <c r="AA170" i="48" s="1"/>
  <c r="I218" i="48"/>
  <c r="X218" i="48"/>
  <c r="AA218" i="48" s="1"/>
  <c r="I226" i="48"/>
  <c r="X226" i="48"/>
  <c r="AA226" i="48" s="1"/>
  <c r="Y31" i="48"/>
  <c r="Y67" i="48"/>
  <c r="Y71" i="48"/>
  <c r="Y649" i="48"/>
  <c r="Y77" i="48"/>
  <c r="Y85" i="48"/>
  <c r="Y89" i="48"/>
  <c r="Y93" i="48"/>
  <c r="Y97" i="48"/>
  <c r="Y101" i="48"/>
  <c r="Y105" i="48"/>
  <c r="Y109" i="48"/>
  <c r="Y113" i="48"/>
  <c r="Y117" i="48"/>
  <c r="Y123" i="48"/>
  <c r="Y132" i="48"/>
  <c r="X146" i="48"/>
  <c r="AA146" i="48" s="1"/>
  <c r="Y149" i="48"/>
  <c r="X158" i="48"/>
  <c r="AA158" i="48" s="1"/>
  <c r="Y180" i="48"/>
  <c r="Y181" i="48"/>
  <c r="X190" i="48"/>
  <c r="AA190" i="48" s="1"/>
  <c r="Y212" i="48"/>
  <c r="Y213" i="48"/>
  <c r="I255" i="48"/>
  <c r="Y15" i="48"/>
  <c r="Y47" i="48"/>
  <c r="Y55" i="48"/>
  <c r="Y26" i="48"/>
  <c r="Y62" i="48"/>
  <c r="X130" i="48"/>
  <c r="AA130" i="48" s="1"/>
  <c r="Y133" i="48"/>
  <c r="Y168" i="48"/>
  <c r="Y169" i="48"/>
  <c r="X178" i="48"/>
  <c r="AA178" i="48" s="1"/>
  <c r="Y200" i="48"/>
  <c r="Y201" i="48"/>
  <c r="X210" i="48"/>
  <c r="AA210" i="48" s="1"/>
  <c r="Y265" i="48"/>
  <c r="X267" i="48"/>
  <c r="AA267" i="48" s="1"/>
  <c r="I267" i="48"/>
  <c r="Y216" i="48"/>
  <c r="Y215" i="48"/>
  <c r="Y231" i="48"/>
  <c r="Y232" i="48"/>
  <c r="Y233" i="48"/>
  <c r="Y276" i="48"/>
  <c r="Y275" i="48"/>
  <c r="Y281" i="48"/>
  <c r="Y250" i="48"/>
  <c r="Y274" i="48"/>
  <c r="X318" i="48"/>
  <c r="AA318" i="48" s="1"/>
  <c r="I318" i="48"/>
  <c r="Y448" i="48"/>
  <c r="Y450" i="48"/>
  <c r="X502" i="48"/>
  <c r="AA502" i="48" s="1"/>
  <c r="I502" i="48"/>
  <c r="X222" i="48"/>
  <c r="AA222" i="48" s="1"/>
  <c r="X223" i="48"/>
  <c r="AA223" i="48" s="1"/>
  <c r="X230" i="48"/>
  <c r="AA230" i="48" s="1"/>
  <c r="X231" i="48"/>
  <c r="AA231" i="48" s="1"/>
  <c r="X233" i="48"/>
  <c r="AA233" i="48" s="1"/>
  <c r="X251" i="48"/>
  <c r="AA251" i="48" s="1"/>
  <c r="Y262" i="48"/>
  <c r="Y271" i="48"/>
  <c r="X275" i="48"/>
  <c r="AA275" i="48" s="1"/>
  <c r="Y278" i="48"/>
  <c r="X291" i="48"/>
  <c r="AA291" i="48" s="1"/>
  <c r="Y295" i="48"/>
  <c r="I364" i="48"/>
  <c r="X364" i="48"/>
  <c r="AA364" i="48" s="1"/>
  <c r="Y432" i="48"/>
  <c r="Y434" i="48"/>
  <c r="I578" i="48"/>
  <c r="X578" i="48"/>
  <c r="AA578" i="48" s="1"/>
  <c r="Y242" i="48"/>
  <c r="X310" i="48"/>
  <c r="AA310" i="48" s="1"/>
  <c r="I310" i="48"/>
  <c r="X358" i="48"/>
  <c r="AA358" i="48" s="1"/>
  <c r="I358" i="48"/>
  <c r="Y416" i="48"/>
  <c r="Y418" i="48"/>
  <c r="X128" i="48"/>
  <c r="AA128" i="48" s="1"/>
  <c r="X132" i="48"/>
  <c r="AA132" i="48" s="1"/>
  <c r="X136" i="48"/>
  <c r="AA136" i="48" s="1"/>
  <c r="X140" i="48"/>
  <c r="AA140" i="48" s="1"/>
  <c r="X144" i="48"/>
  <c r="AA144" i="48" s="1"/>
  <c r="X148" i="48"/>
  <c r="AA148" i="48" s="1"/>
  <c r="X152" i="48"/>
  <c r="AA152" i="48" s="1"/>
  <c r="X156" i="48"/>
  <c r="AA156" i="48" s="1"/>
  <c r="X160" i="48"/>
  <c r="AA160" i="48" s="1"/>
  <c r="X164" i="48"/>
  <c r="AA164" i="48" s="1"/>
  <c r="X168" i="48"/>
  <c r="AA168" i="48" s="1"/>
  <c r="X172" i="48"/>
  <c r="AA172" i="48" s="1"/>
  <c r="X176" i="48"/>
  <c r="AA176" i="48" s="1"/>
  <c r="X180" i="48"/>
  <c r="AA180" i="48" s="1"/>
  <c r="X184" i="48"/>
  <c r="AA184" i="48" s="1"/>
  <c r="X188" i="48"/>
  <c r="AA188" i="48" s="1"/>
  <c r="X192" i="48"/>
  <c r="AA192" i="48" s="1"/>
  <c r="X196" i="48"/>
  <c r="AA196" i="48" s="1"/>
  <c r="X200" i="48"/>
  <c r="AA200" i="48" s="1"/>
  <c r="X204" i="48"/>
  <c r="AA204" i="48" s="1"/>
  <c r="X208" i="48"/>
  <c r="AA208" i="48" s="1"/>
  <c r="X212" i="48"/>
  <c r="AA212" i="48" s="1"/>
  <c r="Y244" i="48"/>
  <c r="Y400" i="48"/>
  <c r="Y402" i="48"/>
  <c r="I551" i="48"/>
  <c r="X551" i="48"/>
  <c r="AA551" i="48" s="1"/>
  <c r="X225" i="48"/>
  <c r="AA225" i="48" s="1"/>
  <c r="Y238" i="48"/>
  <c r="Y256" i="48"/>
  <c r="Y266" i="48"/>
  <c r="Y283" i="48"/>
  <c r="X334" i="48"/>
  <c r="AA334" i="48" s="1"/>
  <c r="I334" i="48"/>
  <c r="Y246" i="48"/>
  <c r="Y285" i="48"/>
  <c r="Y345" i="48"/>
  <c r="Y347" i="48"/>
  <c r="Y346" i="48"/>
  <c r="Y374" i="48"/>
  <c r="Y337" i="48"/>
  <c r="Y338" i="48"/>
  <c r="Y344" i="48"/>
  <c r="X356" i="48"/>
  <c r="AA356" i="48" s="1"/>
  <c r="Y370" i="48"/>
  <c r="Y377" i="48"/>
  <c r="Y393" i="48"/>
  <c r="Y409" i="48"/>
  <c r="Y425" i="48"/>
  <c r="Y441" i="48"/>
  <c r="Y458" i="48"/>
  <c r="Y457" i="48"/>
  <c r="Y476" i="48"/>
  <c r="Y478" i="48"/>
  <c r="Y484" i="48"/>
  <c r="Y486" i="48"/>
  <c r="Y492" i="48"/>
  <c r="Y494" i="48"/>
  <c r="Y516" i="48"/>
  <c r="Y518" i="48"/>
  <c r="I530" i="48"/>
  <c r="X530" i="48"/>
  <c r="AA530" i="48" s="1"/>
  <c r="Y759" i="48"/>
  <c r="Y758" i="48"/>
  <c r="Y760" i="48"/>
  <c r="X339" i="48"/>
  <c r="AA339" i="48" s="1"/>
  <c r="Y341" i="48"/>
  <c r="X347" i="48"/>
  <c r="AA347" i="48" s="1"/>
  <c r="X371" i="48"/>
  <c r="AA371" i="48" s="1"/>
  <c r="Y305" i="48"/>
  <c r="X306" i="48"/>
  <c r="AA306" i="48" s="1"/>
  <c r="Y308" i="48"/>
  <c r="Y313" i="48"/>
  <c r="X314" i="48"/>
  <c r="AA314" i="48" s="1"/>
  <c r="Y316" i="48"/>
  <c r="Y321" i="48"/>
  <c r="X322" i="48"/>
  <c r="AA322" i="48" s="1"/>
  <c r="Y324" i="48"/>
  <c r="Y329" i="48"/>
  <c r="X330" i="48"/>
  <c r="AA330" i="48" s="1"/>
  <c r="Y332" i="48"/>
  <c r="X340" i="48"/>
  <c r="AA340" i="48" s="1"/>
  <c r="X348" i="48"/>
  <c r="AA348" i="48" s="1"/>
  <c r="Y365" i="48"/>
  <c r="Y371" i="48"/>
  <c r="X372" i="48"/>
  <c r="AA372" i="48" s="1"/>
  <c r="Y381" i="48"/>
  <c r="Y397" i="48"/>
  <c r="Y413" i="48"/>
  <c r="Y429" i="48"/>
  <c r="Y445" i="48"/>
  <c r="X467" i="48"/>
  <c r="AA467" i="48" s="1"/>
  <c r="X472" i="48"/>
  <c r="AA472" i="48" s="1"/>
  <c r="I535" i="48"/>
  <c r="X535" i="48"/>
  <c r="AA535" i="48" s="1"/>
  <c r="I562" i="48"/>
  <c r="X562" i="48"/>
  <c r="AA562" i="48" s="1"/>
  <c r="Y366" i="48"/>
  <c r="I473" i="48"/>
  <c r="X473" i="48"/>
  <c r="AA473" i="48" s="1"/>
  <c r="I481" i="48"/>
  <c r="X481" i="48"/>
  <c r="AA481" i="48" s="1"/>
  <c r="I489" i="48"/>
  <c r="X489" i="48"/>
  <c r="AA489" i="48" s="1"/>
  <c r="I497" i="48"/>
  <c r="X497" i="48"/>
  <c r="AA497" i="48" s="1"/>
  <c r="Y502" i="48"/>
  <c r="I508" i="48"/>
  <c r="X508" i="48"/>
  <c r="AA508" i="48" s="1"/>
  <c r="Y617" i="48"/>
  <c r="Y618" i="48"/>
  <c r="X234" i="48"/>
  <c r="AA234" i="48" s="1"/>
  <c r="X238" i="48"/>
  <c r="AA238" i="48" s="1"/>
  <c r="X242" i="48"/>
  <c r="AA242" i="48" s="1"/>
  <c r="X246" i="48"/>
  <c r="AA246" i="48" s="1"/>
  <c r="X250" i="48"/>
  <c r="AA250" i="48" s="1"/>
  <c r="X254" i="48"/>
  <c r="AA254" i="48" s="1"/>
  <c r="X258" i="48"/>
  <c r="AA258" i="48" s="1"/>
  <c r="X262" i="48"/>
  <c r="AA262" i="48" s="1"/>
  <c r="X266" i="48"/>
  <c r="AA266" i="48" s="1"/>
  <c r="X270" i="48"/>
  <c r="AA270" i="48" s="1"/>
  <c r="X274" i="48"/>
  <c r="AA274" i="48" s="1"/>
  <c r="X278" i="48"/>
  <c r="AA278" i="48" s="1"/>
  <c r="X282" i="48"/>
  <c r="AA282" i="48" s="1"/>
  <c r="X286" i="48"/>
  <c r="AA286" i="48" s="1"/>
  <c r="X290" i="48"/>
  <c r="AA290" i="48" s="1"/>
  <c r="X294" i="48"/>
  <c r="AA294" i="48" s="1"/>
  <c r="X302" i="48"/>
  <c r="AA302" i="48" s="1"/>
  <c r="X307" i="48"/>
  <c r="AA307" i="48" s="1"/>
  <c r="X315" i="48"/>
  <c r="AA315" i="48" s="1"/>
  <c r="X323" i="48"/>
  <c r="AA323" i="48" s="1"/>
  <c r="X331" i="48"/>
  <c r="AA331" i="48" s="1"/>
  <c r="Y362" i="48"/>
  <c r="X367" i="48"/>
  <c r="AA367" i="48" s="1"/>
  <c r="X387" i="48"/>
  <c r="AA387" i="48" s="1"/>
  <c r="Y401" i="48"/>
  <c r="X403" i="48"/>
  <c r="AA403" i="48" s="1"/>
  <c r="Y417" i="48"/>
  <c r="X419" i="48"/>
  <c r="AA419" i="48" s="1"/>
  <c r="Y433" i="48"/>
  <c r="X435" i="48"/>
  <c r="AA435" i="48" s="1"/>
  <c r="Y449" i="48"/>
  <c r="X451" i="48"/>
  <c r="AA451" i="48" s="1"/>
  <c r="X461" i="48"/>
  <c r="AA461" i="48" s="1"/>
  <c r="I470" i="48"/>
  <c r="Y477" i="48"/>
  <c r="Y485" i="48"/>
  <c r="Y493" i="48"/>
  <c r="I503" i="48"/>
  <c r="X503" i="48"/>
  <c r="AA503" i="48" s="1"/>
  <c r="I515" i="48"/>
  <c r="X515" i="48"/>
  <c r="AA515" i="48" s="1"/>
  <c r="I567" i="48"/>
  <c r="X567" i="48"/>
  <c r="AA567" i="48" s="1"/>
  <c r="X308" i="48"/>
  <c r="AA308" i="48" s="1"/>
  <c r="X316" i="48"/>
  <c r="AA316" i="48" s="1"/>
  <c r="X324" i="48"/>
  <c r="AA324" i="48" s="1"/>
  <c r="X332" i="48"/>
  <c r="AA332" i="48" s="1"/>
  <c r="Y353" i="48"/>
  <c r="Y358" i="48"/>
  <c r="Y367" i="48"/>
  <c r="X368" i="48"/>
  <c r="AA368" i="48" s="1"/>
  <c r="Y387" i="48"/>
  <c r="Y390" i="48"/>
  <c r="Y403" i="48"/>
  <c r="Y406" i="48"/>
  <c r="Y419" i="48"/>
  <c r="Y422" i="48"/>
  <c r="Y435" i="48"/>
  <c r="Y438" i="48"/>
  <c r="Y451" i="48"/>
  <c r="Y454" i="48"/>
  <c r="Y459" i="48"/>
  <c r="X460" i="48"/>
  <c r="AA460" i="48" s="1"/>
  <c r="I466" i="48"/>
  <c r="I475" i="48"/>
  <c r="X475" i="48"/>
  <c r="AA475" i="48" s="1"/>
  <c r="I483" i="48"/>
  <c r="X483" i="48"/>
  <c r="AA483" i="48" s="1"/>
  <c r="I491" i="48"/>
  <c r="X491" i="48"/>
  <c r="AA491" i="48" s="1"/>
  <c r="I499" i="48"/>
  <c r="X499" i="48"/>
  <c r="AA499" i="48" s="1"/>
  <c r="Y520" i="48"/>
  <c r="Y522" i="48"/>
  <c r="I546" i="48"/>
  <c r="X546" i="48"/>
  <c r="AA546" i="48" s="1"/>
  <c r="Y349" i="48"/>
  <c r="Y354" i="48"/>
  <c r="Y373" i="48"/>
  <c r="X585" i="48"/>
  <c r="AA585" i="48" s="1"/>
  <c r="I585" i="48"/>
  <c r="X376" i="48"/>
  <c r="AA376" i="48" s="1"/>
  <c r="X380" i="48"/>
  <c r="AA380" i="48" s="1"/>
  <c r="X384" i="48"/>
  <c r="AA384" i="48" s="1"/>
  <c r="X388" i="48"/>
  <c r="AA388" i="48" s="1"/>
  <c r="X392" i="48"/>
  <c r="AA392" i="48" s="1"/>
  <c r="X396" i="48"/>
  <c r="AA396" i="48" s="1"/>
  <c r="X400" i="48"/>
  <c r="AA400" i="48" s="1"/>
  <c r="X404" i="48"/>
  <c r="AA404" i="48" s="1"/>
  <c r="X408" i="48"/>
  <c r="AA408" i="48" s="1"/>
  <c r="X412" i="48"/>
  <c r="AA412" i="48" s="1"/>
  <c r="X416" i="48"/>
  <c r="AA416" i="48" s="1"/>
  <c r="X420" i="48"/>
  <c r="AA420" i="48" s="1"/>
  <c r="X424" i="48"/>
  <c r="AA424" i="48" s="1"/>
  <c r="X428" i="48"/>
  <c r="AA428" i="48" s="1"/>
  <c r="X432" i="48"/>
  <c r="AA432" i="48" s="1"/>
  <c r="X436" i="48"/>
  <c r="AA436" i="48" s="1"/>
  <c r="X440" i="48"/>
  <c r="AA440" i="48" s="1"/>
  <c r="X444" i="48"/>
  <c r="AA444" i="48" s="1"/>
  <c r="X448" i="48"/>
  <c r="AA448" i="48" s="1"/>
  <c r="X452" i="48"/>
  <c r="AA452" i="48" s="1"/>
  <c r="X456" i="48"/>
  <c r="AA456" i="48" s="1"/>
  <c r="X477" i="48"/>
  <c r="AA477" i="48" s="1"/>
  <c r="X485" i="48"/>
  <c r="AA485" i="48" s="1"/>
  <c r="X493" i="48"/>
  <c r="AA493" i="48" s="1"/>
  <c r="Y521" i="48"/>
  <c r="X531" i="48"/>
  <c r="AA531" i="48" s="1"/>
  <c r="X542" i="48"/>
  <c r="AA542" i="48" s="1"/>
  <c r="X547" i="48"/>
  <c r="AA547" i="48" s="1"/>
  <c r="X558" i="48"/>
  <c r="AA558" i="48" s="1"/>
  <c r="X563" i="48"/>
  <c r="AA563" i="48" s="1"/>
  <c r="X574" i="48"/>
  <c r="AA574" i="48" s="1"/>
  <c r="X579" i="48"/>
  <c r="AA579" i="48" s="1"/>
  <c r="Y473" i="48"/>
  <c r="Y481" i="48"/>
  <c r="Y489" i="48"/>
  <c r="Y497" i="48"/>
  <c r="Y605" i="48"/>
  <c r="Y461" i="48"/>
  <c r="Y465" i="48"/>
  <c r="Y469" i="48"/>
  <c r="X476" i="48"/>
  <c r="AA476" i="48" s="1"/>
  <c r="X484" i="48"/>
  <c r="AA484" i="48" s="1"/>
  <c r="X492" i="48"/>
  <c r="AA492" i="48" s="1"/>
  <c r="X500" i="48"/>
  <c r="AA500" i="48" s="1"/>
  <c r="Y517" i="48"/>
  <c r="X519" i="48"/>
  <c r="AA519" i="48" s="1"/>
  <c r="Y588" i="48"/>
  <c r="Y590" i="48"/>
  <c r="Y624" i="48"/>
  <c r="Y626" i="48"/>
  <c r="Y625" i="48"/>
  <c r="Y632" i="48"/>
  <c r="Y634" i="48"/>
  <c r="Y633" i="48"/>
  <c r="Y501" i="48"/>
  <c r="X539" i="48"/>
  <c r="AA539" i="48" s="1"/>
  <c r="X555" i="48"/>
  <c r="AA555" i="48" s="1"/>
  <c r="X571" i="48"/>
  <c r="AA571" i="48" s="1"/>
  <c r="Y594" i="48"/>
  <c r="Y593" i="48"/>
  <c r="Y640" i="48"/>
  <c r="Y642" i="48"/>
  <c r="Y641" i="48"/>
  <c r="Y530" i="48"/>
  <c r="Y534" i="48"/>
  <c r="Y538" i="48"/>
  <c r="Y542" i="48"/>
  <c r="Y546" i="48"/>
  <c r="Y550" i="48"/>
  <c r="Y554" i="48"/>
  <c r="Y558" i="48"/>
  <c r="Y562" i="48"/>
  <c r="Y566" i="48"/>
  <c r="Y570" i="48"/>
  <c r="Y574" i="48"/>
  <c r="Y578" i="48"/>
  <c r="Y596" i="48"/>
  <c r="Y600" i="48"/>
  <c r="Y611" i="48"/>
  <c r="X626" i="48"/>
  <c r="AA626" i="48" s="1"/>
  <c r="X634" i="48"/>
  <c r="AA634" i="48" s="1"/>
  <c r="X642" i="48"/>
  <c r="AA642" i="48" s="1"/>
  <c r="Y653" i="48"/>
  <c r="Y654" i="48"/>
  <c r="Y669" i="48"/>
  <c r="I769" i="48"/>
  <c r="X769" i="48"/>
  <c r="AA769" i="48" s="1"/>
  <c r="Y790" i="48"/>
  <c r="Y792" i="48"/>
  <c r="X841" i="48"/>
  <c r="AA841" i="48" s="1"/>
  <c r="I841" i="48"/>
  <c r="Y657" i="48"/>
  <c r="Y658" i="48"/>
  <c r="Y665" i="48"/>
  <c r="I688" i="48"/>
  <c r="X688" i="48"/>
  <c r="AA688" i="48" s="1"/>
  <c r="I709" i="48"/>
  <c r="X709" i="48"/>
  <c r="AA709" i="48" s="1"/>
  <c r="I864" i="48"/>
  <c r="X864" i="48"/>
  <c r="AA864" i="48" s="1"/>
  <c r="Y475" i="48"/>
  <c r="Y479" i="48"/>
  <c r="Y483" i="48"/>
  <c r="Y487" i="48"/>
  <c r="Y491" i="48"/>
  <c r="Y495" i="48"/>
  <c r="Y499" i="48"/>
  <c r="Y503" i="48"/>
  <c r="Y507" i="48"/>
  <c r="Y511" i="48"/>
  <c r="Y515" i="48"/>
  <c r="Y519" i="48"/>
  <c r="Y523" i="48"/>
  <c r="Y527" i="48"/>
  <c r="Y531" i="48"/>
  <c r="Y535" i="48"/>
  <c r="Y539" i="48"/>
  <c r="Y543" i="48"/>
  <c r="Y547" i="48"/>
  <c r="Y551" i="48"/>
  <c r="Y555" i="48"/>
  <c r="Y559" i="48"/>
  <c r="Y563" i="48"/>
  <c r="Y567" i="48"/>
  <c r="Y571" i="48"/>
  <c r="Y575" i="48"/>
  <c r="Y579" i="48"/>
  <c r="Y587" i="48"/>
  <c r="Y597" i="48"/>
  <c r="Y601" i="48"/>
  <c r="X602" i="48"/>
  <c r="AA602" i="48" s="1"/>
  <c r="Y661" i="48"/>
  <c r="I680" i="48"/>
  <c r="X680" i="48"/>
  <c r="AA680" i="48" s="1"/>
  <c r="I713" i="48"/>
  <c r="X713" i="48"/>
  <c r="AA713" i="48" s="1"/>
  <c r="X512" i="48"/>
  <c r="AA512" i="48" s="1"/>
  <c r="X516" i="48"/>
  <c r="AA516" i="48" s="1"/>
  <c r="X520" i="48"/>
  <c r="AA520" i="48" s="1"/>
  <c r="X524" i="48"/>
  <c r="AA524" i="48" s="1"/>
  <c r="X528" i="48"/>
  <c r="AA528" i="48" s="1"/>
  <c r="X532" i="48"/>
  <c r="AA532" i="48" s="1"/>
  <c r="X536" i="48"/>
  <c r="AA536" i="48" s="1"/>
  <c r="X540" i="48"/>
  <c r="AA540" i="48" s="1"/>
  <c r="X544" i="48"/>
  <c r="AA544" i="48" s="1"/>
  <c r="X548" i="48"/>
  <c r="AA548" i="48" s="1"/>
  <c r="X552" i="48"/>
  <c r="AA552" i="48" s="1"/>
  <c r="X556" i="48"/>
  <c r="AA556" i="48" s="1"/>
  <c r="X560" i="48"/>
  <c r="AA560" i="48" s="1"/>
  <c r="X564" i="48"/>
  <c r="AA564" i="48" s="1"/>
  <c r="X568" i="48"/>
  <c r="AA568" i="48" s="1"/>
  <c r="X572" i="48"/>
  <c r="AA572" i="48" s="1"/>
  <c r="X576" i="48"/>
  <c r="AA576" i="48" s="1"/>
  <c r="X580" i="48"/>
  <c r="AA580" i="48" s="1"/>
  <c r="X591" i="48"/>
  <c r="AA591" i="48" s="1"/>
  <c r="X598" i="48"/>
  <c r="AA598" i="48" s="1"/>
  <c r="Y602" i="48"/>
  <c r="Y609" i="48"/>
  <c r="Y621" i="48"/>
  <c r="Y629" i="48"/>
  <c r="Y637" i="48"/>
  <c r="Y645" i="48"/>
  <c r="Y751" i="48"/>
  <c r="Y750" i="48"/>
  <c r="Y752" i="48"/>
  <c r="X833" i="48"/>
  <c r="AA833" i="48" s="1"/>
  <c r="I833" i="48"/>
  <c r="Y581" i="48"/>
  <c r="X582" i="48"/>
  <c r="AA582" i="48" s="1"/>
  <c r="Y584" i="48"/>
  <c r="Y598" i="48"/>
  <c r="X622" i="48"/>
  <c r="AA622" i="48" s="1"/>
  <c r="X630" i="48"/>
  <c r="AA630" i="48" s="1"/>
  <c r="X638" i="48"/>
  <c r="AA638" i="48" s="1"/>
  <c r="X646" i="48"/>
  <c r="AA646" i="48" s="1"/>
  <c r="Y727" i="48"/>
  <c r="Y726" i="48"/>
  <c r="Y728" i="48"/>
  <c r="Y782" i="48"/>
  <c r="Y784" i="48"/>
  <c r="X501" i="48"/>
  <c r="AA501" i="48" s="1"/>
  <c r="X505" i="48"/>
  <c r="AA505" i="48" s="1"/>
  <c r="X509" i="48"/>
  <c r="AA509" i="48" s="1"/>
  <c r="X513" i="48"/>
  <c r="AA513" i="48" s="1"/>
  <c r="X517" i="48"/>
  <c r="AA517" i="48" s="1"/>
  <c r="X521" i="48"/>
  <c r="AA521" i="48" s="1"/>
  <c r="X525" i="48"/>
  <c r="AA525" i="48" s="1"/>
  <c r="X529" i="48"/>
  <c r="AA529" i="48" s="1"/>
  <c r="X533" i="48"/>
  <c r="AA533" i="48" s="1"/>
  <c r="X537" i="48"/>
  <c r="AA537" i="48" s="1"/>
  <c r="X541" i="48"/>
  <c r="AA541" i="48" s="1"/>
  <c r="X545" i="48"/>
  <c r="AA545" i="48" s="1"/>
  <c r="X549" i="48"/>
  <c r="AA549" i="48" s="1"/>
  <c r="X553" i="48"/>
  <c r="AA553" i="48" s="1"/>
  <c r="X557" i="48"/>
  <c r="AA557" i="48" s="1"/>
  <c r="X561" i="48"/>
  <c r="AA561" i="48" s="1"/>
  <c r="X565" i="48"/>
  <c r="AA565" i="48" s="1"/>
  <c r="X569" i="48"/>
  <c r="AA569" i="48" s="1"/>
  <c r="X573" i="48"/>
  <c r="AA573" i="48" s="1"/>
  <c r="X577" i="48"/>
  <c r="AA577" i="48" s="1"/>
  <c r="Y612" i="48"/>
  <c r="Y613" i="48"/>
  <c r="Y614" i="48"/>
  <c r="Y622" i="48"/>
  <c r="Y630" i="48"/>
  <c r="Y638" i="48"/>
  <c r="Y646" i="48"/>
  <c r="I672" i="48"/>
  <c r="X672" i="48"/>
  <c r="AA672" i="48" s="1"/>
  <c r="X708" i="48"/>
  <c r="AA708" i="48" s="1"/>
  <c r="I708" i="48"/>
  <c r="I710" i="48"/>
  <c r="X710" i="48"/>
  <c r="AA710" i="48" s="1"/>
  <c r="I737" i="48"/>
  <c r="X737" i="48"/>
  <c r="AA737" i="48" s="1"/>
  <c r="X714" i="48"/>
  <c r="AA714" i="48" s="1"/>
  <c r="Y682" i="48"/>
  <c r="Y702" i="48"/>
  <c r="Y739" i="48"/>
  <c r="Y738" i="48"/>
  <c r="Y771" i="48"/>
  <c r="Y770" i="48"/>
  <c r="Y840" i="48"/>
  <c r="Y839" i="48"/>
  <c r="Y841" i="48"/>
  <c r="X976" i="48"/>
  <c r="AA976" i="48" s="1"/>
  <c r="X693" i="48"/>
  <c r="AA693" i="48" s="1"/>
  <c r="Y711" i="48"/>
  <c r="Y710" i="48"/>
  <c r="Y747" i="48"/>
  <c r="Y746" i="48"/>
  <c r="X773" i="48"/>
  <c r="AA773" i="48" s="1"/>
  <c r="Y796" i="48"/>
  <c r="Y735" i="48"/>
  <c r="Y734" i="48"/>
  <c r="Y740" i="48"/>
  <c r="Y767" i="48"/>
  <c r="Y766" i="48"/>
  <c r="Y772" i="48"/>
  <c r="Y783" i="48"/>
  <c r="I818" i="48"/>
  <c r="X818" i="48"/>
  <c r="AA818" i="48" s="1"/>
  <c r="I896" i="48"/>
  <c r="X896" i="48"/>
  <c r="AA896" i="48" s="1"/>
  <c r="Y670" i="48"/>
  <c r="Y675" i="48"/>
  <c r="Y678" i="48"/>
  <c r="Y683" i="48"/>
  <c r="Y686" i="48"/>
  <c r="Y699" i="48"/>
  <c r="Y700" i="48"/>
  <c r="X701" i="48"/>
  <c r="AA701" i="48" s="1"/>
  <c r="I712" i="48"/>
  <c r="Y715" i="48"/>
  <c r="Y714" i="48"/>
  <c r="Y723" i="48"/>
  <c r="Y722" i="48"/>
  <c r="X749" i="48"/>
  <c r="AA749" i="48" s="1"/>
  <c r="Y755" i="48"/>
  <c r="Y754" i="48"/>
  <c r="X781" i="48"/>
  <c r="AA781" i="48" s="1"/>
  <c r="Y858" i="48"/>
  <c r="Y857" i="48"/>
  <c r="Y859" i="48"/>
  <c r="Y706" i="48"/>
  <c r="Y719" i="48"/>
  <c r="Y718" i="48"/>
  <c r="Y743" i="48"/>
  <c r="Y742" i="48"/>
  <c r="Y748" i="48"/>
  <c r="Y775" i="48"/>
  <c r="Y774" i="48"/>
  <c r="Y780" i="48"/>
  <c r="Y791" i="48"/>
  <c r="Y690" i="48"/>
  <c r="Y694" i="48"/>
  <c r="X698" i="48"/>
  <c r="AA698" i="48" s="1"/>
  <c r="Y707" i="48"/>
  <c r="X725" i="48"/>
  <c r="AA725" i="48" s="1"/>
  <c r="Y731" i="48"/>
  <c r="Y730" i="48"/>
  <c r="Y736" i="48"/>
  <c r="X757" i="48"/>
  <c r="AA757" i="48" s="1"/>
  <c r="Y763" i="48"/>
  <c r="Y762" i="48"/>
  <c r="Y768" i="48"/>
  <c r="X789" i="48"/>
  <c r="AA789" i="48" s="1"/>
  <c r="X817" i="48"/>
  <c r="AA817" i="48" s="1"/>
  <c r="I817" i="48"/>
  <c r="I819" i="48"/>
  <c r="X819" i="48"/>
  <c r="AA819" i="48" s="1"/>
  <c r="Y799" i="48"/>
  <c r="Y802" i="48"/>
  <c r="Y807" i="48"/>
  <c r="X808" i="48"/>
  <c r="AA808" i="48" s="1"/>
  <c r="Y810" i="48"/>
  <c r="Y832" i="48"/>
  <c r="Y831" i="48"/>
  <c r="Y949" i="48"/>
  <c r="Y948" i="48"/>
  <c r="Y950" i="48"/>
  <c r="X722" i="48"/>
  <c r="AA722" i="48" s="1"/>
  <c r="X726" i="48"/>
  <c r="AA726" i="48" s="1"/>
  <c r="X730" i="48"/>
  <c r="AA730" i="48" s="1"/>
  <c r="X734" i="48"/>
  <c r="AA734" i="48" s="1"/>
  <c r="X738" i="48"/>
  <c r="AA738" i="48" s="1"/>
  <c r="X742" i="48"/>
  <c r="AA742" i="48" s="1"/>
  <c r="X746" i="48"/>
  <c r="AA746" i="48" s="1"/>
  <c r="X750" i="48"/>
  <c r="AA750" i="48" s="1"/>
  <c r="X754" i="48"/>
  <c r="AA754" i="48" s="1"/>
  <c r="X758" i="48"/>
  <c r="AA758" i="48" s="1"/>
  <c r="X762" i="48"/>
  <c r="AA762" i="48" s="1"/>
  <c r="X766" i="48"/>
  <c r="AA766" i="48" s="1"/>
  <c r="X770" i="48"/>
  <c r="AA770" i="48" s="1"/>
  <c r="X774" i="48"/>
  <c r="AA774" i="48" s="1"/>
  <c r="X778" i="48"/>
  <c r="AA778" i="48" s="1"/>
  <c r="X782" i="48"/>
  <c r="AA782" i="48" s="1"/>
  <c r="X786" i="48"/>
  <c r="AA786" i="48" s="1"/>
  <c r="X790" i="48"/>
  <c r="AA790" i="48" s="1"/>
  <c r="X794" i="48"/>
  <c r="AA794" i="48" s="1"/>
  <c r="Y820" i="48"/>
  <c r="Y819" i="48"/>
  <c r="Y848" i="48"/>
  <c r="Y847" i="48"/>
  <c r="I849" i="48"/>
  <c r="X860" i="48"/>
  <c r="AA860" i="48" s="1"/>
  <c r="Y878" i="48"/>
  <c r="Y877" i="48"/>
  <c r="Y879" i="48"/>
  <c r="X801" i="48"/>
  <c r="AA801" i="48" s="1"/>
  <c r="X809" i="48"/>
  <c r="AA809" i="48" s="1"/>
  <c r="X820" i="48"/>
  <c r="AA820" i="48" s="1"/>
  <c r="Y821" i="48"/>
  <c r="Y856" i="48"/>
  <c r="I861" i="48"/>
  <c r="X861" i="48"/>
  <c r="AA861" i="48" s="1"/>
  <c r="X916" i="48"/>
  <c r="AA916" i="48" s="1"/>
  <c r="X802" i="48"/>
  <c r="AA802" i="48" s="1"/>
  <c r="X803" i="48"/>
  <c r="AA803" i="48" s="1"/>
  <c r="X810" i="48"/>
  <c r="AA810" i="48" s="1"/>
  <c r="X811" i="48"/>
  <c r="AA811" i="48" s="1"/>
  <c r="Y828" i="48"/>
  <c r="Y827" i="48"/>
  <c r="Y836" i="48"/>
  <c r="Y835" i="48"/>
  <c r="I865" i="48"/>
  <c r="X865" i="48"/>
  <c r="AA865" i="48" s="1"/>
  <c r="Y882" i="48"/>
  <c r="Y881" i="48"/>
  <c r="Y883" i="48"/>
  <c r="Y795" i="48"/>
  <c r="Y803" i="48"/>
  <c r="Y811" i="48"/>
  <c r="Y816" i="48"/>
  <c r="Y815" i="48"/>
  <c r="Y833" i="48"/>
  <c r="Y844" i="48"/>
  <c r="Y843" i="48"/>
  <c r="Y869" i="48"/>
  <c r="Y871" i="48"/>
  <c r="Y870" i="48"/>
  <c r="Y898" i="48"/>
  <c r="Y897" i="48"/>
  <c r="Y899" i="48"/>
  <c r="Y910" i="48"/>
  <c r="Y909" i="48"/>
  <c r="Y911" i="48"/>
  <c r="Y824" i="48"/>
  <c r="Y823" i="48"/>
  <c r="Y886" i="48"/>
  <c r="Y885" i="48"/>
  <c r="Y887" i="48"/>
  <c r="X826" i="48"/>
  <c r="AA826" i="48" s="1"/>
  <c r="X830" i="48"/>
  <c r="AA830" i="48" s="1"/>
  <c r="X834" i="48"/>
  <c r="AA834" i="48" s="1"/>
  <c r="X838" i="48"/>
  <c r="AA838" i="48" s="1"/>
  <c r="X842" i="48"/>
  <c r="AA842" i="48" s="1"/>
  <c r="X846" i="48"/>
  <c r="AA846" i="48" s="1"/>
  <c r="X850" i="48"/>
  <c r="AA850" i="48" s="1"/>
  <c r="X912" i="48"/>
  <c r="AA912" i="48" s="1"/>
  <c r="X940" i="48"/>
  <c r="AA940" i="48" s="1"/>
  <c r="X877" i="48"/>
  <c r="AA877" i="48" s="1"/>
  <c r="X881" i="48"/>
  <c r="AA881" i="48" s="1"/>
  <c r="X885" i="48"/>
  <c r="AA885" i="48" s="1"/>
  <c r="X900" i="48"/>
  <c r="AA900" i="48" s="1"/>
  <c r="Y906" i="48"/>
  <c r="Y905" i="48"/>
  <c r="X831" i="48"/>
  <c r="AA831" i="48" s="1"/>
  <c r="X835" i="48"/>
  <c r="AA835" i="48" s="1"/>
  <c r="X839" i="48"/>
  <c r="AA839" i="48" s="1"/>
  <c r="X843" i="48"/>
  <c r="AA843" i="48" s="1"/>
  <c r="X847" i="48"/>
  <c r="AA847" i="48" s="1"/>
  <c r="X851" i="48"/>
  <c r="AA851" i="48" s="1"/>
  <c r="Y894" i="48"/>
  <c r="Y893" i="48"/>
  <c r="Y866" i="48"/>
  <c r="Y867" i="48"/>
  <c r="X908" i="48"/>
  <c r="AA908" i="48" s="1"/>
  <c r="Y914" i="48"/>
  <c r="Y913" i="48"/>
  <c r="X920" i="48"/>
  <c r="AA920" i="48" s="1"/>
  <c r="X824" i="48"/>
  <c r="AA824" i="48" s="1"/>
  <c r="X828" i="48"/>
  <c r="AA828" i="48" s="1"/>
  <c r="X832" i="48"/>
  <c r="AA832" i="48" s="1"/>
  <c r="Y873" i="48"/>
  <c r="Y902" i="48"/>
  <c r="Y901" i="48"/>
  <c r="X939" i="48"/>
  <c r="AA939" i="48" s="1"/>
  <c r="Y953" i="48"/>
  <c r="Y952" i="48"/>
  <c r="Y954" i="48"/>
  <c r="Y862" i="48"/>
  <c r="Y874" i="48"/>
  <c r="Y890" i="48"/>
  <c r="Y889" i="48"/>
  <c r="Y895" i="48"/>
  <c r="Y922" i="48"/>
  <c r="X923" i="48"/>
  <c r="AA923" i="48" s="1"/>
  <c r="Y926" i="48"/>
  <c r="X927" i="48"/>
  <c r="AA927" i="48" s="1"/>
  <c r="Y930" i="48"/>
  <c r="X931" i="48"/>
  <c r="AA931" i="48" s="1"/>
  <c r="X935" i="48"/>
  <c r="AA935" i="48" s="1"/>
  <c r="X943" i="48"/>
  <c r="AA943" i="48" s="1"/>
  <c r="Y961" i="48"/>
  <c r="Y960" i="48"/>
  <c r="X889" i="48"/>
  <c r="AA889" i="48" s="1"/>
  <c r="X893" i="48"/>
  <c r="AA893" i="48" s="1"/>
  <c r="X897" i="48"/>
  <c r="AA897" i="48" s="1"/>
  <c r="X901" i="48"/>
  <c r="AA901" i="48" s="1"/>
  <c r="X905" i="48"/>
  <c r="AA905" i="48" s="1"/>
  <c r="X909" i="48"/>
  <c r="AA909" i="48" s="1"/>
  <c r="X913" i="48"/>
  <c r="AA913" i="48" s="1"/>
  <c r="X917" i="48"/>
  <c r="AA917" i="48" s="1"/>
  <c r="Y941" i="48"/>
  <c r="Y940" i="48"/>
  <c r="X972" i="48"/>
  <c r="AA972" i="48" s="1"/>
  <c r="X948" i="48"/>
  <c r="AA948" i="48" s="1"/>
  <c r="X952" i="48"/>
  <c r="AA952" i="48" s="1"/>
  <c r="X947" i="48"/>
  <c r="AA947" i="48" s="1"/>
  <c r="Y964" i="48"/>
  <c r="Y932" i="48"/>
  <c r="Y936" i="48"/>
  <c r="Y945" i="48"/>
  <c r="Y944" i="48"/>
  <c r="X975" i="48"/>
  <c r="AA975" i="48" s="1"/>
  <c r="Y937" i="48"/>
  <c r="Y938" i="48"/>
  <c r="Y957" i="48"/>
  <c r="Y956" i="48"/>
  <c r="X951" i="48"/>
  <c r="AA951" i="48" s="1"/>
  <c r="X955" i="48"/>
  <c r="AA955" i="48" s="1"/>
  <c r="X959" i="48"/>
  <c r="AA959" i="48" s="1"/>
  <c r="X963" i="48"/>
  <c r="AA963" i="48" s="1"/>
  <c r="X966" i="48"/>
  <c r="AA966" i="48" s="1"/>
  <c r="X956" i="48"/>
  <c r="AA956" i="48" s="1"/>
  <c r="X960" i="48"/>
  <c r="AA960" i="48" s="1"/>
  <c r="X964" i="48"/>
  <c r="AA964" i="48" s="1"/>
  <c r="X967" i="48"/>
  <c r="AA967" i="48" s="1"/>
  <c r="Y968" i="48"/>
  <c r="Y969" i="48"/>
  <c r="Y973" i="48"/>
  <c r="Y974" i="48"/>
  <c r="B2" i="48" l="1"/>
  <c r="I154" i="12" l="1"/>
  <c r="I153" i="12"/>
  <c r="I152" i="12"/>
  <c r="I151" i="12"/>
  <c r="I150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3" i="12"/>
  <c r="I132" i="12"/>
  <c r="I131" i="12"/>
  <c r="I130" i="12"/>
  <c r="I129" i="12"/>
  <c r="I128" i="12"/>
  <c r="I127" i="12"/>
  <c r="I126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2" i="12"/>
  <c r="I101" i="12"/>
  <c r="I100" i="12"/>
  <c r="I99" i="12"/>
  <c r="I98" i="12"/>
  <c r="I97" i="12"/>
  <c r="I96" i="12"/>
  <c r="I95" i="12"/>
  <c r="I94" i="12"/>
  <c r="I93" i="12"/>
  <c r="I92" i="12"/>
  <c r="I91" i="12"/>
  <c r="I90" i="12"/>
  <c r="I89" i="12"/>
  <c r="I88" i="12"/>
  <c r="I87" i="12"/>
  <c r="I86" i="12"/>
  <c r="I85" i="12"/>
  <c r="I84" i="12"/>
  <c r="I83" i="12"/>
  <c r="I82" i="12"/>
  <c r="I81" i="12"/>
  <c r="I80" i="12"/>
  <c r="I79" i="12"/>
  <c r="I78" i="12"/>
  <c r="I77" i="12"/>
  <c r="I76" i="12"/>
  <c r="I75" i="12"/>
  <c r="I74" i="12"/>
  <c r="I73" i="12"/>
  <c r="I72" i="12"/>
  <c r="I71" i="12"/>
  <c r="I70" i="12"/>
  <c r="I69" i="12"/>
  <c r="I68" i="12"/>
  <c r="I67" i="12"/>
  <c r="I66" i="12"/>
  <c r="I65" i="12"/>
  <c r="I64" i="12"/>
  <c r="I63" i="12"/>
  <c r="I62" i="12"/>
  <c r="I61" i="12"/>
  <c r="I60" i="12"/>
  <c r="I59" i="12"/>
  <c r="I58" i="12"/>
  <c r="I57" i="12"/>
  <c r="I56" i="12"/>
  <c r="I55" i="12"/>
  <c r="I54" i="12"/>
  <c r="I53" i="12"/>
  <c r="I52" i="12"/>
  <c r="I51" i="12"/>
  <c r="I50" i="12"/>
  <c r="I49" i="12"/>
  <c r="I48" i="12"/>
  <c r="I47" i="12"/>
  <c r="I46" i="12"/>
  <c r="I45" i="12"/>
  <c r="I44" i="12"/>
  <c r="I43" i="12"/>
  <c r="I42" i="12"/>
  <c r="I41" i="12"/>
  <c r="I40" i="12"/>
  <c r="I39" i="12"/>
  <c r="I38" i="12"/>
  <c r="I37" i="12"/>
  <c r="I36" i="12"/>
  <c r="I35" i="12"/>
  <c r="I34" i="12"/>
  <c r="I33" i="12"/>
  <c r="I32" i="12"/>
  <c r="I31" i="12"/>
  <c r="I30" i="12"/>
  <c r="I29" i="12"/>
  <c r="I28" i="12"/>
  <c r="I27" i="12"/>
  <c r="I26" i="12"/>
  <c r="I25" i="12"/>
  <c r="I24" i="12"/>
  <c r="I23" i="12"/>
  <c r="I22" i="12"/>
  <c r="I21" i="12"/>
  <c r="I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H154" i="12" l="1"/>
  <c r="H153" i="12"/>
  <c r="H152" i="12"/>
  <c r="H151" i="12"/>
  <c r="H150" i="12"/>
  <c r="H149" i="12"/>
  <c r="H148" i="12"/>
  <c r="H147" i="12"/>
  <c r="H146" i="12"/>
  <c r="H145" i="12"/>
  <c r="H144" i="12"/>
  <c r="H143" i="12"/>
  <c r="H142" i="12"/>
  <c r="H141" i="12"/>
  <c r="H140" i="12"/>
  <c r="H139" i="12"/>
  <c r="H138" i="12"/>
  <c r="H137" i="12"/>
  <c r="H136" i="12"/>
  <c r="H135" i="12"/>
  <c r="H134" i="12"/>
  <c r="H133" i="12"/>
  <c r="H132" i="12"/>
  <c r="Q6" i="48" l="1"/>
  <c r="Q4" i="48" s="1"/>
  <c r="H109" i="12" l="1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W6" i="48" l="1"/>
  <c r="W4" i="48" s="1"/>
  <c r="V6" i="48"/>
  <c r="V4" i="48" s="1"/>
  <c r="H108" i="12" l="1"/>
  <c r="H107" i="12"/>
  <c r="H106" i="12"/>
  <c r="H105" i="12"/>
  <c r="H104" i="12"/>
  <c r="H103" i="12"/>
  <c r="H99" i="12" l="1"/>
  <c r="J6" i="48" l="1"/>
  <c r="J4" i="48" s="1"/>
  <c r="H6" i="48"/>
  <c r="H4" i="48" s="1"/>
  <c r="G1" i="48" l="1"/>
  <c r="I6" i="48"/>
  <c r="I4" i="48" s="1"/>
  <c r="I1" i="48" s="1"/>
  <c r="X6" i="48"/>
  <c r="H102" i="12"/>
  <c r="H101" i="12"/>
  <c r="H100" i="12"/>
  <c r="H98" i="12"/>
  <c r="H97" i="12"/>
  <c r="H96" i="12"/>
  <c r="H95" i="12"/>
  <c r="H94" i="12"/>
  <c r="H93" i="12"/>
  <c r="H92" i="12"/>
  <c r="H91" i="12"/>
  <c r="H90" i="12"/>
  <c r="X4" i="48" l="1"/>
  <c r="AA6" i="48"/>
  <c r="AA4" i="48" s="1"/>
  <c r="E4" i="8"/>
  <c r="H87" i="45" l="1"/>
  <c r="D87" i="45"/>
  <c r="C87" i="45" s="1"/>
  <c r="H86" i="45"/>
  <c r="D86" i="45"/>
  <c r="C86" i="45" s="1"/>
  <c r="H85" i="45"/>
  <c r="D85" i="45"/>
  <c r="C85" i="45" s="1"/>
  <c r="H84" i="45"/>
  <c r="D84" i="45"/>
  <c r="C84" i="45" s="1"/>
  <c r="H83" i="45"/>
  <c r="D83" i="45"/>
  <c r="C83" i="45" s="1"/>
  <c r="H82" i="45"/>
  <c r="D82" i="45"/>
  <c r="C82" i="45" s="1"/>
  <c r="H81" i="45"/>
  <c r="D81" i="45"/>
  <c r="C81" i="45" s="1"/>
  <c r="H80" i="45"/>
  <c r="D80" i="45"/>
  <c r="C80" i="45" s="1"/>
  <c r="H79" i="45"/>
  <c r="D79" i="45"/>
  <c r="C79" i="45" s="1"/>
  <c r="H78" i="45"/>
  <c r="D78" i="45"/>
  <c r="C78" i="45" s="1"/>
  <c r="H77" i="45"/>
  <c r="D77" i="45"/>
  <c r="C77" i="45" s="1"/>
  <c r="H76" i="45"/>
  <c r="D76" i="45"/>
  <c r="C76" i="45" s="1"/>
  <c r="H75" i="45"/>
  <c r="D75" i="45"/>
  <c r="C75" i="45" s="1"/>
  <c r="H74" i="45"/>
  <c r="D74" i="45"/>
  <c r="C74" i="45" s="1"/>
  <c r="H73" i="45"/>
  <c r="D73" i="45"/>
  <c r="C73" i="45" s="1"/>
  <c r="H72" i="45"/>
  <c r="D72" i="45"/>
  <c r="C72" i="45" s="1"/>
  <c r="H71" i="45"/>
  <c r="D71" i="45"/>
  <c r="C71" i="45" s="1"/>
  <c r="H70" i="45"/>
  <c r="D70" i="45"/>
  <c r="C70" i="45" s="1"/>
  <c r="H69" i="45"/>
  <c r="D69" i="45"/>
  <c r="C69" i="45" s="1"/>
  <c r="H68" i="45"/>
  <c r="D68" i="45"/>
  <c r="C68" i="45" s="1"/>
  <c r="H67" i="45"/>
  <c r="D67" i="45"/>
  <c r="C67" i="45" s="1"/>
  <c r="H66" i="45"/>
  <c r="D66" i="45"/>
  <c r="C66" i="45" s="1"/>
  <c r="H65" i="45"/>
  <c r="D65" i="45"/>
  <c r="C65" i="45" s="1"/>
  <c r="H64" i="45"/>
  <c r="D64" i="45"/>
  <c r="C64" i="45" s="1"/>
  <c r="H63" i="45"/>
  <c r="D63" i="45"/>
  <c r="C63" i="45" s="1"/>
  <c r="H62" i="45"/>
  <c r="D62" i="45"/>
  <c r="C62" i="45" s="1"/>
  <c r="H61" i="45"/>
  <c r="D61" i="45"/>
  <c r="C61" i="45" s="1"/>
  <c r="H60" i="45"/>
  <c r="D60" i="45"/>
  <c r="C60" i="45" s="1"/>
  <c r="H59" i="45"/>
  <c r="D59" i="45"/>
  <c r="C59" i="45" s="1"/>
  <c r="H58" i="45"/>
  <c r="D58" i="45"/>
  <c r="C58" i="45" s="1"/>
  <c r="H57" i="45"/>
  <c r="D57" i="45"/>
  <c r="C57" i="45" s="1"/>
  <c r="H56" i="45"/>
  <c r="D56" i="45"/>
  <c r="C56" i="45" s="1"/>
  <c r="H55" i="45"/>
  <c r="D55" i="45"/>
  <c r="C55" i="45" s="1"/>
  <c r="H52" i="45"/>
  <c r="D52" i="45"/>
  <c r="C52" i="45" s="1"/>
  <c r="H51" i="45"/>
  <c r="D51" i="45"/>
  <c r="C51" i="45" s="1"/>
  <c r="H50" i="45"/>
  <c r="D50" i="45"/>
  <c r="C50" i="45" s="1"/>
  <c r="H49" i="45"/>
  <c r="D49" i="45"/>
  <c r="C49" i="45" s="1"/>
  <c r="H48" i="45"/>
  <c r="D48" i="45"/>
  <c r="C48" i="45" s="1"/>
  <c r="H47" i="45"/>
  <c r="D47" i="45"/>
  <c r="C47" i="45" s="1"/>
  <c r="H46" i="45"/>
  <c r="D46" i="45"/>
  <c r="C46" i="45" s="1"/>
  <c r="H45" i="45"/>
  <c r="D45" i="45"/>
  <c r="C45" i="45" s="1"/>
  <c r="H44" i="45"/>
  <c r="D44" i="45"/>
  <c r="C44" i="45" s="1"/>
  <c r="H43" i="45"/>
  <c r="D43" i="45"/>
  <c r="C43" i="45" s="1"/>
  <c r="H42" i="45"/>
  <c r="D42" i="45"/>
  <c r="C42" i="45" s="1"/>
  <c r="H41" i="45"/>
  <c r="D41" i="45"/>
  <c r="C41" i="45" s="1"/>
  <c r="H40" i="45"/>
  <c r="D40" i="45"/>
  <c r="C40" i="45" s="1"/>
  <c r="H38" i="45"/>
  <c r="D38" i="45"/>
  <c r="C38" i="45" s="1"/>
  <c r="H37" i="45"/>
  <c r="D37" i="45"/>
  <c r="C37" i="45" s="1"/>
  <c r="H36" i="45"/>
  <c r="D36" i="45"/>
  <c r="C36" i="45" s="1"/>
  <c r="H35" i="45"/>
  <c r="D35" i="45"/>
  <c r="C35" i="45" s="1"/>
  <c r="H34" i="45"/>
  <c r="D34" i="45"/>
  <c r="C34" i="45" s="1"/>
  <c r="H33" i="45"/>
  <c r="D33" i="45"/>
  <c r="C33" i="45" s="1"/>
  <c r="H32" i="45"/>
  <c r="D32" i="45"/>
  <c r="C32" i="45" s="1"/>
  <c r="H31" i="45"/>
  <c r="D31" i="45"/>
  <c r="C31" i="45" s="1"/>
  <c r="H30" i="45"/>
  <c r="D30" i="45"/>
  <c r="C30" i="45" s="1"/>
  <c r="H29" i="45"/>
  <c r="D29" i="45"/>
  <c r="C29" i="45" s="1"/>
  <c r="H28" i="45"/>
  <c r="D28" i="45"/>
  <c r="C28" i="45" s="1"/>
  <c r="H27" i="45"/>
  <c r="D27" i="45"/>
  <c r="C27" i="45" s="1"/>
  <c r="H26" i="45"/>
  <c r="D26" i="45"/>
  <c r="C26" i="45" s="1"/>
  <c r="H25" i="45"/>
  <c r="D25" i="45"/>
  <c r="C25" i="45" s="1"/>
  <c r="H24" i="45"/>
  <c r="D24" i="45"/>
  <c r="C24" i="45" s="1"/>
  <c r="H23" i="45"/>
  <c r="D23" i="45"/>
  <c r="C23" i="45" s="1"/>
  <c r="H22" i="45"/>
  <c r="D22" i="45"/>
  <c r="C22" i="45" s="1"/>
  <c r="H21" i="45"/>
  <c r="D21" i="45"/>
  <c r="C21" i="45" s="1"/>
  <c r="H20" i="45"/>
  <c r="D20" i="45"/>
  <c r="C20" i="45" s="1"/>
  <c r="H19" i="45"/>
  <c r="D19" i="45"/>
  <c r="C19" i="45" s="1"/>
  <c r="H18" i="45"/>
  <c r="D18" i="45"/>
  <c r="C18" i="45" s="1"/>
  <c r="H17" i="45"/>
  <c r="D17" i="45"/>
  <c r="C17" i="45" s="1"/>
  <c r="H16" i="45"/>
  <c r="D16" i="45"/>
  <c r="C16" i="45" s="1"/>
  <c r="H15" i="45"/>
  <c r="D15" i="45"/>
  <c r="C15" i="45" s="1"/>
  <c r="H14" i="45"/>
  <c r="D14" i="45"/>
  <c r="C14" i="45" s="1"/>
  <c r="H13" i="45"/>
  <c r="D13" i="45"/>
  <c r="C13" i="45" s="1"/>
  <c r="H12" i="45"/>
  <c r="D12" i="45"/>
  <c r="C12" i="45" s="1"/>
  <c r="H11" i="45"/>
  <c r="D11" i="45"/>
  <c r="C11" i="45" s="1"/>
  <c r="H10" i="45"/>
  <c r="D10" i="45"/>
  <c r="C10" i="45" s="1"/>
  <c r="H9" i="45"/>
  <c r="D9" i="45"/>
  <c r="C9" i="45" s="1"/>
  <c r="H8" i="45"/>
  <c r="D8" i="45"/>
  <c r="C8" i="45" s="1"/>
  <c r="H7" i="45"/>
  <c r="D7" i="45"/>
  <c r="C7" i="45" s="1"/>
  <c r="H6" i="45"/>
  <c r="D6" i="45"/>
  <c r="C6" i="45" s="1"/>
  <c r="H5" i="45"/>
  <c r="D5" i="45"/>
  <c r="C5" i="45" s="1"/>
  <c r="H4" i="45"/>
  <c r="D4" i="45"/>
  <c r="C4" i="45" s="1"/>
  <c r="H3" i="45"/>
  <c r="D3" i="45"/>
  <c r="C3" i="45" s="1"/>
  <c r="T6" i="48" l="1"/>
  <c r="T4" i="48" s="1"/>
  <c r="S6" i="48"/>
  <c r="R6" i="48"/>
  <c r="R4" i="48" s="1"/>
  <c r="L6" i="48"/>
  <c r="Y6" i="48" l="1"/>
  <c r="Y7" i="48"/>
  <c r="Y8" i="48"/>
  <c r="S4" i="48"/>
  <c r="Q1" i="48" s="1"/>
  <c r="R1" i="48"/>
  <c r="M6" i="48"/>
  <c r="Y4" i="48" l="1"/>
  <c r="N6" i="48"/>
  <c r="O6" i="48" l="1"/>
  <c r="J5" i="8"/>
  <c r="J6" i="8" s="1"/>
  <c r="P6" i="48" l="1"/>
  <c r="P3" i="48" s="1"/>
  <c r="V1" i="48" l="1"/>
  <c r="H4" i="8" l="1"/>
  <c r="H5" i="8" s="1"/>
  <c r="R4" i="8" l="1"/>
  <c r="W1" i="48"/>
  <c r="S4" i="8" s="1"/>
  <c r="S5" i="8" l="1"/>
  <c r="U4" i="8"/>
  <c r="R5" i="8"/>
  <c r="R6" i="8" s="1"/>
  <c r="T4" i="8"/>
  <c r="S6" i="8" l="1"/>
  <c r="T5" i="8"/>
  <c r="T6" i="8" s="1"/>
  <c r="U5" i="8"/>
  <c r="U6" i="8" s="1"/>
  <c r="K6" i="48" l="1"/>
  <c r="K4" i="48" s="1"/>
  <c r="J1" i="48" l="1"/>
  <c r="M1" i="48" l="1"/>
  <c r="G4" i="8" s="1"/>
  <c r="I4" i="8"/>
  <c r="K4" i="8" s="1"/>
  <c r="F4" i="8"/>
  <c r="T1" i="48"/>
  <c r="L4" i="8" l="1"/>
  <c r="K5" i="8"/>
  <c r="K6" i="8" s="1"/>
  <c r="Q4" i="8"/>
  <c r="G2" i="48"/>
  <c r="O4" i="8" s="1"/>
  <c r="G3" i="48"/>
  <c r="P4" i="8" s="1"/>
  <c r="I5" i="8"/>
  <c r="I6" i="8" s="1"/>
  <c r="D1" i="48"/>
  <c r="N4" i="8" s="1"/>
  <c r="M4" i="8" l="1"/>
  <c r="Q5" i="8"/>
  <c r="Q6" i="8" s="1"/>
  <c r="O5" i="8"/>
  <c r="O6" i="8" s="1"/>
  <c r="P5" i="8"/>
  <c r="P6" i="8" s="1"/>
  <c r="E5" i="8" l="1"/>
  <c r="E6" i="8" s="1"/>
  <c r="N5" i="8"/>
  <c r="N6" i="8" s="1"/>
  <c r="H2" i="12" l="1"/>
  <c r="I2" i="12"/>
  <c r="H3" i="12"/>
  <c r="I3" i="12"/>
  <c r="H4" i="12"/>
  <c r="I4" i="12"/>
  <c r="H5" i="12"/>
  <c r="I5" i="12"/>
  <c r="H6" i="12"/>
  <c r="I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M5" i="8" l="1"/>
  <c r="M6" i="8" l="1"/>
  <c r="L5" i="8"/>
  <c r="L6" i="8" s="1"/>
  <c r="H6" i="8" l="1"/>
  <c r="F5" i="8" l="1"/>
  <c r="F6" i="8" s="1"/>
  <c r="G5" i="8" l="1"/>
  <c r="G6" i="8" s="1"/>
</calcChain>
</file>

<file path=xl/sharedStrings.xml><?xml version="1.0" encoding="utf-8"?>
<sst xmlns="http://schemas.openxmlformats.org/spreadsheetml/2006/main" count="17135" uniqueCount="2183">
  <si>
    <t>S</t>
  </si>
  <si>
    <t>MI 11</t>
  </si>
  <si>
    <t>SRF</t>
  </si>
  <si>
    <t>RFS</t>
  </si>
  <si>
    <t>10M</t>
  </si>
  <si>
    <t>B10</t>
  </si>
  <si>
    <t>B-</t>
  </si>
  <si>
    <t>FDn</t>
  </si>
  <si>
    <t>INT</t>
  </si>
  <si>
    <t>D100</t>
  </si>
  <si>
    <t>D20</t>
  </si>
  <si>
    <t>MI 17</t>
  </si>
  <si>
    <t>LDn</t>
  </si>
  <si>
    <t>MI 18M</t>
  </si>
  <si>
    <t>SYN</t>
  </si>
  <si>
    <t>FRB</t>
  </si>
  <si>
    <t>40M</t>
  </si>
  <si>
    <t>50M</t>
  </si>
  <si>
    <t>100M</t>
  </si>
  <si>
    <t>FD1</t>
  </si>
  <si>
    <t>FD2</t>
  </si>
  <si>
    <t>MI 19</t>
  </si>
  <si>
    <t>MI 23</t>
  </si>
  <si>
    <t>C</t>
  </si>
  <si>
    <t>MI 27M</t>
  </si>
  <si>
    <t>MI 32</t>
  </si>
  <si>
    <t>MI 34</t>
  </si>
  <si>
    <t>N</t>
  </si>
  <si>
    <t>MI 40</t>
  </si>
  <si>
    <t>MI 41M</t>
  </si>
  <si>
    <t>200M</t>
  </si>
  <si>
    <t>MI 47</t>
  </si>
  <si>
    <t>HU 06</t>
  </si>
  <si>
    <t>HU 09</t>
  </si>
  <si>
    <t>HU 12</t>
  </si>
  <si>
    <t>HU 15M</t>
  </si>
  <si>
    <t>HU 93</t>
  </si>
  <si>
    <t>HU 27</t>
  </si>
  <si>
    <t>HU 32</t>
  </si>
  <si>
    <t>HU 37</t>
  </si>
  <si>
    <t>HU 38</t>
  </si>
  <si>
    <t>HU 45M</t>
  </si>
  <si>
    <t>HU 48</t>
  </si>
  <si>
    <t>HU 53</t>
  </si>
  <si>
    <t>HU 54M</t>
  </si>
  <si>
    <t>HU 61</t>
  </si>
  <si>
    <t>E</t>
  </si>
  <si>
    <t>ER 15M</t>
  </si>
  <si>
    <t>ER 63</t>
  </si>
  <si>
    <t>ER 09</t>
  </si>
  <si>
    <t>ER 10</t>
  </si>
  <si>
    <t>ER 42</t>
  </si>
  <si>
    <t>ER 43</t>
  </si>
  <si>
    <t>ER 73</t>
  </si>
  <si>
    <t>ER 36</t>
  </si>
  <si>
    <t>ER 37</t>
  </si>
  <si>
    <t>ER 38</t>
  </si>
  <si>
    <t>ER 78M</t>
  </si>
  <si>
    <t>ER 30</t>
  </si>
  <si>
    <t>ER 31</t>
  </si>
  <si>
    <t>ER 32</t>
  </si>
  <si>
    <t>W</t>
  </si>
  <si>
    <t>ER 58</t>
  </si>
  <si>
    <t>ER 59</t>
  </si>
  <si>
    <t>ER 60</t>
  </si>
  <si>
    <t>ER 61</t>
  </si>
  <si>
    <t>ER 91M</t>
  </si>
  <si>
    <t>ER 92</t>
  </si>
  <si>
    <t>ON 49</t>
  </si>
  <si>
    <t>ON 55M</t>
  </si>
  <si>
    <t>ON 60</t>
  </si>
  <si>
    <t>ON 63</t>
  </si>
  <si>
    <t>ON 12</t>
  </si>
  <si>
    <t>ON 25</t>
  </si>
  <si>
    <t>ON 33M</t>
  </si>
  <si>
    <t>ON 41</t>
  </si>
  <si>
    <t>SU 01M</t>
  </si>
  <si>
    <t>SU 02</t>
  </si>
  <si>
    <t>SU 03</t>
  </si>
  <si>
    <t>SU 04</t>
  </si>
  <si>
    <t>SU 05</t>
  </si>
  <si>
    <t>SU 06</t>
  </si>
  <si>
    <t>SU 07</t>
  </si>
  <si>
    <t>SU 08M</t>
  </si>
  <si>
    <t>SU 09</t>
  </si>
  <si>
    <t>SU 10</t>
  </si>
  <si>
    <t>SU 11</t>
  </si>
  <si>
    <t>SU 12</t>
  </si>
  <si>
    <t>SU 13</t>
  </si>
  <si>
    <t>SU 14</t>
  </si>
  <si>
    <t>SU 15</t>
  </si>
  <si>
    <t>SU 16</t>
  </si>
  <si>
    <t>SU 17M</t>
  </si>
  <si>
    <t>SU 18</t>
  </si>
  <si>
    <t>SU 19</t>
  </si>
  <si>
    <t>Station ID</t>
  </si>
  <si>
    <t>DO</t>
  </si>
  <si>
    <t>125 mL sample Bottles</t>
  </si>
  <si>
    <t>½ Gallon Milk Jugs</t>
  </si>
  <si>
    <t>Cubitainers</t>
  </si>
  <si>
    <t>Sample ID</t>
  </si>
  <si>
    <t>QC Type</t>
  </si>
  <si>
    <t>Nutrients</t>
  </si>
  <si>
    <t>Metals Total</t>
  </si>
  <si>
    <t>Board</t>
  </si>
  <si>
    <t>susps</t>
  </si>
  <si>
    <t>tpp</t>
  </si>
  <si>
    <t>tpn</t>
  </si>
  <si>
    <t>poc</t>
  </si>
  <si>
    <t>particulate</t>
  </si>
  <si>
    <t>Int,Comp</t>
  </si>
  <si>
    <t>125 mL Bottle</t>
  </si>
  <si>
    <t>4 L Cubitainers</t>
  </si>
  <si>
    <r>
      <t xml:space="preserve">0.45 </t>
    </r>
    <r>
      <rPr>
        <sz val="10"/>
        <color rgb="FF0070C0"/>
        <rFont val="Times New Roman"/>
        <family val="1"/>
      </rPr>
      <t>µ</t>
    </r>
    <r>
      <rPr>
        <sz val="10"/>
        <color rgb="FF0070C0"/>
        <rFont val="Arial"/>
        <family val="2"/>
      </rPr>
      <t>m Filters</t>
    </r>
  </si>
  <si>
    <t>Visit ID</t>
  </si>
  <si>
    <t>Survey ID</t>
  </si>
  <si>
    <r>
      <t>Net Mesh Size (</t>
    </r>
    <r>
      <rPr>
        <b/>
        <sz val="10"/>
        <rFont val="Times New Roman"/>
        <family val="1"/>
      </rPr>
      <t>µ</t>
    </r>
    <r>
      <rPr>
        <b/>
        <sz val="10"/>
        <rFont val="Arial"/>
        <family val="2"/>
      </rPr>
      <t>m)</t>
    </r>
  </si>
  <si>
    <t># of Samples</t>
  </si>
  <si>
    <t>Benthos</t>
  </si>
  <si>
    <t>MID</t>
  </si>
  <si>
    <t>30M</t>
  </si>
  <si>
    <t>All</t>
  </si>
  <si>
    <t>MI17</t>
  </si>
  <si>
    <t>MI11</t>
  </si>
  <si>
    <t>MI18M</t>
  </si>
  <si>
    <t>MI19</t>
  </si>
  <si>
    <t>MI23</t>
  </si>
  <si>
    <t>MI40</t>
  </si>
  <si>
    <t>MI32</t>
  </si>
  <si>
    <t>MI27M</t>
  </si>
  <si>
    <t>MI34</t>
  </si>
  <si>
    <t>MI41M</t>
  </si>
  <si>
    <t>MI47</t>
  </si>
  <si>
    <t>HU61</t>
  </si>
  <si>
    <t>HU54M</t>
  </si>
  <si>
    <t>HU53</t>
  </si>
  <si>
    <t>HU48</t>
  </si>
  <si>
    <t>HU45M</t>
  </si>
  <si>
    <t>HU37</t>
  </si>
  <si>
    <t>HU38</t>
  </si>
  <si>
    <t>HU32</t>
  </si>
  <si>
    <t>HU27</t>
  </si>
  <si>
    <t>HU06</t>
  </si>
  <si>
    <t>HU15M</t>
  </si>
  <si>
    <t>HU93</t>
  </si>
  <si>
    <t>HU12</t>
  </si>
  <si>
    <t>HU09</t>
  </si>
  <si>
    <t>ER60</t>
  </si>
  <si>
    <t>ER58</t>
  </si>
  <si>
    <t>ER61</t>
  </si>
  <si>
    <t>ER59</t>
  </si>
  <si>
    <t>ER91M</t>
  </si>
  <si>
    <t>ER92</t>
  </si>
  <si>
    <t>ER43</t>
  </si>
  <si>
    <t>ER42</t>
  </si>
  <si>
    <t>ER73</t>
  </si>
  <si>
    <t>ER36</t>
  </si>
  <si>
    <t>ER31</t>
  </si>
  <si>
    <t>ER37</t>
  </si>
  <si>
    <t>ER38</t>
  </si>
  <si>
    <t>ER78M</t>
  </si>
  <si>
    <t>ER32</t>
  </si>
  <si>
    <t>ER30</t>
  </si>
  <si>
    <t>ER15M</t>
  </si>
  <si>
    <t>ER63</t>
  </si>
  <si>
    <t>ER09</t>
  </si>
  <si>
    <t>ER10</t>
  </si>
  <si>
    <t>ON25</t>
  </si>
  <si>
    <t>ON12</t>
  </si>
  <si>
    <t>ON33M</t>
  </si>
  <si>
    <t>ON41</t>
  </si>
  <si>
    <t>ON49</t>
  </si>
  <si>
    <t>ON63</t>
  </si>
  <si>
    <t>ON60</t>
  </si>
  <si>
    <t>ON55M</t>
  </si>
  <si>
    <t>SU08M</t>
  </si>
  <si>
    <t>SU01M</t>
  </si>
  <si>
    <t>SU02</t>
  </si>
  <si>
    <t>SU04</t>
  </si>
  <si>
    <t>SU07</t>
  </si>
  <si>
    <t>SU06</t>
  </si>
  <si>
    <t>SU09</t>
  </si>
  <si>
    <t>SU11</t>
  </si>
  <si>
    <t>SU13</t>
  </si>
  <si>
    <t>SU15</t>
  </si>
  <si>
    <t>SU19</t>
  </si>
  <si>
    <t>SU16</t>
  </si>
  <si>
    <t>SU18</t>
  </si>
  <si>
    <t>SU17M</t>
  </si>
  <si>
    <t>SU14</t>
  </si>
  <si>
    <t>SU12</t>
  </si>
  <si>
    <t>SU10</t>
  </si>
  <si>
    <t>SU05</t>
  </si>
  <si>
    <t>SU03</t>
  </si>
  <si>
    <t>MI 50b</t>
  </si>
  <si>
    <t>MI 49b</t>
  </si>
  <si>
    <t>HU 98b</t>
  </si>
  <si>
    <t>Basin</t>
  </si>
  <si>
    <t>Depth Code</t>
  </si>
  <si>
    <t>500 mL</t>
  </si>
  <si>
    <t>MI FE</t>
  </si>
  <si>
    <t>HU FE</t>
  </si>
  <si>
    <t>ER FE</t>
  </si>
  <si>
    <t>ON FE</t>
  </si>
  <si>
    <t>Zoo Plankton</t>
  </si>
  <si>
    <t>Phyto Plankton</t>
  </si>
  <si>
    <t>1000mL</t>
  </si>
  <si>
    <t>SU FE</t>
  </si>
  <si>
    <t>ERFE</t>
  </si>
  <si>
    <t>HUFE</t>
  </si>
  <si>
    <t>MIFE</t>
  </si>
  <si>
    <t>ONFE</t>
  </si>
  <si>
    <t>SUFE</t>
  </si>
  <si>
    <t>Station Depth (2008-2012)</t>
  </si>
  <si>
    <t>STATION_ID</t>
  </si>
  <si>
    <t>Average</t>
  </si>
  <si>
    <t>Standard Deviation</t>
  </si>
  <si>
    <t>2*Standard Error</t>
  </si>
  <si>
    <t>YEAR</t>
  </si>
  <si>
    <t>MONTH</t>
  </si>
  <si>
    <t>STN_DEPTH_m</t>
  </si>
  <si>
    <t>SAMPLE_ID</t>
  </si>
  <si>
    <t>ANL_CODE</t>
  </si>
  <si>
    <t xml:space="preserve">April    </t>
  </si>
  <si>
    <t>08GC20S81</t>
  </si>
  <si>
    <t>Chlor-a</t>
  </si>
  <si>
    <t>NO2+NO3</t>
  </si>
  <si>
    <t>Values</t>
  </si>
  <si>
    <t>09GC20S81</t>
  </si>
  <si>
    <t>Average of STN_DEPTH_m</t>
  </si>
  <si>
    <t>StdDev of STN_DEPTH_m</t>
  </si>
  <si>
    <t>Count of STN_DEPTH_m</t>
  </si>
  <si>
    <t>10GC20S81</t>
  </si>
  <si>
    <t>11GC20S81</t>
  </si>
  <si>
    <t>12GC17S81</t>
  </si>
  <si>
    <t xml:space="preserve">August   </t>
  </si>
  <si>
    <t>08GC43S81</t>
  </si>
  <si>
    <t>09GC46S81</t>
  </si>
  <si>
    <t>10GC43S81</t>
  </si>
  <si>
    <t>11GC39S41</t>
  </si>
  <si>
    <t>12GC51S01</t>
  </si>
  <si>
    <t>08GC21S01</t>
  </si>
  <si>
    <t>ERFO</t>
  </si>
  <si>
    <t>09GC21S01</t>
  </si>
  <si>
    <t>10GC21S01</t>
  </si>
  <si>
    <t>11GC21S01</t>
  </si>
  <si>
    <t>12GC18S01</t>
  </si>
  <si>
    <t>08GC44S01</t>
  </si>
  <si>
    <t>09GC47S01</t>
  </si>
  <si>
    <t>10GC44S01</t>
  </si>
  <si>
    <t>11GC39S61</t>
  </si>
  <si>
    <t>HUFO</t>
  </si>
  <si>
    <t>12GC51S21</t>
  </si>
  <si>
    <t>08GC20S41</t>
  </si>
  <si>
    <t>09GC20S21</t>
  </si>
  <si>
    <t>10GC20S41</t>
  </si>
  <si>
    <t>11GC20S21</t>
  </si>
  <si>
    <t>12GC17S41</t>
  </si>
  <si>
    <t>MIFO</t>
  </si>
  <si>
    <t>08GC43S41</t>
  </si>
  <si>
    <t>09GC46S21</t>
  </si>
  <si>
    <t>10GC43S41</t>
  </si>
  <si>
    <t>11GC39S01</t>
  </si>
  <si>
    <t>12GC50S61</t>
  </si>
  <si>
    <t>ONFO</t>
  </si>
  <si>
    <t>08GC20S21</t>
  </si>
  <si>
    <t>09GC20S01</t>
  </si>
  <si>
    <t>ON64B</t>
  </si>
  <si>
    <t>10GC20S21</t>
  </si>
  <si>
    <t>11GC20S01</t>
  </si>
  <si>
    <t>12GC19S61</t>
  </si>
  <si>
    <t>08GC43S21</t>
  </si>
  <si>
    <t>09GC46S01</t>
  </si>
  <si>
    <t>10GC43S21</t>
  </si>
  <si>
    <t>11GC41S21</t>
  </si>
  <si>
    <t>12GC52S81</t>
  </si>
  <si>
    <t>08GC20S01</t>
  </si>
  <si>
    <t>SUFO</t>
  </si>
  <si>
    <t>09GC19S81</t>
  </si>
  <si>
    <t>10GC20S01</t>
  </si>
  <si>
    <t>Grand Total</t>
  </si>
  <si>
    <t>11GC19S81</t>
  </si>
  <si>
    <t>12GC19S81</t>
  </si>
  <si>
    <t>08GC43S01</t>
  </si>
  <si>
    <t>09GC45S81</t>
  </si>
  <si>
    <t>10GC43S01</t>
  </si>
  <si>
    <t>11GC41S41</t>
  </si>
  <si>
    <t>12GC53S01</t>
  </si>
  <si>
    <t>08GC19S81</t>
  </si>
  <si>
    <t>09GC19S61</t>
  </si>
  <si>
    <t>10GC19S81</t>
  </si>
  <si>
    <t>11GC19S61</t>
  </si>
  <si>
    <t>12GC20S01</t>
  </si>
  <si>
    <t>08GC42S81</t>
  </si>
  <si>
    <t>09GC45S61</t>
  </si>
  <si>
    <t>10GC42S81</t>
  </si>
  <si>
    <t>11GC41S61</t>
  </si>
  <si>
    <t>12GC53S21</t>
  </si>
  <si>
    <t>08GC19S01</t>
  </si>
  <si>
    <t>09GC18S81</t>
  </si>
  <si>
    <t>10GC19S01</t>
  </si>
  <si>
    <t>11GC18S81</t>
  </si>
  <si>
    <t>12GC18S81</t>
  </si>
  <si>
    <t>08GC42S01</t>
  </si>
  <si>
    <t>09GC44S81</t>
  </si>
  <si>
    <t>10GC42S01</t>
  </si>
  <si>
    <t>11GC40S41</t>
  </si>
  <si>
    <t>12GC52S01</t>
  </si>
  <si>
    <t>08GC19S21</t>
  </si>
  <si>
    <t>09GC19S01</t>
  </si>
  <si>
    <t>10GC19S21</t>
  </si>
  <si>
    <t>11GC19S01</t>
  </si>
  <si>
    <t>12GC19I12</t>
  </si>
  <si>
    <t>08GC42S21</t>
  </si>
  <si>
    <t>09GC45S01</t>
  </si>
  <si>
    <t>10GC42S21</t>
  </si>
  <si>
    <t>11GC40S61</t>
  </si>
  <si>
    <t>12GC52S21</t>
  </si>
  <si>
    <t>08GC19S41</t>
  </si>
  <si>
    <t>09GC19S21</t>
  </si>
  <si>
    <t>10GC19S41</t>
  </si>
  <si>
    <t>11GC19S21</t>
  </si>
  <si>
    <t>12GC19S21</t>
  </si>
  <si>
    <t>08GC42S41</t>
  </si>
  <si>
    <t>09GC45S21</t>
  </si>
  <si>
    <t>10GC42S41</t>
  </si>
  <si>
    <t>11GC40S81</t>
  </si>
  <si>
    <t>12GC52S41</t>
  </si>
  <si>
    <t>08GC18S61</t>
  </si>
  <si>
    <t>09GC18S41</t>
  </si>
  <si>
    <t>10GC18S61</t>
  </si>
  <si>
    <t>11GC18S41</t>
  </si>
  <si>
    <t>12GC18S21</t>
  </si>
  <si>
    <t>08GC41S61</t>
  </si>
  <si>
    <t>09GC44S41</t>
  </si>
  <si>
    <t>10GC41S61</t>
  </si>
  <si>
    <t>11GC39S81</t>
  </si>
  <si>
    <t>12GC51S41</t>
  </si>
  <si>
    <t>08GC18S41</t>
  </si>
  <si>
    <t>09GC18S21</t>
  </si>
  <si>
    <t>10GC18S41</t>
  </si>
  <si>
    <t>11GC18S21</t>
  </si>
  <si>
    <t>12GC18S41</t>
  </si>
  <si>
    <t>08GC41S41</t>
  </si>
  <si>
    <t>09GC44S21</t>
  </si>
  <si>
    <t>10GC41S41</t>
  </si>
  <si>
    <t>11GC40S01</t>
  </si>
  <si>
    <t>12GC51S71</t>
  </si>
  <si>
    <t>08GC17S61</t>
  </si>
  <si>
    <t>09GC17S61</t>
  </si>
  <si>
    <t>10GC17S61</t>
  </si>
  <si>
    <t>11GC17S61</t>
  </si>
  <si>
    <t>12GC20S21</t>
  </si>
  <si>
    <t>08GC40S61</t>
  </si>
  <si>
    <t>09GC43S61</t>
  </si>
  <si>
    <t>10GC40S61</t>
  </si>
  <si>
    <t>11GC41S81</t>
  </si>
  <si>
    <t>12GC53S41</t>
  </si>
  <si>
    <t>08GC17S41</t>
  </si>
  <si>
    <t>09GC17S41</t>
  </si>
  <si>
    <t>10GC17S41</t>
  </si>
  <si>
    <t>11GC17S41</t>
  </si>
  <si>
    <t>12GC20S41</t>
  </si>
  <si>
    <t>08GC40S41</t>
  </si>
  <si>
    <t>09GC43S41</t>
  </si>
  <si>
    <t>10GC40S41</t>
  </si>
  <si>
    <t>11GC42S01</t>
  </si>
  <si>
    <t>12GC53S61</t>
  </si>
  <si>
    <t>08GC17S21</t>
  </si>
  <si>
    <t>09GC17S21</t>
  </si>
  <si>
    <t>10GC17S21</t>
  </si>
  <si>
    <t>11GC17S21</t>
  </si>
  <si>
    <t>12GC20S61</t>
  </si>
  <si>
    <t>08GC40S21</t>
  </si>
  <si>
    <t>09GC43S21</t>
  </si>
  <si>
    <t>10GC40S21</t>
  </si>
  <si>
    <t>11GC42S21</t>
  </si>
  <si>
    <t>12GC53S81</t>
  </si>
  <si>
    <t>08GC17S01</t>
  </si>
  <si>
    <t>09GC17S01</t>
  </si>
  <si>
    <t>10GC17S01</t>
  </si>
  <si>
    <t>11GC17S01</t>
  </si>
  <si>
    <t>12GC20S81</t>
  </si>
  <si>
    <t>08GC40S01</t>
  </si>
  <si>
    <t>09GC43S01</t>
  </si>
  <si>
    <t>10GC40S01</t>
  </si>
  <si>
    <t>11GC42S41</t>
  </si>
  <si>
    <t>12GC54S01</t>
  </si>
  <si>
    <t>08GC20S61</t>
  </si>
  <si>
    <t>09GC20S41</t>
  </si>
  <si>
    <t>10GC20S61</t>
  </si>
  <si>
    <t>11GC20S41</t>
  </si>
  <si>
    <t>12GC17S61</t>
  </si>
  <si>
    <t>08GC43S61</t>
  </si>
  <si>
    <t>09GC46S41</t>
  </si>
  <si>
    <t>10GC43S61</t>
  </si>
  <si>
    <t>11GC39S21</t>
  </si>
  <si>
    <t>12GC50S81</t>
  </si>
  <si>
    <t>08GC18S81</t>
  </si>
  <si>
    <t>09GC18S61</t>
  </si>
  <si>
    <t>10GC18S81</t>
  </si>
  <si>
    <t>11GC18S61</t>
  </si>
  <si>
    <t>12GC18S61</t>
  </si>
  <si>
    <t>08GC41S81</t>
  </si>
  <si>
    <t>09GC44S61</t>
  </si>
  <si>
    <t>10GC41S81</t>
  </si>
  <si>
    <t>11GC40S21</t>
  </si>
  <si>
    <t>12GC51S81</t>
  </si>
  <si>
    <t>08GC19S61</t>
  </si>
  <si>
    <t>09GC19S41</t>
  </si>
  <si>
    <t>10GC19S61</t>
  </si>
  <si>
    <t>11GC19S41</t>
  </si>
  <si>
    <t>12GC19S41</t>
  </si>
  <si>
    <t>08GC42S61</t>
  </si>
  <si>
    <t>09GC45S41</t>
  </si>
  <si>
    <t>10GC42S61</t>
  </si>
  <si>
    <t>11GC41S01</t>
  </si>
  <si>
    <t>12GC52S61</t>
  </si>
  <si>
    <t>08GC17S81</t>
  </si>
  <si>
    <t>09GC17S81</t>
  </si>
  <si>
    <t>10GC17S81</t>
  </si>
  <si>
    <t>11GC17S81</t>
  </si>
  <si>
    <t>12GC21S01</t>
  </si>
  <si>
    <t>08GC40S81</t>
  </si>
  <si>
    <t>09GC43S81</t>
  </si>
  <si>
    <t>10GC40S81</t>
  </si>
  <si>
    <t>11GC42S61</t>
  </si>
  <si>
    <t>12GC54S21</t>
  </si>
  <si>
    <t>08GC18S21</t>
  </si>
  <si>
    <t>09GC18S01</t>
  </si>
  <si>
    <t>10GC18S21</t>
  </si>
  <si>
    <t>11GC18S01</t>
  </si>
  <si>
    <t>12GC21S21</t>
  </si>
  <si>
    <t>08GC41S21</t>
  </si>
  <si>
    <t>09GC44S01</t>
  </si>
  <si>
    <t>10GC41S21</t>
  </si>
  <si>
    <t>11GC42S81</t>
  </si>
  <si>
    <t>12GC54S41</t>
  </si>
  <si>
    <t>08GC18S01</t>
  </si>
  <si>
    <t>10GC18S01</t>
  </si>
  <si>
    <t>12GC21S41</t>
  </si>
  <si>
    <t>08GC41S01</t>
  </si>
  <si>
    <t>10GC41S01</t>
  </si>
  <si>
    <t>12GC54S61</t>
  </si>
  <si>
    <t>09GC20S61</t>
  </si>
  <si>
    <t>11GC20S61</t>
  </si>
  <si>
    <t>09GC46S61</t>
  </si>
  <si>
    <t>11GC43S21</t>
  </si>
  <si>
    <t>08GB15S81</t>
  </si>
  <si>
    <t>09GB15S81</t>
  </si>
  <si>
    <t>10GB15S81</t>
  </si>
  <si>
    <t>11GB15S81</t>
  </si>
  <si>
    <t>12GB13S01</t>
  </si>
  <si>
    <t>08GB37S81</t>
  </si>
  <si>
    <t>09GB40S81</t>
  </si>
  <si>
    <t>10GB37S81</t>
  </si>
  <si>
    <t>11GB35S01</t>
  </si>
  <si>
    <t>12GB45S61</t>
  </si>
  <si>
    <t>08GB15S61</t>
  </si>
  <si>
    <t>09GB15S61</t>
  </si>
  <si>
    <t>10GB15S61</t>
  </si>
  <si>
    <t>11GB15S61</t>
  </si>
  <si>
    <t>12GB13S21</t>
  </si>
  <si>
    <t>08GB37S61</t>
  </si>
  <si>
    <t>09GB40S61</t>
  </si>
  <si>
    <t>10GB37S61</t>
  </si>
  <si>
    <t>11GB35S21</t>
  </si>
  <si>
    <t>12GB45S81</t>
  </si>
  <si>
    <t>08GB15S41</t>
  </si>
  <si>
    <t>09GB15S41</t>
  </si>
  <si>
    <t>10GB15S41</t>
  </si>
  <si>
    <t>11GB15S41</t>
  </si>
  <si>
    <t>12GB13S41</t>
  </si>
  <si>
    <t>08GB37S41</t>
  </si>
  <si>
    <t>09GB40S41</t>
  </si>
  <si>
    <t>10GB37S41</t>
  </si>
  <si>
    <t>11GB35S41</t>
  </si>
  <si>
    <t>12GB46S01</t>
  </si>
  <si>
    <t>08GB15S01</t>
  </si>
  <si>
    <t>09GB15S01</t>
  </si>
  <si>
    <t>10GB15S01</t>
  </si>
  <si>
    <t>11GB15S01</t>
  </si>
  <si>
    <t>12GB13S61</t>
  </si>
  <si>
    <t>08GB37S01</t>
  </si>
  <si>
    <t>09GB40S01</t>
  </si>
  <si>
    <t>10GB37S01</t>
  </si>
  <si>
    <t>11GB35S61</t>
  </si>
  <si>
    <t>12GB46S21</t>
  </si>
  <si>
    <t>08GB14S81</t>
  </si>
  <si>
    <t>09GB14S61</t>
  </si>
  <si>
    <t>10GB14S81</t>
  </si>
  <si>
    <t>11GB14S61</t>
  </si>
  <si>
    <t>12GB14S01</t>
  </si>
  <si>
    <t>08GB36S81</t>
  </si>
  <si>
    <t>09GB39S61</t>
  </si>
  <si>
    <t>10GB36S81</t>
  </si>
  <si>
    <t>11GB36S01</t>
  </si>
  <si>
    <t>12GB46S61</t>
  </si>
  <si>
    <t>08GB14S61</t>
  </si>
  <si>
    <t>09GB14S41</t>
  </si>
  <si>
    <t>10GB14S61</t>
  </si>
  <si>
    <t>11GB14S41</t>
  </si>
  <si>
    <t>12GB14S21</t>
  </si>
  <si>
    <t>08GB36S61</t>
  </si>
  <si>
    <t>09GB39S41</t>
  </si>
  <si>
    <t>10GB36S61</t>
  </si>
  <si>
    <t>11GB36S21</t>
  </si>
  <si>
    <t>12GB46S81</t>
  </si>
  <si>
    <t>08GB14S21</t>
  </si>
  <si>
    <t>09GB14S01</t>
  </si>
  <si>
    <t>10GB14S21</t>
  </si>
  <si>
    <t>11GB14S01</t>
  </si>
  <si>
    <t>12GB14S41</t>
  </si>
  <si>
    <t>08GB36S21</t>
  </si>
  <si>
    <t>09GB39S01</t>
  </si>
  <si>
    <t>10GB36S21</t>
  </si>
  <si>
    <t>11GB36S41</t>
  </si>
  <si>
    <t>12GB47S01</t>
  </si>
  <si>
    <t>08GB14S41</t>
  </si>
  <si>
    <t>09GB14S21</t>
  </si>
  <si>
    <t>10GB14S41</t>
  </si>
  <si>
    <t>11GB14S21</t>
  </si>
  <si>
    <t>12GB14S61</t>
  </si>
  <si>
    <t>08GB36S41</t>
  </si>
  <si>
    <t>09GB39S21</t>
  </si>
  <si>
    <t>10GB36S41</t>
  </si>
  <si>
    <t>11GB36S61</t>
  </si>
  <si>
    <t>12GB47S21</t>
  </si>
  <si>
    <t>08GB14S01</t>
  </si>
  <si>
    <t>09GB13S81</t>
  </si>
  <si>
    <t>10GB14S01</t>
  </si>
  <si>
    <t>11GB13S81</t>
  </si>
  <si>
    <t>12GB14S81</t>
  </si>
  <si>
    <t>08GB36S01</t>
  </si>
  <si>
    <t>09GB38S81</t>
  </si>
  <si>
    <t>10GB36S01</t>
  </si>
  <si>
    <t>11GB36S81</t>
  </si>
  <si>
    <t>12GB47S41</t>
  </si>
  <si>
    <t>08GB13S61</t>
  </si>
  <si>
    <t>09GB13S61</t>
  </si>
  <si>
    <t>10GB13S61</t>
  </si>
  <si>
    <t>11GB13S61</t>
  </si>
  <si>
    <t>12GB15S01</t>
  </si>
  <si>
    <t>08GB35S61</t>
  </si>
  <si>
    <t>09GB38S61</t>
  </si>
  <si>
    <t>10GB35S61</t>
  </si>
  <si>
    <t>11GB37S01</t>
  </si>
  <si>
    <t>12GB47S61</t>
  </si>
  <si>
    <t>08GB13S41</t>
  </si>
  <si>
    <t>09GB13S41</t>
  </si>
  <si>
    <t>10GB13S41</t>
  </si>
  <si>
    <t>11GB13S41</t>
  </si>
  <si>
    <t>12GB15S21</t>
  </si>
  <si>
    <t>08GB35S41</t>
  </si>
  <si>
    <t>09GB38S41</t>
  </si>
  <si>
    <t>10GB35S41</t>
  </si>
  <si>
    <t>11GB37S21</t>
  </si>
  <si>
    <t>12GB47S81</t>
  </si>
  <si>
    <t>08GB13S21</t>
  </si>
  <si>
    <t>09GB13S21</t>
  </si>
  <si>
    <t>10GB13S21</t>
  </si>
  <si>
    <t>11GB13S21</t>
  </si>
  <si>
    <t>12GB15S41</t>
  </si>
  <si>
    <t>08GB35S21</t>
  </si>
  <si>
    <t>09GB38S21</t>
  </si>
  <si>
    <t>10GB35S21</t>
  </si>
  <si>
    <t>11GB37S41</t>
  </si>
  <si>
    <t>12GB48S01</t>
  </si>
  <si>
    <t>08GB13S01</t>
  </si>
  <si>
    <t>09GB13S01</t>
  </si>
  <si>
    <t>10GB13S01</t>
  </si>
  <si>
    <t>11GB13S01</t>
  </si>
  <si>
    <t>12GB15S61</t>
  </si>
  <si>
    <t>08GB35S01</t>
  </si>
  <si>
    <t>09GB38S01</t>
  </si>
  <si>
    <t>10GB35S01</t>
  </si>
  <si>
    <t>11GB37S61</t>
  </si>
  <si>
    <t>12GB48S21</t>
  </si>
  <si>
    <t>08GB15S21</t>
  </si>
  <si>
    <t>09GB15S21</t>
  </si>
  <si>
    <t>10GB15S21</t>
  </si>
  <si>
    <t>11GB15S21</t>
  </si>
  <si>
    <t>12GB13S81</t>
  </si>
  <si>
    <t>08GB37S21</t>
  </si>
  <si>
    <t>09GB40S21</t>
  </si>
  <si>
    <t>10GB37S21</t>
  </si>
  <si>
    <t>11GB35S81</t>
  </si>
  <si>
    <t>12GB46S41</t>
  </si>
  <si>
    <t>08GB13S81</t>
  </si>
  <si>
    <t>10GB13S81</t>
  </si>
  <si>
    <t>12GB15S81</t>
  </si>
  <si>
    <t>08GB35S81</t>
  </si>
  <si>
    <t>10GB35S81</t>
  </si>
  <si>
    <t>12GB48S41</t>
  </si>
  <si>
    <t>09GB14S81</t>
  </si>
  <si>
    <t>11GB14S81</t>
  </si>
  <si>
    <t>09GB39S81</t>
  </si>
  <si>
    <t>11GB38S01</t>
  </si>
  <si>
    <t>08GA10S21</t>
  </si>
  <si>
    <t>09GA10S21</t>
  </si>
  <si>
    <t>10GA10S21</t>
  </si>
  <si>
    <t>11GA10S21</t>
  </si>
  <si>
    <t>12GA10S01</t>
  </si>
  <si>
    <t>08GA30S21</t>
  </si>
  <si>
    <t>09GA33S21</t>
  </si>
  <si>
    <t>10GA30S21</t>
  </si>
  <si>
    <t>11GA30S01</t>
  </si>
  <si>
    <t>12GA40S01</t>
  </si>
  <si>
    <t>08GA10S01</t>
  </si>
  <si>
    <t>09GA10S01</t>
  </si>
  <si>
    <t>10GA10S01</t>
  </si>
  <si>
    <t>11GA10S01</t>
  </si>
  <si>
    <t>12GA10S21</t>
  </si>
  <si>
    <t>08GA30S01</t>
  </si>
  <si>
    <t>09GA33S01</t>
  </si>
  <si>
    <t>10GA30S01</t>
  </si>
  <si>
    <t>11GA30S21</t>
  </si>
  <si>
    <t>12GA40S21</t>
  </si>
  <si>
    <t>08GA10S41</t>
  </si>
  <si>
    <t>09GA10S41</t>
  </si>
  <si>
    <t>10GA10S41</t>
  </si>
  <si>
    <t>11GA10S41</t>
  </si>
  <si>
    <t>12GA10S41</t>
  </si>
  <si>
    <t>08GA30S41</t>
  </si>
  <si>
    <t>09GA33S41</t>
  </si>
  <si>
    <t>10GA30S41</t>
  </si>
  <si>
    <t>11GA30S41</t>
  </si>
  <si>
    <t>12GA40S41</t>
  </si>
  <si>
    <t>08GA10S61</t>
  </si>
  <si>
    <t>09GA10S61</t>
  </si>
  <si>
    <t>10GA10S61</t>
  </si>
  <si>
    <t>11GA10S61</t>
  </si>
  <si>
    <t>12GA10S61</t>
  </si>
  <si>
    <t>08GA30S61</t>
  </si>
  <si>
    <t>09GA33S61</t>
  </si>
  <si>
    <t>10GA30S61</t>
  </si>
  <si>
    <t>11GA30S61</t>
  </si>
  <si>
    <t>12GA40S61</t>
  </si>
  <si>
    <t>08GA11S01</t>
  </si>
  <si>
    <t>09GA10S81</t>
  </si>
  <si>
    <t>10GA11S01</t>
  </si>
  <si>
    <t>11GA10S81</t>
  </si>
  <si>
    <t>12GA10S81</t>
  </si>
  <si>
    <t>08GA31S01</t>
  </si>
  <si>
    <t>09GA33S81</t>
  </si>
  <si>
    <t>10GA31S01</t>
  </si>
  <si>
    <t>11GA30S81</t>
  </si>
  <si>
    <t>12GA40S81</t>
  </si>
  <si>
    <t>08GA11S21</t>
  </si>
  <si>
    <t>09GA11S01</t>
  </si>
  <si>
    <t>10GA11S21</t>
  </si>
  <si>
    <t>11GA11S01</t>
  </si>
  <si>
    <t>12GA11S01</t>
  </si>
  <si>
    <t>08GA31S21</t>
  </si>
  <si>
    <t>09GA34S01</t>
  </si>
  <si>
    <t>10GA31S21</t>
  </si>
  <si>
    <t>11GA31S01</t>
  </si>
  <si>
    <t>12GA41S01</t>
  </si>
  <si>
    <t>08GA11S61</t>
  </si>
  <si>
    <t>09GA11S41</t>
  </si>
  <si>
    <t>10GA11S61</t>
  </si>
  <si>
    <t>11GA11S41</t>
  </si>
  <si>
    <t>12GA11S21</t>
  </si>
  <si>
    <t>08GA31S61</t>
  </si>
  <si>
    <t>09GA34S41</t>
  </si>
  <si>
    <t>10GA31S61</t>
  </si>
  <si>
    <t>11GA31S21</t>
  </si>
  <si>
    <t>12GA41S21</t>
  </si>
  <si>
    <t>08GA11S41</t>
  </si>
  <si>
    <t>09GA11S21</t>
  </si>
  <si>
    <t>10GA11S41</t>
  </si>
  <si>
    <t>11GA11S21</t>
  </si>
  <si>
    <t>12GA11S41</t>
  </si>
  <si>
    <t>08GA31S41</t>
  </si>
  <si>
    <t>09GA34S21</t>
  </si>
  <si>
    <t>10GA31S41</t>
  </si>
  <si>
    <t>11GA31S41</t>
  </si>
  <si>
    <t>12GA41S41</t>
  </si>
  <si>
    <t>08GA11S81</t>
  </si>
  <si>
    <t>09GA11S81</t>
  </si>
  <si>
    <t>10GA11S81</t>
  </si>
  <si>
    <t>11GA11S81</t>
  </si>
  <si>
    <t>12GA11S61</t>
  </si>
  <si>
    <t>08GA31S81</t>
  </si>
  <si>
    <t>09GA34S81</t>
  </si>
  <si>
    <t>10GA31S81</t>
  </si>
  <si>
    <t>11GA31S61</t>
  </si>
  <si>
    <t>12GA41S61</t>
  </si>
  <si>
    <t>08GA12S01</t>
  </si>
  <si>
    <t>09GA12S01</t>
  </si>
  <si>
    <t>10GA12S01</t>
  </si>
  <si>
    <t>11GA12S01</t>
  </si>
  <si>
    <t>12GA11S81</t>
  </si>
  <si>
    <t>08GA32S01</t>
  </si>
  <si>
    <t>09GA35S01</t>
  </si>
  <si>
    <t>10GA32S01</t>
  </si>
  <si>
    <t>11GA31S81</t>
  </si>
  <si>
    <t>12GA41S81</t>
  </si>
  <si>
    <t>08GA12S21</t>
  </si>
  <si>
    <t>09GA12S21</t>
  </si>
  <si>
    <t>10GA12S21</t>
  </si>
  <si>
    <t>11GA12S21</t>
  </si>
  <si>
    <t>12GA12S01</t>
  </si>
  <si>
    <t>08GA32S21</t>
  </si>
  <si>
    <t>09GA35S21</t>
  </si>
  <si>
    <t>10GA32S21</t>
  </si>
  <si>
    <t>11GA32S01</t>
  </si>
  <si>
    <t>12GA42S01</t>
  </si>
  <si>
    <t>08GA10S81</t>
  </si>
  <si>
    <t>10GA10S81</t>
  </si>
  <si>
    <t>12GA12S21</t>
  </si>
  <si>
    <t>08GA30S81</t>
  </si>
  <si>
    <t>10GA30S81</t>
  </si>
  <si>
    <t>12GA42S21</t>
  </si>
  <si>
    <t>09GA11S61</t>
  </si>
  <si>
    <t>11GA11S61</t>
  </si>
  <si>
    <t>09GA34S61</t>
  </si>
  <si>
    <t>11GA32S41</t>
  </si>
  <si>
    <t>08GE22S01</t>
  </si>
  <si>
    <t>09GE22S01</t>
  </si>
  <si>
    <t>10GE22S01</t>
  </si>
  <si>
    <t>11GE22S01</t>
  </si>
  <si>
    <t>12GE23S61</t>
  </si>
  <si>
    <t>08GE45S01</t>
  </si>
  <si>
    <t>09GE48S01</t>
  </si>
  <si>
    <t>10GE45S01</t>
  </si>
  <si>
    <t>11GE44S81</t>
  </si>
  <si>
    <t>12GE57S21</t>
  </si>
  <si>
    <t>08GE22S21</t>
  </si>
  <si>
    <t>09GE22S21</t>
  </si>
  <si>
    <t>10GE22S21</t>
  </si>
  <si>
    <t>11GE22S21</t>
  </si>
  <si>
    <t>12GE23S81</t>
  </si>
  <si>
    <t>08GE45S21</t>
  </si>
  <si>
    <t>09GE48S21</t>
  </si>
  <si>
    <t>10GE45S21</t>
  </si>
  <si>
    <t>11GE45S01</t>
  </si>
  <si>
    <t>12GE57S41</t>
  </si>
  <si>
    <t>08GE22S41</t>
  </si>
  <si>
    <t>09GE22S41</t>
  </si>
  <si>
    <t>10GE22S41</t>
  </si>
  <si>
    <t>11GE22S41</t>
  </si>
  <si>
    <t>12GE24S01</t>
  </si>
  <si>
    <t>08GE45S41</t>
  </si>
  <si>
    <t>09GE48S41</t>
  </si>
  <si>
    <t>10GE45S41</t>
  </si>
  <si>
    <t>11GE45S21</t>
  </si>
  <si>
    <t>12GE57S61</t>
  </si>
  <si>
    <t>08GE22S61</t>
  </si>
  <si>
    <t>09GE22S61</t>
  </si>
  <si>
    <t>10GE22S61</t>
  </si>
  <si>
    <t>11GE22S61</t>
  </si>
  <si>
    <t>12GE24S21</t>
  </si>
  <si>
    <t>08GE45S61</t>
  </si>
  <si>
    <t>09GE48S61</t>
  </si>
  <si>
    <t>10GE45S61</t>
  </si>
  <si>
    <t>11GE45S41</t>
  </si>
  <si>
    <t>12GE57S81</t>
  </si>
  <si>
    <t>08GE22S81</t>
  </si>
  <si>
    <t>09GE22S81</t>
  </si>
  <si>
    <t>10GE22S81</t>
  </si>
  <si>
    <t>11GE22S81</t>
  </si>
  <si>
    <t>12GE22S81</t>
  </si>
  <si>
    <t>08GE45S81</t>
  </si>
  <si>
    <t>09GE48S81</t>
  </si>
  <si>
    <t>10GE45S81</t>
  </si>
  <si>
    <t>11GE44S01</t>
  </si>
  <si>
    <t>12GE56S41</t>
  </si>
  <si>
    <t>08GE23S61</t>
  </si>
  <si>
    <t>09GE23S41</t>
  </si>
  <si>
    <t>10GE23S61</t>
  </si>
  <si>
    <t>11GE23S41</t>
  </si>
  <si>
    <t>12GE23S01</t>
  </si>
  <si>
    <t>08GE46S61</t>
  </si>
  <si>
    <t>09GE49S41</t>
  </si>
  <si>
    <t>10GE46S61</t>
  </si>
  <si>
    <t>11GE44S21</t>
  </si>
  <si>
    <t>12GE56S61</t>
  </si>
  <si>
    <t>08GE23S21</t>
  </si>
  <si>
    <t>09GE23S21</t>
  </si>
  <si>
    <t>10GE23S21</t>
  </si>
  <si>
    <t>11GE23S21</t>
  </si>
  <si>
    <t>12GE23S21</t>
  </si>
  <si>
    <t>08GE46S21</t>
  </si>
  <si>
    <t>09GE49S21</t>
  </si>
  <si>
    <t>10GE46S21</t>
  </si>
  <si>
    <t>11GE44S41</t>
  </si>
  <si>
    <t>12GE57S01</t>
  </si>
  <si>
    <t>08GE23S01</t>
  </si>
  <si>
    <t>09GE23S01</t>
  </si>
  <si>
    <t>10GE23S01</t>
  </si>
  <si>
    <t>11GE23S01</t>
  </si>
  <si>
    <t>12GE23S41</t>
  </si>
  <si>
    <t>08GE46S01</t>
  </si>
  <si>
    <t>09GE49S01</t>
  </si>
  <si>
    <t>10GE46S01</t>
  </si>
  <si>
    <t>11GE44S61</t>
  </si>
  <si>
    <t>12GE56S81</t>
  </si>
  <si>
    <t>08GE23S41</t>
  </si>
  <si>
    <t>10GE23S41</t>
  </si>
  <si>
    <t>12GE24S41</t>
  </si>
  <si>
    <t>08GE46S41</t>
  </si>
  <si>
    <t>10GE46S41</t>
  </si>
  <si>
    <t>12GE58S01</t>
  </si>
  <si>
    <t>09GE23S61</t>
  </si>
  <si>
    <t>09GE49S61</t>
  </si>
  <si>
    <t>11GE45S81</t>
  </si>
  <si>
    <t>08GS24S01</t>
  </si>
  <si>
    <t>09GS24S01</t>
  </si>
  <si>
    <t>10GS24S01</t>
  </si>
  <si>
    <t>11GS24S01</t>
  </si>
  <si>
    <t>12GS25S81</t>
  </si>
  <si>
    <t>08GS49S01</t>
  </si>
  <si>
    <t>09GS52S01</t>
  </si>
  <si>
    <t>10GS49S01</t>
  </si>
  <si>
    <t>11GS47S01</t>
  </si>
  <si>
    <t>12GS60S21</t>
  </si>
  <si>
    <t>08GS24S21</t>
  </si>
  <si>
    <t>09GS24S21</t>
  </si>
  <si>
    <t>10GS24S21</t>
  </si>
  <si>
    <t>11GS24S21</t>
  </si>
  <si>
    <t>12GS26S01</t>
  </si>
  <si>
    <t>08GS49S21</t>
  </si>
  <si>
    <t>09GS52S21</t>
  </si>
  <si>
    <t>10GS49S21</t>
  </si>
  <si>
    <t>11GS47S21</t>
  </si>
  <si>
    <t>12GS60S41</t>
  </si>
  <si>
    <t>09GS27S81</t>
  </si>
  <si>
    <t>10GS27S81</t>
  </si>
  <si>
    <t>11GS27S81</t>
  </si>
  <si>
    <t>12GS26S21</t>
  </si>
  <si>
    <t>08GS52S81</t>
  </si>
  <si>
    <t>10GS52S81</t>
  </si>
  <si>
    <t>11GS47S41</t>
  </si>
  <si>
    <t>12GS60S61</t>
  </si>
  <si>
    <t xml:space="preserve">May      </t>
  </si>
  <si>
    <t>08GS27S81</t>
  </si>
  <si>
    <t>September</t>
  </si>
  <si>
    <t>09GS55S81</t>
  </si>
  <si>
    <t>08GS24S41</t>
  </si>
  <si>
    <t>09GS24S41</t>
  </si>
  <si>
    <t>10GS24S41</t>
  </si>
  <si>
    <t>11GS24S41</t>
  </si>
  <si>
    <t>12GS26S41</t>
  </si>
  <si>
    <t>08GS49S41</t>
  </si>
  <si>
    <t>09GS52S41</t>
  </si>
  <si>
    <t>10GS49S41</t>
  </si>
  <si>
    <t>11GS47S61</t>
  </si>
  <si>
    <t>12GS60S81</t>
  </si>
  <si>
    <t>09GS27S61</t>
  </si>
  <si>
    <t>10GS27S61</t>
  </si>
  <si>
    <t>11GS27S61</t>
  </si>
  <si>
    <t>12GS26S61</t>
  </si>
  <si>
    <t>08GS52S61</t>
  </si>
  <si>
    <t>10GS52S61</t>
  </si>
  <si>
    <t>11GS47S81</t>
  </si>
  <si>
    <t>12GS61S01</t>
  </si>
  <si>
    <t>08GS27S61</t>
  </si>
  <si>
    <t>09GS55S61</t>
  </si>
  <si>
    <t>08GS25S01</t>
  </si>
  <si>
    <t>09GS25S01</t>
  </si>
  <si>
    <t>10GS25S01</t>
  </si>
  <si>
    <t>11GS25S01</t>
  </si>
  <si>
    <t>12GS26S81</t>
  </si>
  <si>
    <t>08GS50S01</t>
  </si>
  <si>
    <t>09GS53S01</t>
  </si>
  <si>
    <t>10GS50S01</t>
  </si>
  <si>
    <t>11GS48S01</t>
  </si>
  <si>
    <t>12GS61S21</t>
  </si>
  <si>
    <t>08GS24S81</t>
  </si>
  <si>
    <t>09GS24S81</t>
  </si>
  <si>
    <t>10GS24S81</t>
  </si>
  <si>
    <t>11GS24S81</t>
  </si>
  <si>
    <t>12GS27S01</t>
  </si>
  <si>
    <t>08GS49S81</t>
  </si>
  <si>
    <t>09GS52S81</t>
  </si>
  <si>
    <t>10GS49S81</t>
  </si>
  <si>
    <t>11GS48S21</t>
  </si>
  <si>
    <t>12GS61S41</t>
  </si>
  <si>
    <t>08GS24S61</t>
  </si>
  <si>
    <t>09GS24S61</t>
  </si>
  <si>
    <t>10GS24S61</t>
  </si>
  <si>
    <t>11GS24S61</t>
  </si>
  <si>
    <t>12GS27S21</t>
  </si>
  <si>
    <t>08GS49S61</t>
  </si>
  <si>
    <t>09GS52S61</t>
  </si>
  <si>
    <t>10GS49S61</t>
  </si>
  <si>
    <t>11GS48S41</t>
  </si>
  <si>
    <t>12GS61S61</t>
  </si>
  <si>
    <t>09GS25S21</t>
  </si>
  <si>
    <t>10GS25S21</t>
  </si>
  <si>
    <t>11GS25S21</t>
  </si>
  <si>
    <t>12GS27S41</t>
  </si>
  <si>
    <t>08GS50S21</t>
  </si>
  <si>
    <t>09GS53S21</t>
  </si>
  <si>
    <t>10GS50S21</t>
  </si>
  <si>
    <t>11GS48S61</t>
  </si>
  <si>
    <t>12GS61S81</t>
  </si>
  <si>
    <t>08GS25S21</t>
  </si>
  <si>
    <t>09GS27S21</t>
  </si>
  <si>
    <t>10GS27S41</t>
  </si>
  <si>
    <t>11GS27S21</t>
  </si>
  <si>
    <t>12GS27S61</t>
  </si>
  <si>
    <t>08GS52S41</t>
  </si>
  <si>
    <t>10GS52S41</t>
  </si>
  <si>
    <t>11GS48S81</t>
  </si>
  <si>
    <t>12GS62S01</t>
  </si>
  <si>
    <t>08GS27S41</t>
  </si>
  <si>
    <t>09GS55S21</t>
  </si>
  <si>
    <t>09GS25S41</t>
  </si>
  <si>
    <t>10GS25S41</t>
  </si>
  <si>
    <t>11GS25S41</t>
  </si>
  <si>
    <t>12GS27S81</t>
  </si>
  <si>
    <t>08GS50S41</t>
  </si>
  <si>
    <t>09GS53S41</t>
  </si>
  <si>
    <t>10GS50S41</t>
  </si>
  <si>
    <t>11GS49S01</t>
  </si>
  <si>
    <t>12GS62S21</t>
  </si>
  <si>
    <t>08GS25S41</t>
  </si>
  <si>
    <t>09GS27S01</t>
  </si>
  <si>
    <t>10GS27S21</t>
  </si>
  <si>
    <t>11GS27S01</t>
  </si>
  <si>
    <t>12GS28S01</t>
  </si>
  <si>
    <t>08GS52S21</t>
  </si>
  <si>
    <t>10GS52S21</t>
  </si>
  <si>
    <t>11GS49S21</t>
  </si>
  <si>
    <t>12GS62S41</t>
  </si>
  <si>
    <t>08GS27S21</t>
  </si>
  <si>
    <t>09GS55S01</t>
  </si>
  <si>
    <t>09GS25S61</t>
  </si>
  <si>
    <t>10GS25S61</t>
  </si>
  <si>
    <t>11GS25S61</t>
  </si>
  <si>
    <t>12GS28S21</t>
  </si>
  <si>
    <t>08GS50S61</t>
  </si>
  <si>
    <t>09GS53S61</t>
  </si>
  <si>
    <t>10GS50S61</t>
  </si>
  <si>
    <t>11GS49S41</t>
  </si>
  <si>
    <t>12GS62S61</t>
  </si>
  <si>
    <t>08GS25S61</t>
  </si>
  <si>
    <t>09GS26S81</t>
  </si>
  <si>
    <t>10GS27S01</t>
  </si>
  <si>
    <t>11GS26S81</t>
  </si>
  <si>
    <t>12GS28S41</t>
  </si>
  <si>
    <t>08GS52S01</t>
  </si>
  <si>
    <t>10GS52S01</t>
  </si>
  <si>
    <t>11GS49S61</t>
  </si>
  <si>
    <t>12GS62S81</t>
  </si>
  <si>
    <t>08GS27S01</t>
  </si>
  <si>
    <t>09GS54S81</t>
  </si>
  <si>
    <t>09GS25S81</t>
  </si>
  <si>
    <t>10GS25S81</t>
  </si>
  <si>
    <t>11GS25S81</t>
  </si>
  <si>
    <t>12GS28S61</t>
  </si>
  <si>
    <t>08GS50S81</t>
  </si>
  <si>
    <t>09GS53S81</t>
  </si>
  <si>
    <t>10GS50S81</t>
  </si>
  <si>
    <t>11GS49S81</t>
  </si>
  <si>
    <t>12GS63S01</t>
  </si>
  <si>
    <t>08GS25S81</t>
  </si>
  <si>
    <t>09GS26S01</t>
  </si>
  <si>
    <t>10GS26S01</t>
  </si>
  <si>
    <t>11GS26S01</t>
  </si>
  <si>
    <t>12GS28S81</t>
  </si>
  <si>
    <t>08GS51S01</t>
  </si>
  <si>
    <t>10GS51S01</t>
  </si>
  <si>
    <t>11GS50S01</t>
  </si>
  <si>
    <t>12GS63S21</t>
  </si>
  <si>
    <t>08GS26S01</t>
  </si>
  <si>
    <t>09GS54S01</t>
  </si>
  <si>
    <t>09GS26S61</t>
  </si>
  <si>
    <t>10GS26S81</t>
  </si>
  <si>
    <t>11GS26S61</t>
  </si>
  <si>
    <t>12GS29S01</t>
  </si>
  <si>
    <t>08GS51S81</t>
  </si>
  <si>
    <t>10GS51S81</t>
  </si>
  <si>
    <t>11GS50S21</t>
  </si>
  <si>
    <t>12GS63S41</t>
  </si>
  <si>
    <t>08GS26S81</t>
  </si>
  <si>
    <t>09GS54S61</t>
  </si>
  <si>
    <t>09GS26S21</t>
  </si>
  <si>
    <t>10GS26S21</t>
  </si>
  <si>
    <t>11GS26S21</t>
  </si>
  <si>
    <t>12GS29S21</t>
  </si>
  <si>
    <t>08GS51S21</t>
  </si>
  <si>
    <t>09GS54S21</t>
  </si>
  <si>
    <t>10GS51S21</t>
  </si>
  <si>
    <t>11GS50S41</t>
  </si>
  <si>
    <t>12GS63S61</t>
  </si>
  <si>
    <t>08GS26S21</t>
  </si>
  <si>
    <t>09GS26S41</t>
  </si>
  <si>
    <t>10GS26S41</t>
  </si>
  <si>
    <t>11GS26S41</t>
  </si>
  <si>
    <t>12GS29S41</t>
  </si>
  <si>
    <t>08GS51S41</t>
  </si>
  <si>
    <t>09GS54S41</t>
  </si>
  <si>
    <t>10GS51S41</t>
  </si>
  <si>
    <t>11GS50S61</t>
  </si>
  <si>
    <t>12GS63S81</t>
  </si>
  <si>
    <t>08GS26S41</t>
  </si>
  <si>
    <t>10GS26S61</t>
  </si>
  <si>
    <t>12GS29S61</t>
  </si>
  <si>
    <t>08GS51S61</t>
  </si>
  <si>
    <t>10GS51S61</t>
  </si>
  <si>
    <t>12GS64S01</t>
  </si>
  <si>
    <t>08GS26S61</t>
  </si>
  <si>
    <t>09GS27S41</t>
  </si>
  <si>
    <t>11GS27S41</t>
  </si>
  <si>
    <t>11GS51S01</t>
  </si>
  <si>
    <t>09GS55S41</t>
  </si>
  <si>
    <t>Average Mid Depth</t>
  </si>
  <si>
    <t>Average Mid Depth Rounded</t>
  </si>
  <si>
    <t>Mid Selection</t>
  </si>
  <si>
    <t>ER FO</t>
  </si>
  <si>
    <t>HU FO</t>
  </si>
  <si>
    <t>MI FO</t>
  </si>
  <si>
    <t>ON FO</t>
  </si>
  <si>
    <t>SU FO</t>
  </si>
  <si>
    <t>TOTAL Needed For Survey</t>
  </si>
  <si>
    <t>Nutrients Bottle Count</t>
  </si>
  <si>
    <t>Caps</t>
  </si>
  <si>
    <t>16mm  Culture Tubes</t>
  </si>
  <si>
    <t>G/FF Filters</t>
  </si>
  <si>
    <t># of GF/F Filters</t>
  </si>
  <si>
    <t># of 0.45 Filters</t>
  </si>
  <si>
    <t># of 13mm</t>
  </si>
  <si>
    <t># of 16mm</t>
  </si>
  <si>
    <t>4 oz</t>
  </si>
  <si>
    <t>6 oz</t>
  </si>
  <si>
    <t>Grain Size Analysis</t>
  </si>
  <si>
    <t>Sediment CNP</t>
  </si>
  <si>
    <t>4 oz HDPE</t>
  </si>
  <si>
    <t>6 oz Glass</t>
  </si>
  <si>
    <t>Sediment</t>
  </si>
  <si>
    <t>Nutrients Carbon, Nitrogen and Phosphorous</t>
  </si>
  <si>
    <t>Mysis</t>
  </si>
  <si>
    <t>1000mL Benthos</t>
  </si>
  <si>
    <t>1000 mL Phyto</t>
  </si>
  <si>
    <t>500 mL Zooplank</t>
  </si>
  <si>
    <t>500 mL Benthos</t>
  </si>
  <si>
    <t>Lids for Benthos</t>
  </si>
  <si>
    <t>SKS</t>
  </si>
  <si>
    <t>Nalgene</t>
  </si>
  <si>
    <t>Freund</t>
  </si>
  <si>
    <t>Sartorious</t>
  </si>
  <si>
    <t>Fisher</t>
  </si>
  <si>
    <t>Whatman</t>
  </si>
  <si>
    <t>Cincinatti</t>
  </si>
  <si>
    <t>Basco</t>
  </si>
  <si>
    <t>4 oz Lids</t>
  </si>
  <si>
    <t>6 oz Lids</t>
  </si>
  <si>
    <t>5M</t>
  </si>
  <si>
    <t>20M</t>
  </si>
  <si>
    <t>18GE01C01</t>
  </si>
  <si>
    <t>Phyto</t>
  </si>
  <si>
    <t>Water</t>
  </si>
  <si>
    <t>Zoo</t>
  </si>
  <si>
    <t>water</t>
  </si>
  <si>
    <t>Chlorophyll</t>
  </si>
  <si>
    <t>NS</t>
  </si>
  <si>
    <t>LD1</t>
  </si>
  <si>
    <t># bottles</t>
  </si>
  <si>
    <t>DO QA</t>
  </si>
  <si>
    <t>12mm Culture Tubes</t>
  </si>
  <si>
    <t>22GE04S01</t>
  </si>
  <si>
    <t>22GE05S41</t>
  </si>
  <si>
    <t>22GE05S22</t>
  </si>
  <si>
    <t>22GE04S63</t>
  </si>
  <si>
    <t>24GE00S21</t>
  </si>
  <si>
    <t>24GE00S63</t>
  </si>
  <si>
    <t>24GE00S03</t>
  </si>
  <si>
    <t>24GE00S41</t>
  </si>
  <si>
    <t>24GE03S76</t>
  </si>
  <si>
    <t>24GE03S56</t>
  </si>
  <si>
    <t>24GE01S81</t>
  </si>
  <si>
    <t>24GE02S11</t>
  </si>
  <si>
    <t>24GE01S91</t>
  </si>
  <si>
    <t>24GE01S63</t>
  </si>
  <si>
    <t>24GE03S78</t>
  </si>
  <si>
    <t>24GE03S58</t>
  </si>
  <si>
    <t>24GE03S21</t>
  </si>
  <si>
    <t>24GE03S63</t>
  </si>
  <si>
    <t>24GE03S01</t>
  </si>
  <si>
    <t>24GE03S11</t>
  </si>
  <si>
    <t>24GE03S79</t>
  </si>
  <si>
    <t>24GE03S59</t>
  </si>
  <si>
    <t>24GH00S21</t>
  </si>
  <si>
    <t>24GH00S03</t>
  </si>
  <si>
    <t>24GH00S90</t>
  </si>
  <si>
    <t>24GH00S43</t>
  </si>
  <si>
    <t>24GH01S41</t>
  </si>
  <si>
    <t>24GH01S63</t>
  </si>
  <si>
    <t>24GH01S61</t>
  </si>
  <si>
    <t>24GH01S50</t>
  </si>
  <si>
    <t>24GH02S41</t>
  </si>
  <si>
    <t>24GH02S21</t>
  </si>
  <si>
    <t>24GH02S30</t>
  </si>
  <si>
    <t>24GH01S85</t>
  </si>
  <si>
    <t>24GM00S21</t>
  </si>
  <si>
    <t>24GM00S63</t>
  </si>
  <si>
    <t>24GM00S01</t>
  </si>
  <si>
    <t>24GM00S47</t>
  </si>
  <si>
    <t>24GM01S41</t>
  </si>
  <si>
    <t>24GM01S23</t>
  </si>
  <si>
    <t>24GM01S43</t>
  </si>
  <si>
    <t>24GM01S01</t>
  </si>
  <si>
    <t>24GM01S61</t>
  </si>
  <si>
    <t>24GM01S88</t>
  </si>
  <si>
    <t>24GM02S10</t>
  </si>
  <si>
    <t>24GM01S71</t>
  </si>
  <si>
    <t>24GO00S41</t>
  </si>
  <si>
    <t>24GO00S10</t>
  </si>
  <si>
    <t>24GO00S21</t>
  </si>
  <si>
    <t>24GO00S71</t>
  </si>
  <si>
    <t>24GO01S01</t>
  </si>
  <si>
    <t>24GO01S31</t>
  </si>
  <si>
    <t>24GO00S90</t>
  </si>
  <si>
    <t>24GO01S43</t>
  </si>
  <si>
    <t>24GS00S41</t>
  </si>
  <si>
    <t>24GS00S06</t>
  </si>
  <si>
    <t>24GS00S70</t>
  </si>
  <si>
    <t>24GS00S03</t>
  </si>
  <si>
    <t>24GS01S21</t>
  </si>
  <si>
    <t>24GS01S71</t>
  </si>
  <si>
    <t>24GS02S30</t>
  </si>
  <si>
    <t>24GS02S11</t>
  </si>
  <si>
    <t>24GS02S81</t>
  </si>
  <si>
    <t>24GS03S11</t>
  </si>
  <si>
    <t>24GS03S26</t>
  </si>
  <si>
    <t>24GS03S61</t>
  </si>
  <si>
    <t>M011A24</t>
  </si>
  <si>
    <t>MI2411</t>
  </si>
  <si>
    <t>24GM00D01</t>
  </si>
  <si>
    <t>24GM00S0A</t>
  </si>
  <si>
    <t>24GM00S0B</t>
  </si>
  <si>
    <t>24GM00S0C</t>
  </si>
  <si>
    <t>24GM00S03</t>
  </si>
  <si>
    <t>24GM00S10</t>
  </si>
  <si>
    <t>24GM00S11</t>
  </si>
  <si>
    <t>24GM00I12</t>
  </si>
  <si>
    <t>24GM00I13</t>
  </si>
  <si>
    <t>24GM00I14</t>
  </si>
  <si>
    <t>24GM00S17</t>
  </si>
  <si>
    <t>24GM00D17</t>
  </si>
  <si>
    <t>24GM00R20</t>
  </si>
  <si>
    <t>M017A24</t>
  </si>
  <si>
    <t>24GM00S2A</t>
  </si>
  <si>
    <t>24GM00S2B</t>
  </si>
  <si>
    <t>24GM00S2C</t>
  </si>
  <si>
    <t>24GM00S23</t>
  </si>
  <si>
    <t>24GM00S30</t>
  </si>
  <si>
    <t>24GM00S31</t>
  </si>
  <si>
    <t>24GM00I32</t>
  </si>
  <si>
    <t>24GM00I33</t>
  </si>
  <si>
    <t>24GM00I34</t>
  </si>
  <si>
    <t>24GM00S37</t>
  </si>
  <si>
    <t>24GM00D37</t>
  </si>
  <si>
    <t>24GM00S41</t>
  </si>
  <si>
    <t>M18MA24</t>
  </si>
  <si>
    <t>24GM00S42</t>
  </si>
  <si>
    <t>24GM00S43</t>
  </si>
  <si>
    <t>24GM00S44</t>
  </si>
  <si>
    <t>24GM00S45</t>
  </si>
  <si>
    <t>24GM00S46</t>
  </si>
  <si>
    <t>24GM00S48</t>
  </si>
  <si>
    <t>24GM00S50</t>
  </si>
  <si>
    <t>24GM00S51</t>
  </si>
  <si>
    <t>24GM00I52</t>
  </si>
  <si>
    <t>24GM00I53</t>
  </si>
  <si>
    <t>24GM00I54</t>
  </si>
  <si>
    <t>24GM00S57</t>
  </si>
  <si>
    <t>24GM00D57</t>
  </si>
  <si>
    <t>24GM00S61</t>
  </si>
  <si>
    <t>M019A24</t>
  </si>
  <si>
    <t>24GM00S6A</t>
  </si>
  <si>
    <t>24GM00S6B</t>
  </si>
  <si>
    <t>24GM00S6C</t>
  </si>
  <si>
    <t>24GM00C63</t>
  </si>
  <si>
    <t>24GM00S70</t>
  </si>
  <si>
    <t>24GM00S71</t>
  </si>
  <si>
    <t>24GM00I72</t>
  </si>
  <si>
    <t>24GM00I73</t>
  </si>
  <si>
    <t>24GM00I74</t>
  </si>
  <si>
    <t>24GM00S77</t>
  </si>
  <si>
    <t>24GM00D77</t>
  </si>
  <si>
    <t>24GM00S81</t>
  </si>
  <si>
    <t>M023A24</t>
  </si>
  <si>
    <t>24GM00S8A</t>
  </si>
  <si>
    <t>24GM00S8B</t>
  </si>
  <si>
    <t>24GM00S8C</t>
  </si>
  <si>
    <t>24GM00S83</t>
  </si>
  <si>
    <t>24GM00S90</t>
  </si>
  <si>
    <t>24GM00S91</t>
  </si>
  <si>
    <t>24GM00I92</t>
  </si>
  <si>
    <t>24GM00I93</t>
  </si>
  <si>
    <t>24GM00I94</t>
  </si>
  <si>
    <t>24GM00S97</t>
  </si>
  <si>
    <t>24GM00D97</t>
  </si>
  <si>
    <t>M27MA24</t>
  </si>
  <si>
    <t>24GM01S02</t>
  </si>
  <si>
    <t>24GM01S03</t>
  </si>
  <si>
    <t>24GM01S04</t>
  </si>
  <si>
    <t>24GM01S05</t>
  </si>
  <si>
    <t>24GM01S06</t>
  </si>
  <si>
    <t>24GM01S07</t>
  </si>
  <si>
    <t>24GM01S10</t>
  </si>
  <si>
    <t>24GM01S11</t>
  </si>
  <si>
    <t>24GM01I12</t>
  </si>
  <si>
    <t>24GM01I13</t>
  </si>
  <si>
    <t>24GM01I14</t>
  </si>
  <si>
    <t>24GM01S17</t>
  </si>
  <si>
    <t>24GM01D17</t>
  </si>
  <si>
    <t>24GM01S21</t>
  </si>
  <si>
    <t>M032A24</t>
  </si>
  <si>
    <t>24GM01S2A</t>
  </si>
  <si>
    <t>24GM01S2B</t>
  </si>
  <si>
    <t>24GM01S2C</t>
  </si>
  <si>
    <t>24GM01C23</t>
  </si>
  <si>
    <t>24GM01S30</t>
  </si>
  <si>
    <t>24GM01S31</t>
  </si>
  <si>
    <t>24GM01I32</t>
  </si>
  <si>
    <t>24GM01I33</t>
  </si>
  <si>
    <t>24GM01I34</t>
  </si>
  <si>
    <t>24GM01S37</t>
  </si>
  <si>
    <t>24GM01D37</t>
  </si>
  <si>
    <t>24GM01R40</t>
  </si>
  <si>
    <t>M034A24</t>
  </si>
  <si>
    <t>24GM01S4A</t>
  </si>
  <si>
    <t>24GM01S4B</t>
  </si>
  <si>
    <t>24GM01S4C</t>
  </si>
  <si>
    <t>24GM01D43</t>
  </si>
  <si>
    <t>24GM01S50</t>
  </si>
  <si>
    <t>24GM01S51</t>
  </si>
  <si>
    <t>24GM01I52</t>
  </si>
  <si>
    <t>24GM01I53</t>
  </si>
  <si>
    <t>24GM01I54</t>
  </si>
  <si>
    <t>24GM01S57</t>
  </si>
  <si>
    <t>24GM01D57</t>
  </si>
  <si>
    <t>24GM01R60</t>
  </si>
  <si>
    <t>M040A24</t>
  </si>
  <si>
    <t>24GM01S6A</t>
  </si>
  <si>
    <t>24GM01S6B</t>
  </si>
  <si>
    <t>24GM01S6C</t>
  </si>
  <si>
    <t>24GM01S63</t>
  </si>
  <si>
    <t>24GM01S70</t>
  </si>
  <si>
    <t>24GM01I72</t>
  </si>
  <si>
    <t>24GM01I73</t>
  </si>
  <si>
    <t>24GM01I74</t>
  </si>
  <si>
    <t>24GM01S77</t>
  </si>
  <si>
    <t>24GM01D77</t>
  </si>
  <si>
    <t>24GM01S81</t>
  </si>
  <si>
    <t>M41MA24</t>
  </si>
  <si>
    <t>24GM01S82</t>
  </si>
  <si>
    <t>24GM01S83</t>
  </si>
  <si>
    <t>24GM01S84</t>
  </si>
  <si>
    <t>24GM01S85</t>
  </si>
  <si>
    <t>24GM01S86</t>
  </si>
  <si>
    <t>24GM01S87</t>
  </si>
  <si>
    <t>24GM01C88</t>
  </si>
  <si>
    <t>24GM01S89</t>
  </si>
  <si>
    <t>24GM01S90</t>
  </si>
  <si>
    <t>24GM01S91</t>
  </si>
  <si>
    <t>24GM01I92</t>
  </si>
  <si>
    <t>24GM01I93</t>
  </si>
  <si>
    <t>24GM01I94</t>
  </si>
  <si>
    <t>24GM01S97</t>
  </si>
  <si>
    <t>24GM01D97</t>
  </si>
  <si>
    <t>24GM02S01</t>
  </si>
  <si>
    <t>M047A24</t>
  </si>
  <si>
    <t>24GM02S0A</t>
  </si>
  <si>
    <t>24GM02S0B</t>
  </si>
  <si>
    <t>24GM02S0C</t>
  </si>
  <si>
    <t>24GM02S03</t>
  </si>
  <si>
    <t>24GM02D10</t>
  </si>
  <si>
    <t>24GM02S11</t>
  </si>
  <si>
    <t>24GM02I12</t>
  </si>
  <si>
    <t>24GM02I13</t>
  </si>
  <si>
    <t>24GM02I14</t>
  </si>
  <si>
    <t>24GM02S17</t>
  </si>
  <si>
    <t>24GM02D17</t>
  </si>
  <si>
    <t>24GH00S01</t>
  </si>
  <si>
    <t>H006A24</t>
  </si>
  <si>
    <t>HU2411</t>
  </si>
  <si>
    <t>24GH00S0A</t>
  </si>
  <si>
    <t>24GH00S0B</t>
  </si>
  <si>
    <t>24GH00S0C</t>
  </si>
  <si>
    <t>24GH00C03</t>
  </si>
  <si>
    <t>24GH00S10</t>
  </si>
  <si>
    <t>24GH00S11</t>
  </si>
  <si>
    <t>24GH00I12</t>
  </si>
  <si>
    <t>24GH00I13</t>
  </si>
  <si>
    <t>24GH00I14</t>
  </si>
  <si>
    <t>24GH00S17</t>
  </si>
  <si>
    <t>24GH00D17</t>
  </si>
  <si>
    <t>24GH00R20</t>
  </si>
  <si>
    <t>H009A24</t>
  </si>
  <si>
    <t>24GH00S2A</t>
  </si>
  <si>
    <t>24GH00S2B</t>
  </si>
  <si>
    <t>24GH00S2C</t>
  </si>
  <si>
    <t>24GH00S23</t>
  </si>
  <si>
    <t>24GH00S30</t>
  </si>
  <si>
    <t>24GH00S31</t>
  </si>
  <si>
    <t>24GH00I32</t>
  </si>
  <si>
    <t>24GH00I33</t>
  </si>
  <si>
    <t>24GH00I34</t>
  </si>
  <si>
    <t>24GH00S37</t>
  </si>
  <si>
    <t>24GH00D37</t>
  </si>
  <si>
    <t>24GH00S41</t>
  </si>
  <si>
    <t>H012A24</t>
  </si>
  <si>
    <t>24GH00S4A</t>
  </si>
  <si>
    <t>24GH00S4B</t>
  </si>
  <si>
    <t>24GH00S4C</t>
  </si>
  <si>
    <t>24GH00S50</t>
  </si>
  <si>
    <t>24GH00S51</t>
  </si>
  <si>
    <t>24GH00I52</t>
  </si>
  <si>
    <t>24GH00I53</t>
  </si>
  <si>
    <t>24GH00I54</t>
  </si>
  <si>
    <t>24GH00S57</t>
  </si>
  <si>
    <t>24GH00D57</t>
  </si>
  <si>
    <t>24GH00S61</t>
  </si>
  <si>
    <t>H15MA24</t>
  </si>
  <si>
    <t>24GH00S62</t>
  </si>
  <si>
    <t>24GH00S63</t>
  </si>
  <si>
    <t>24GH00S64</t>
  </si>
  <si>
    <t>24GH00S65</t>
  </si>
  <si>
    <t>24GH00S66</t>
  </si>
  <si>
    <t>24GH00S67</t>
  </si>
  <si>
    <t>24GH00S70</t>
  </si>
  <si>
    <t>24GH00S71</t>
  </si>
  <si>
    <t>24GH00I72</t>
  </si>
  <si>
    <t>24GH00I73</t>
  </si>
  <si>
    <t>24GH00I74</t>
  </si>
  <si>
    <t>24GH00S77</t>
  </si>
  <si>
    <t>24GH00D77</t>
  </si>
  <si>
    <t>24GH00S81</t>
  </si>
  <si>
    <t>H093A24</t>
  </si>
  <si>
    <t>24GH00S8A</t>
  </si>
  <si>
    <t>24GH00S8B</t>
  </si>
  <si>
    <t>24GH00S8C</t>
  </si>
  <si>
    <t>24GH00S83</t>
  </si>
  <si>
    <t>24GH00D90</t>
  </si>
  <si>
    <t>24GH00S91</t>
  </si>
  <si>
    <t>24GH00I92</t>
  </si>
  <si>
    <t>24GH00I93</t>
  </si>
  <si>
    <t>24GH00I94</t>
  </si>
  <si>
    <t>24GH00S97</t>
  </si>
  <si>
    <t>24GH00D97</t>
  </si>
  <si>
    <t>24GH01S01</t>
  </si>
  <si>
    <t>H027A24</t>
  </si>
  <si>
    <t>24GH01S0A</t>
  </si>
  <si>
    <t>24GH01S0B</t>
  </si>
  <si>
    <t>24GH01S0C</t>
  </si>
  <si>
    <t>24GH01S03</t>
  </si>
  <si>
    <t>24GH01S10</t>
  </si>
  <si>
    <t>24GH01S11</t>
  </si>
  <si>
    <t>24GH01I12</t>
  </si>
  <si>
    <t>24GH01I13</t>
  </si>
  <si>
    <t>24GH01I14</t>
  </si>
  <si>
    <t>24GH01S17</t>
  </si>
  <si>
    <t>24GH01D17</t>
  </si>
  <si>
    <t>24GH01S21</t>
  </si>
  <si>
    <t>H032A24</t>
  </si>
  <si>
    <t>24GH01S2A</t>
  </si>
  <si>
    <t>24GH01S2B</t>
  </si>
  <si>
    <t>24GH01S2C</t>
  </si>
  <si>
    <t>24GH01S23</t>
  </si>
  <si>
    <t>24GH01S30</t>
  </si>
  <si>
    <t>24GH01S31</t>
  </si>
  <si>
    <t>24GH01I32</t>
  </si>
  <si>
    <t>24GH01I33</t>
  </si>
  <si>
    <t>24GH01I34</t>
  </si>
  <si>
    <t>24GH01S37</t>
  </si>
  <si>
    <t>24GH01D37</t>
  </si>
  <si>
    <t>24GH01R40</t>
  </si>
  <si>
    <t>H037A24</t>
  </si>
  <si>
    <t>24GH01S4A</t>
  </si>
  <si>
    <t>24GH01S4B</t>
  </si>
  <si>
    <t>24GH01S4C</t>
  </si>
  <si>
    <t>24GH01S43</t>
  </si>
  <si>
    <t>24GH01S51</t>
  </si>
  <si>
    <t>24GH01I52</t>
  </si>
  <si>
    <t>24GH01I53</t>
  </si>
  <si>
    <t>24GH01I54</t>
  </si>
  <si>
    <t>24GH01S57</t>
  </si>
  <si>
    <t>24GH01D57</t>
  </si>
  <si>
    <t>H038A24</t>
  </si>
  <si>
    <t>24GH01D61</t>
  </si>
  <si>
    <t>24GH01S6A</t>
  </si>
  <si>
    <t>24GH01S6B</t>
  </si>
  <si>
    <t>24GH01S6C</t>
  </si>
  <si>
    <t>24GH01C63</t>
  </si>
  <si>
    <t>24GH01S70</t>
  </si>
  <si>
    <t>24GH01S71</t>
  </si>
  <si>
    <t>24GH01I72</t>
  </si>
  <si>
    <t>24GH01I73</t>
  </si>
  <si>
    <t>24GH01I74</t>
  </si>
  <si>
    <t>24GH01S77</t>
  </si>
  <si>
    <t>24GH01D77</t>
  </si>
  <si>
    <t>24GH01S81</t>
  </si>
  <si>
    <t>H45MA24</t>
  </si>
  <si>
    <t>24GH01S82</t>
  </si>
  <si>
    <t>24GH01S83</t>
  </si>
  <si>
    <t>24GH01S84</t>
  </si>
  <si>
    <t>24GH01S86</t>
  </si>
  <si>
    <t>24GH01S87</t>
  </si>
  <si>
    <t>24GH01S90</t>
  </si>
  <si>
    <t>24GH01S91</t>
  </si>
  <si>
    <t>24GH01I92</t>
  </si>
  <si>
    <t>24GH01I93</t>
  </si>
  <si>
    <t>24GH01I94</t>
  </si>
  <si>
    <t>24GH01S97</t>
  </si>
  <si>
    <t>24GH01D97</t>
  </si>
  <si>
    <t>24GH02S01</t>
  </si>
  <si>
    <t>H048A24</t>
  </si>
  <si>
    <t>24GH02S0A</t>
  </si>
  <si>
    <t>24GH02S0B</t>
  </si>
  <si>
    <t>24GH02S0C</t>
  </si>
  <si>
    <t>24GH02S03</t>
  </si>
  <si>
    <t>24GH02S10</t>
  </si>
  <si>
    <t>24GH02S11</t>
  </si>
  <si>
    <t>24GH02I12</t>
  </si>
  <si>
    <t>24GH02I13</t>
  </si>
  <si>
    <t>24GH02I14</t>
  </si>
  <si>
    <t>24GH02S17</t>
  </si>
  <si>
    <t>24GH02D17</t>
  </si>
  <si>
    <t>H053A24</t>
  </si>
  <si>
    <t>24GH02C21</t>
  </si>
  <si>
    <t>24GH02S2A</t>
  </si>
  <si>
    <t>24GH02S2B</t>
  </si>
  <si>
    <t>24GH02S2C</t>
  </si>
  <si>
    <t>24GH02S23</t>
  </si>
  <si>
    <t>24GH02D30</t>
  </si>
  <si>
    <t>24GH02S31</t>
  </si>
  <si>
    <t>24GH02I32</t>
  </si>
  <si>
    <t>24GH02I33</t>
  </si>
  <si>
    <t>24GH02I34</t>
  </si>
  <si>
    <t>24GH02S37</t>
  </si>
  <si>
    <t>24GH02D37</t>
  </si>
  <si>
    <t>24GH02R40</t>
  </si>
  <si>
    <t>H54MA24</t>
  </si>
  <si>
    <t>24GH02S42</t>
  </si>
  <si>
    <t>24GH02S43</t>
  </si>
  <si>
    <t>24GH02S44</t>
  </si>
  <si>
    <t>24GH02S45</t>
  </si>
  <si>
    <t>24GH02S46</t>
  </si>
  <si>
    <t>24GH02S47</t>
  </si>
  <si>
    <t>24GH02S48</t>
  </si>
  <si>
    <t>24GH02S50</t>
  </si>
  <si>
    <t>24GH02S51</t>
  </si>
  <si>
    <t>24GH02I52</t>
  </si>
  <si>
    <t>24GH02I53</t>
  </si>
  <si>
    <t>24GH02I54</t>
  </si>
  <si>
    <t>24GH02S57</t>
  </si>
  <si>
    <t>24GH02D57</t>
  </si>
  <si>
    <t>24GH02S61</t>
  </si>
  <si>
    <t>H061A24</t>
  </si>
  <si>
    <t>24GH02S6A</t>
  </si>
  <si>
    <t>24GH02S6B</t>
  </si>
  <si>
    <t>24GH02S6C</t>
  </si>
  <si>
    <t>24GH02S63</t>
  </si>
  <si>
    <t>24GH02S70</t>
  </si>
  <si>
    <t>24GH02S71</t>
  </si>
  <si>
    <t>24GH02I72</t>
  </si>
  <si>
    <t>24GH02I73</t>
  </si>
  <si>
    <t>24GH02I74</t>
  </si>
  <si>
    <t>24GH02S77</t>
  </si>
  <si>
    <t>24GH02D77</t>
  </si>
  <si>
    <t>24GH02S96</t>
  </si>
  <si>
    <t>H98bA24</t>
  </si>
  <si>
    <t>24GH02D96</t>
  </si>
  <si>
    <t>24GH02T96</t>
  </si>
  <si>
    <t>24GH02S98</t>
  </si>
  <si>
    <t>24GH02S99</t>
  </si>
  <si>
    <t>24GE00S01</t>
  </si>
  <si>
    <t>E15MA24</t>
  </si>
  <si>
    <t>ER2411</t>
  </si>
  <si>
    <t>24GE00S02</t>
  </si>
  <si>
    <t>24GE00D03</t>
  </si>
  <si>
    <t>24GE00S04</t>
  </si>
  <si>
    <t>24GE00S05</t>
  </si>
  <si>
    <t>24GE00S06</t>
  </si>
  <si>
    <t>24GE00S10</t>
  </si>
  <si>
    <t>24GE00S11</t>
  </si>
  <si>
    <t>24GE00I12</t>
  </si>
  <si>
    <t>24GE00I13</t>
  </si>
  <si>
    <t>24GE00I14</t>
  </si>
  <si>
    <t>24GE00S17</t>
  </si>
  <si>
    <t>24GE00D17</t>
  </si>
  <si>
    <t>24GE00R20</t>
  </si>
  <si>
    <t>E063A24</t>
  </si>
  <si>
    <t>24GE00S2A</t>
  </si>
  <si>
    <t>24GE00S2B</t>
  </si>
  <si>
    <t>24GE00S2C</t>
  </si>
  <si>
    <t>24GE00S23</t>
  </si>
  <si>
    <t>24GE00S30</t>
  </si>
  <si>
    <t>24GE00S31</t>
  </si>
  <si>
    <t>24GE00I32</t>
  </si>
  <si>
    <t>24GE00I33</t>
  </si>
  <si>
    <t>24GE00I34</t>
  </si>
  <si>
    <t>24GE00S37</t>
  </si>
  <si>
    <t>24GE00D37</t>
  </si>
  <si>
    <t>E009A24</t>
  </si>
  <si>
    <t>24GE00S4A</t>
  </si>
  <si>
    <t>24GE00S4B</t>
  </si>
  <si>
    <t>24GE00S4C</t>
  </si>
  <si>
    <t>24GE00S43</t>
  </si>
  <si>
    <t>24GE00S50</t>
  </si>
  <si>
    <t>24GE00S51</t>
  </si>
  <si>
    <t>24GE00I52</t>
  </si>
  <si>
    <t>24GE00I53</t>
  </si>
  <si>
    <t>24GE00I54</t>
  </si>
  <si>
    <t>24GE00S57</t>
  </si>
  <si>
    <t>24GE00D57</t>
  </si>
  <si>
    <t>24GE00S61</t>
  </si>
  <si>
    <t>E010A24</t>
  </si>
  <si>
    <t>24GE00S6A</t>
  </si>
  <si>
    <t>24GE00S6B</t>
  </si>
  <si>
    <t>24GE00S6C</t>
  </si>
  <si>
    <t>24GE00C63</t>
  </si>
  <si>
    <t>24GE00S70</t>
  </si>
  <si>
    <t>24GE00S71</t>
  </si>
  <si>
    <t>24GE00I72</t>
  </si>
  <si>
    <t>24GE00I73</t>
  </si>
  <si>
    <t>24GE00I74</t>
  </si>
  <si>
    <t>24GE00S77</t>
  </si>
  <si>
    <t>24GE00D77</t>
  </si>
  <si>
    <t>24GE00S81</t>
  </si>
  <si>
    <t>E042A24</t>
  </si>
  <si>
    <t>24GE00S8A</t>
  </si>
  <si>
    <t>24GE00S8B</t>
  </si>
  <si>
    <t>24GE00S83</t>
  </si>
  <si>
    <t>24GE00S91</t>
  </si>
  <si>
    <t>24GE00I92</t>
  </si>
  <si>
    <t>24GE00I93</t>
  </si>
  <si>
    <t>24GE00I94</t>
  </si>
  <si>
    <t>24GE01S01</t>
  </si>
  <si>
    <t>E043A24</t>
  </si>
  <si>
    <t>24GE01S0A</t>
  </si>
  <si>
    <t>24GE01S0B</t>
  </si>
  <si>
    <t>24GE01S03</t>
  </si>
  <si>
    <t>24GE01S11</t>
  </si>
  <si>
    <t>24GE01I12</t>
  </si>
  <si>
    <t>24GE01I13</t>
  </si>
  <si>
    <t>24GE01I14</t>
  </si>
  <si>
    <t>24GE01S21</t>
  </si>
  <si>
    <t>E073A24</t>
  </si>
  <si>
    <t>24GE01S2A</t>
  </si>
  <si>
    <t>24GE01S2B</t>
  </si>
  <si>
    <t>24GE01S23</t>
  </si>
  <si>
    <t>24GE01S31</t>
  </si>
  <si>
    <t>24GE01I32</t>
  </si>
  <si>
    <t>24GE01I33</t>
  </si>
  <si>
    <t>24GE01I34</t>
  </si>
  <si>
    <t>24GE01S41</t>
  </si>
  <si>
    <t>E036A24</t>
  </si>
  <si>
    <t>24GE01S4A</t>
  </si>
  <si>
    <t>24GE01S4B</t>
  </si>
  <si>
    <t>24GE01S43</t>
  </si>
  <si>
    <t>24GE01S51</t>
  </si>
  <si>
    <t>24GE01I52</t>
  </si>
  <si>
    <t>24GE01I53</t>
  </si>
  <si>
    <t>24GE01I54</t>
  </si>
  <si>
    <t>24GE01S61</t>
  </si>
  <si>
    <t>E037A24</t>
  </si>
  <si>
    <t>24GE01S6A</t>
  </si>
  <si>
    <t>24GE01S6B</t>
  </si>
  <si>
    <t>24GE01S71</t>
  </si>
  <si>
    <t>24GE01I72</t>
  </si>
  <si>
    <t>24GE01I73</t>
  </si>
  <si>
    <t>24GE01I74</t>
  </si>
  <si>
    <t>24GE01R80</t>
  </si>
  <si>
    <t>E038A24</t>
  </si>
  <si>
    <t>24GE01S8A</t>
  </si>
  <si>
    <t>24GE01S8B</t>
  </si>
  <si>
    <t>24GE01S83</t>
  </si>
  <si>
    <t>24GE01D91</t>
  </si>
  <si>
    <t>24GE01I92</t>
  </si>
  <si>
    <t>24GE01I93</t>
  </si>
  <si>
    <t>24GE01I94</t>
  </si>
  <si>
    <t>24GE02S01</t>
  </si>
  <si>
    <t>E78MA24</t>
  </si>
  <si>
    <t>24GE02S02</t>
  </si>
  <si>
    <t>24GE02S03</t>
  </si>
  <si>
    <t>24GE02C11</t>
  </si>
  <si>
    <t>24GE02I12</t>
  </si>
  <si>
    <t>24GE02I13</t>
  </si>
  <si>
    <t>24GE02I14</t>
  </si>
  <si>
    <t>24GE02S21</t>
  </si>
  <si>
    <t>E030A24</t>
  </si>
  <si>
    <t>24GE02S2A</t>
  </si>
  <si>
    <t>24GE02S2B</t>
  </si>
  <si>
    <t>24GE02S23</t>
  </si>
  <si>
    <t>24GE02S31</t>
  </si>
  <si>
    <t>24GE02I32</t>
  </si>
  <si>
    <t>24GE02I33</t>
  </si>
  <si>
    <t>24GE02I34</t>
  </si>
  <si>
    <t>24GE02S41</t>
  </si>
  <si>
    <t>E031A24</t>
  </si>
  <si>
    <t>24GE02S4A</t>
  </si>
  <si>
    <t>24GE02S4B</t>
  </si>
  <si>
    <t>24GE02S43</t>
  </si>
  <si>
    <t>24GE02S51</t>
  </si>
  <si>
    <t>24GE02I52</t>
  </si>
  <si>
    <t>24GE02I53</t>
  </si>
  <si>
    <t>24GE02I54</t>
  </si>
  <si>
    <t>24GE02S61</t>
  </si>
  <si>
    <t>E032A24</t>
  </si>
  <si>
    <t>24GE02S6A</t>
  </si>
  <si>
    <t>24GE02S6B</t>
  </si>
  <si>
    <t>24GE02S63</t>
  </si>
  <si>
    <t>24GE02S71</t>
  </si>
  <si>
    <t>24GE02I72</t>
  </si>
  <si>
    <t>24GE02I73</t>
  </si>
  <si>
    <t>24GE02I74</t>
  </si>
  <si>
    <t>24GE02S81</t>
  </si>
  <si>
    <t>E058A24</t>
  </si>
  <si>
    <t>24GE02S8A</t>
  </si>
  <si>
    <t>24GE02S8B</t>
  </si>
  <si>
    <t>24GE02S83</t>
  </si>
  <si>
    <t>24GE02S91</t>
  </si>
  <si>
    <t>24GE02I92</t>
  </si>
  <si>
    <t>24GE02I93</t>
  </si>
  <si>
    <t>24GE02I94</t>
  </si>
  <si>
    <t>E059A24</t>
  </si>
  <si>
    <t>24GE03D01</t>
  </si>
  <si>
    <t>24GE03S0A</t>
  </si>
  <si>
    <t>24GE03S0B</t>
  </si>
  <si>
    <t>24GE03S03</t>
  </si>
  <si>
    <t>24GE03I12</t>
  </si>
  <si>
    <t>24GE03I13</t>
  </si>
  <si>
    <t>24GE03I14</t>
  </si>
  <si>
    <t>24GE03R20</t>
  </si>
  <si>
    <t>E060A24</t>
  </si>
  <si>
    <t>24GE03S2A</t>
  </si>
  <si>
    <t>24GE03S2B</t>
  </si>
  <si>
    <t>24GE03S23</t>
  </si>
  <si>
    <t>24GE03S31</t>
  </si>
  <si>
    <t>24GE03I32</t>
  </si>
  <si>
    <t>24GE03I33</t>
  </si>
  <si>
    <t>24GE03I34</t>
  </si>
  <si>
    <t>24GE03S41</t>
  </si>
  <si>
    <t>E061A24</t>
  </si>
  <si>
    <t>24GE03S4A</t>
  </si>
  <si>
    <t>24GE03S4B</t>
  </si>
  <si>
    <t>24GE03S43</t>
  </si>
  <si>
    <t>24GE03S51</t>
  </si>
  <si>
    <t>24GE03I52</t>
  </si>
  <si>
    <t>24GE03I53</t>
  </si>
  <si>
    <t>24GE03I54</t>
  </si>
  <si>
    <t>24GE03D56</t>
  </si>
  <si>
    <t>24GE03T56</t>
  </si>
  <si>
    <t>24GE03D58</t>
  </si>
  <si>
    <t>24GE03D59</t>
  </si>
  <si>
    <t>24GE03S61</t>
  </si>
  <si>
    <t>E91MA24</t>
  </si>
  <si>
    <t>24GE03C63</t>
  </si>
  <si>
    <t>24GE03S71</t>
  </si>
  <si>
    <t>24GE03I72</t>
  </si>
  <si>
    <t>24GE03I73</t>
  </si>
  <si>
    <t>24GE03I74</t>
  </si>
  <si>
    <t>24GE03D76</t>
  </si>
  <si>
    <t>24GE03T76</t>
  </si>
  <si>
    <t>24GE03C78</t>
  </si>
  <si>
    <t>24GE03C79</t>
  </si>
  <si>
    <t>24GE03S81</t>
  </si>
  <si>
    <t>E092A24</t>
  </si>
  <si>
    <t>24GE03S8A</t>
  </si>
  <si>
    <t>24GE03S8B</t>
  </si>
  <si>
    <t>24GE03S83</t>
  </si>
  <si>
    <t>24GE03S91</t>
  </si>
  <si>
    <t>24GE03I92</t>
  </si>
  <si>
    <t>24GE03I93</t>
  </si>
  <si>
    <t>24GE03I94</t>
  </si>
  <si>
    <t>24GO00S01</t>
  </si>
  <si>
    <t>O049A24</t>
  </si>
  <si>
    <t>ON2411</t>
  </si>
  <si>
    <t>24GO00S0A</t>
  </si>
  <si>
    <t>24GO00S0B</t>
  </si>
  <si>
    <t>24GO00S0C</t>
  </si>
  <si>
    <t>24GO00S03</t>
  </si>
  <si>
    <t>24GO00C10</t>
  </si>
  <si>
    <t>24GO00S11</t>
  </si>
  <si>
    <t>24GO00I12</t>
  </si>
  <si>
    <t>24GO00I13</t>
  </si>
  <si>
    <t>24GO00I14</t>
  </si>
  <si>
    <t>24GO00S17</t>
  </si>
  <si>
    <t>24GO00D17</t>
  </si>
  <si>
    <t>O55MA24</t>
  </si>
  <si>
    <t>24GO00D21</t>
  </si>
  <si>
    <t>24GO00S22</t>
  </si>
  <si>
    <t>24GO00S23</t>
  </si>
  <si>
    <t>24GO00S24</t>
  </si>
  <si>
    <t>24GO00S25</t>
  </si>
  <si>
    <t>24GO00S26</t>
  </si>
  <si>
    <t>24GO00S27</t>
  </si>
  <si>
    <t>24GO00S28</t>
  </si>
  <si>
    <t>24GO00S30</t>
  </si>
  <si>
    <t>24GO00S31</t>
  </si>
  <si>
    <t>24GO00I32</t>
  </si>
  <si>
    <t>24GO00I33</t>
  </si>
  <si>
    <t>24GO00I34</t>
  </si>
  <si>
    <t>24GO00S37</t>
  </si>
  <si>
    <t>24GO00D37</t>
  </si>
  <si>
    <t>24GO00R40</t>
  </si>
  <si>
    <t>O060A24</t>
  </si>
  <si>
    <t>24GO00S4A</t>
  </si>
  <si>
    <t>24GO00S4B</t>
  </si>
  <si>
    <t>24GO00S4C</t>
  </si>
  <si>
    <t>24GO00S43</t>
  </si>
  <si>
    <t>24GO00S50</t>
  </si>
  <si>
    <t>24GO00S51</t>
  </si>
  <si>
    <t>24GO00I52</t>
  </si>
  <si>
    <t>24GO00I53</t>
  </si>
  <si>
    <t>24GO00I54</t>
  </si>
  <si>
    <t>24GO00S57</t>
  </si>
  <si>
    <t>24GO00D57</t>
  </si>
  <si>
    <t>24GO00S61</t>
  </si>
  <si>
    <t>O063A24</t>
  </si>
  <si>
    <t>24GO00S6A</t>
  </si>
  <si>
    <t>24GO00S6B</t>
  </si>
  <si>
    <t>24GO00S6C</t>
  </si>
  <si>
    <t>24GO00S63</t>
  </si>
  <si>
    <t>24GO00S70</t>
  </si>
  <si>
    <t>24GO00I72</t>
  </si>
  <si>
    <t>24GO00I73</t>
  </si>
  <si>
    <t>24GO00I74</t>
  </si>
  <si>
    <t>24GO00S77</t>
  </si>
  <si>
    <t>24GO00D77</t>
  </si>
  <si>
    <t>24GO00S81</t>
  </si>
  <si>
    <t>O012A24</t>
  </si>
  <si>
    <t>24GO00S8A</t>
  </si>
  <si>
    <t>24GO00S8B</t>
  </si>
  <si>
    <t>24GO00S8C</t>
  </si>
  <si>
    <t>24GO00S83</t>
  </si>
  <si>
    <t>24GO00D90</t>
  </si>
  <si>
    <t>24GO00S91</t>
  </si>
  <si>
    <t>24GO00I92</t>
  </si>
  <si>
    <t>24GO00I93</t>
  </si>
  <si>
    <t>24GO00I94</t>
  </si>
  <si>
    <t>24GO00S97</t>
  </si>
  <si>
    <t>24GO00D97</t>
  </si>
  <si>
    <t>24GO01R00</t>
  </si>
  <si>
    <t>O025A24</t>
  </si>
  <si>
    <t>24GO01S0A</t>
  </si>
  <si>
    <t>24GO01S0B</t>
  </si>
  <si>
    <t>24GO01S0C</t>
  </si>
  <si>
    <t>24GO01S03</t>
  </si>
  <si>
    <t>24GO01S10</t>
  </si>
  <si>
    <t>24GO01S11</t>
  </si>
  <si>
    <t>24GO01I12</t>
  </si>
  <si>
    <t>24GO01I13</t>
  </si>
  <si>
    <t>24GO01I14</t>
  </si>
  <si>
    <t>24GO01S17</t>
  </si>
  <si>
    <t>24GO01D17</t>
  </si>
  <si>
    <t>24GO01S21</t>
  </si>
  <si>
    <t>O33MA24</t>
  </si>
  <si>
    <t>24GO01S22</t>
  </si>
  <si>
    <t>24GO01S23</t>
  </si>
  <si>
    <t>24GO01S24</t>
  </si>
  <si>
    <t>24GO01S25</t>
  </si>
  <si>
    <t>24GO01S26</t>
  </si>
  <si>
    <t>24GO01S27</t>
  </si>
  <si>
    <t>24GO01S28</t>
  </si>
  <si>
    <t>24GO01S30</t>
  </si>
  <si>
    <t>24GO01C31</t>
  </si>
  <si>
    <t>24GO01I32</t>
  </si>
  <si>
    <t>24GO01I33</t>
  </si>
  <si>
    <t>24GO01I34</t>
  </si>
  <si>
    <t>24GO01S37</t>
  </si>
  <si>
    <t>24GO01D37</t>
  </si>
  <si>
    <t>24GO01S41</t>
  </si>
  <si>
    <t>O041A24</t>
  </si>
  <si>
    <t>24GO01S4A</t>
  </si>
  <si>
    <t>24GO01S4B</t>
  </si>
  <si>
    <t>24GO01S4C</t>
  </si>
  <si>
    <t>24GO01S50</t>
  </si>
  <si>
    <t>24GO01S51</t>
  </si>
  <si>
    <t>24GO01I52</t>
  </si>
  <si>
    <t>24GO01I53</t>
  </si>
  <si>
    <t>24GO01I54</t>
  </si>
  <si>
    <t>24GO01S57</t>
  </si>
  <si>
    <t>24GO01D57</t>
  </si>
  <si>
    <t>24GS00S01</t>
  </si>
  <si>
    <t>S01MA24</t>
  </si>
  <si>
    <t>SU2411</t>
  </si>
  <si>
    <t>24GS00S02</t>
  </si>
  <si>
    <t>24GS00S04</t>
  </si>
  <si>
    <t>24GS00S05</t>
  </si>
  <si>
    <t>24GS00C06</t>
  </si>
  <si>
    <t>24GS00S07</t>
  </si>
  <si>
    <t>24GS00S10</t>
  </si>
  <si>
    <t>24GS00S11</t>
  </si>
  <si>
    <t>24GS00I12</t>
  </si>
  <si>
    <t>24GS00I13</t>
  </si>
  <si>
    <t>24GS00I14</t>
  </si>
  <si>
    <t>24GS00S17</t>
  </si>
  <si>
    <t>24GS00D17</t>
  </si>
  <si>
    <t>24GS00S21</t>
  </si>
  <si>
    <t>S002A24</t>
  </si>
  <si>
    <t>24GS00S2A</t>
  </si>
  <si>
    <t>24GS00S2B</t>
  </si>
  <si>
    <t>24GS00S2C</t>
  </si>
  <si>
    <t>24GS00S23</t>
  </si>
  <si>
    <t>24GS00S30</t>
  </si>
  <si>
    <t>24GS00S31</t>
  </si>
  <si>
    <t>24GS00I32</t>
  </si>
  <si>
    <t>24GS00I33</t>
  </si>
  <si>
    <t>24GS00I34</t>
  </si>
  <si>
    <t>24GS00S37</t>
  </si>
  <si>
    <t>24GS00D37</t>
  </si>
  <si>
    <t>24GS00R40</t>
  </si>
  <si>
    <t>S003A24</t>
  </si>
  <si>
    <t>24GS00S4A</t>
  </si>
  <si>
    <t>24GS00S4B</t>
  </si>
  <si>
    <t>24GS00S4C</t>
  </si>
  <si>
    <t>24GS00S43</t>
  </si>
  <si>
    <t>24GS00S50</t>
  </si>
  <si>
    <t>24GS00S51</t>
  </si>
  <si>
    <t>24GS00I52</t>
  </si>
  <si>
    <t>24GS00I53</t>
  </si>
  <si>
    <t>24GS00F53</t>
  </si>
  <si>
    <t>24GS00I54</t>
  </si>
  <si>
    <t>24GS00S57</t>
  </si>
  <si>
    <t>24GS00D57</t>
  </si>
  <si>
    <t>24GS00S61</t>
  </si>
  <si>
    <t>S004A24</t>
  </si>
  <si>
    <t>24GS00S6A</t>
  </si>
  <si>
    <t>24GS00S6B</t>
  </si>
  <si>
    <t>24GS00S6C</t>
  </si>
  <si>
    <t>24GS00S63</t>
  </si>
  <si>
    <t>24GS00D70</t>
  </si>
  <si>
    <t>24GS00S71</t>
  </si>
  <si>
    <t>24GS00I72</t>
  </si>
  <si>
    <t>24GS00I73</t>
  </si>
  <si>
    <t>24GS00I74</t>
  </si>
  <si>
    <t>24GS00S77</t>
  </si>
  <si>
    <t>24GS00D77</t>
  </si>
  <si>
    <t>24GS00S81</t>
  </si>
  <si>
    <t>S005A24</t>
  </si>
  <si>
    <t>24GS00S8A</t>
  </si>
  <si>
    <t>24GS00S8B</t>
  </si>
  <si>
    <t>24GS00S8C</t>
  </si>
  <si>
    <t>24GS00S83</t>
  </si>
  <si>
    <t>24GS00S90</t>
  </si>
  <si>
    <t>24GS00S91</t>
  </si>
  <si>
    <t>24GS00I92</t>
  </si>
  <si>
    <t>24GS00I93</t>
  </si>
  <si>
    <t>24GS00F93</t>
  </si>
  <si>
    <t>24GS00I94</t>
  </si>
  <si>
    <t>24GS00S97</t>
  </si>
  <si>
    <t>24GS00D97</t>
  </si>
  <si>
    <t>24GS01S01</t>
  </si>
  <si>
    <t>S006A24</t>
  </si>
  <si>
    <t>24GS01S0A</t>
  </si>
  <si>
    <t>24GS01S0B</t>
  </si>
  <si>
    <t>24GS01S0C</t>
  </si>
  <si>
    <t>24GS01S03</t>
  </si>
  <si>
    <t>24GS01S10</t>
  </si>
  <si>
    <t>24GS01S11</t>
  </si>
  <si>
    <t>24GS01I12</t>
  </si>
  <si>
    <t>24GS01I13</t>
  </si>
  <si>
    <t>24GS01I14</t>
  </si>
  <si>
    <t>24GS01S17</t>
  </si>
  <si>
    <t>24GS01D17</t>
  </si>
  <si>
    <t>24GS01R20</t>
  </si>
  <si>
    <t>S007A24</t>
  </si>
  <si>
    <t>24GS01S2A</t>
  </si>
  <si>
    <t>24GS01S2B</t>
  </si>
  <si>
    <t>24GS01S2C</t>
  </si>
  <si>
    <t>24GS01S23</t>
  </si>
  <si>
    <t>24GS01S30</t>
  </si>
  <si>
    <t>24GS01S31</t>
  </si>
  <si>
    <t>24GS01I32</t>
  </si>
  <si>
    <t>24GS01I33</t>
  </si>
  <si>
    <t>24GS01F33</t>
  </si>
  <si>
    <t>24GS01I34</t>
  </si>
  <si>
    <t>24GS01S37</t>
  </si>
  <si>
    <t>24GS01D37</t>
  </si>
  <si>
    <t>24GS01S41</t>
  </si>
  <si>
    <t>S08MA24</t>
  </si>
  <si>
    <t>24GS01S42</t>
  </si>
  <si>
    <t>24GS01S43</t>
  </si>
  <si>
    <t>24GS01S44</t>
  </si>
  <si>
    <t>24GS01S45</t>
  </si>
  <si>
    <t>24GS01S46</t>
  </si>
  <si>
    <t>24GS01S47</t>
  </si>
  <si>
    <t>24GS01S48</t>
  </si>
  <si>
    <t>24GS01S49</t>
  </si>
  <si>
    <t>24GS01S50</t>
  </si>
  <si>
    <t>24GS01S51</t>
  </si>
  <si>
    <t>24GS01I52</t>
  </si>
  <si>
    <t>24GS01I53</t>
  </si>
  <si>
    <t>24GS01I54</t>
  </si>
  <si>
    <t>24GS01S57</t>
  </si>
  <si>
    <t>24GS01D57</t>
  </si>
  <si>
    <t>24GS01S61</t>
  </si>
  <si>
    <t>S009A24</t>
  </si>
  <si>
    <t>24GS01S6A</t>
  </si>
  <si>
    <t>24GS01S6B</t>
  </si>
  <si>
    <t>24GS01S6C</t>
  </si>
  <si>
    <t>24GS01S63</t>
  </si>
  <si>
    <t>24GS01S70</t>
  </si>
  <si>
    <t>24GS01C71</t>
  </si>
  <si>
    <t>24GS01I72</t>
  </si>
  <si>
    <t>24GS01I73</t>
  </si>
  <si>
    <t>24GS01F73</t>
  </si>
  <si>
    <t>24GS01I74</t>
  </si>
  <si>
    <t>24GS01S77</t>
  </si>
  <si>
    <t>24GS01D77</t>
  </si>
  <si>
    <t>24GS01S81</t>
  </si>
  <si>
    <t>S010A24</t>
  </si>
  <si>
    <t>24GS01S8A</t>
  </si>
  <si>
    <t>24GS01S8B</t>
  </si>
  <si>
    <t>24GS01S8C</t>
  </si>
  <si>
    <t>24GS01S83</t>
  </si>
  <si>
    <t>24GS01S90</t>
  </si>
  <si>
    <t>24GS01S91</t>
  </si>
  <si>
    <t>24GS01I92</t>
  </si>
  <si>
    <t>24GS01I93</t>
  </si>
  <si>
    <t>24GS01I94</t>
  </si>
  <si>
    <t>24GS01S97</t>
  </si>
  <si>
    <t>24GS01D97</t>
  </si>
  <si>
    <t>24GS02S01</t>
  </si>
  <si>
    <t>S011A24</t>
  </si>
  <si>
    <t>24GS02S0A</t>
  </si>
  <si>
    <t>24GS02S0B</t>
  </si>
  <si>
    <t>24GS02S0C</t>
  </si>
  <si>
    <t>24GS02S03</t>
  </si>
  <si>
    <t>24GS02S10</t>
  </si>
  <si>
    <t>24GS02I12</t>
  </si>
  <si>
    <t>24GS02I13</t>
  </si>
  <si>
    <t>24GS02F13</t>
  </si>
  <si>
    <t>24GS02I14</t>
  </si>
  <si>
    <t>24GS02S17</t>
  </si>
  <si>
    <t>24GS02D17</t>
  </si>
  <si>
    <t>24GS02S21</t>
  </si>
  <si>
    <t>S012A24</t>
  </si>
  <si>
    <t>24GS02S2A</t>
  </si>
  <si>
    <t>24GS02S2B</t>
  </si>
  <si>
    <t>24GS02S2C</t>
  </si>
  <si>
    <t>24GS02S23</t>
  </si>
  <si>
    <t>24GS02D30</t>
  </si>
  <si>
    <t>24GS02S31</t>
  </si>
  <si>
    <t>24GS02I32</t>
  </si>
  <si>
    <t>24GS02I33</t>
  </si>
  <si>
    <t>24GS02I34</t>
  </si>
  <si>
    <t>24GS02S37</t>
  </si>
  <si>
    <t>24GS02D37</t>
  </si>
  <si>
    <t>24GS02S41</t>
  </si>
  <si>
    <t>S013A24</t>
  </si>
  <si>
    <t>24GS02S4A</t>
  </si>
  <si>
    <t>24GS02S4B</t>
  </si>
  <si>
    <t>24GS02S4C</t>
  </si>
  <si>
    <t>24GS02S43</t>
  </si>
  <si>
    <t>24GS02S50</t>
  </si>
  <si>
    <t>24GS02S51</t>
  </si>
  <si>
    <t>24GS02I52</t>
  </si>
  <si>
    <t>24GS02I53</t>
  </si>
  <si>
    <t>24GS02F53</t>
  </si>
  <si>
    <t>24GS02I54</t>
  </si>
  <si>
    <t>24GS02S57</t>
  </si>
  <si>
    <t>24GS02D57</t>
  </si>
  <si>
    <t>24GS02S61</t>
  </si>
  <si>
    <t>S014A24</t>
  </si>
  <si>
    <t>24GS02S6A</t>
  </si>
  <si>
    <t>24GS02S6B</t>
  </si>
  <si>
    <t>24GS02S6C</t>
  </si>
  <si>
    <t>24GS02S63</t>
  </si>
  <si>
    <t>24GS02S70</t>
  </si>
  <si>
    <t>24GS02S71</t>
  </si>
  <si>
    <t>24GS02I72</t>
  </si>
  <si>
    <t>24GS02I73</t>
  </si>
  <si>
    <t>24GS02I74</t>
  </si>
  <si>
    <t>24GS02S77</t>
  </si>
  <si>
    <t>24GS02D77</t>
  </si>
  <si>
    <t>24GS02R80</t>
  </si>
  <si>
    <t>S015A24</t>
  </si>
  <si>
    <t>24GS02S8A</t>
  </si>
  <si>
    <t>24GS02S8B</t>
  </si>
  <si>
    <t>24GS02S8C</t>
  </si>
  <si>
    <t>24GS02S83</t>
  </si>
  <si>
    <t>24GS02S90</t>
  </si>
  <si>
    <t>24GS02S91</t>
  </si>
  <si>
    <t>24GS02I92</t>
  </si>
  <si>
    <t>24GS02I93</t>
  </si>
  <si>
    <t>24GS02F93</t>
  </si>
  <si>
    <t>24GS02I94</t>
  </si>
  <si>
    <t>24GS02S97</t>
  </si>
  <si>
    <t>24GS02D97</t>
  </si>
  <si>
    <t>24GS03S01</t>
  </si>
  <si>
    <t>S016A24</t>
  </si>
  <si>
    <t>24GS03S0A</t>
  </si>
  <si>
    <t>24GS03S0B</t>
  </si>
  <si>
    <t>24GS03S0C</t>
  </si>
  <si>
    <t>24GS03S03</t>
  </si>
  <si>
    <t>24GS03S10</t>
  </si>
  <si>
    <t>24GS03C11</t>
  </si>
  <si>
    <t>24GS03I12</t>
  </si>
  <si>
    <t>24GS03I13</t>
  </si>
  <si>
    <t>24GS03I14</t>
  </si>
  <si>
    <t>24GS03S17</t>
  </si>
  <si>
    <t>24GS03D17</t>
  </si>
  <si>
    <t>24GS03S21</t>
  </si>
  <si>
    <t>S17MA24</t>
  </si>
  <si>
    <t>24GS03S22</t>
  </si>
  <si>
    <t>24GS03S23</t>
  </si>
  <si>
    <t>24GS03S24</t>
  </si>
  <si>
    <t>24GS03S25</t>
  </si>
  <si>
    <t>24GS03D26</t>
  </si>
  <si>
    <t>24GS03S27</t>
  </si>
  <si>
    <t>24GS03S28</t>
  </si>
  <si>
    <t>24GS03S30</t>
  </si>
  <si>
    <t>24GS03S31</t>
  </si>
  <si>
    <t>24GS03I32</t>
  </si>
  <si>
    <t>24GS03I33</t>
  </si>
  <si>
    <t>24GS03F33</t>
  </si>
  <si>
    <t>24GS03I34</t>
  </si>
  <si>
    <t>24GS03S37</t>
  </si>
  <si>
    <t>24GS03D37</t>
  </si>
  <si>
    <t>24GS03S41</t>
  </si>
  <si>
    <t>S018A24</t>
  </si>
  <si>
    <t>24GS03S4A</t>
  </si>
  <si>
    <t>24GS03S4B</t>
  </si>
  <si>
    <t>24GS03S4C</t>
  </si>
  <si>
    <t>24GS03S43</t>
  </si>
  <si>
    <t>24GS03S50</t>
  </si>
  <si>
    <t>24GS03S51</t>
  </si>
  <si>
    <t>24GS03I52</t>
  </si>
  <si>
    <t>24GS03I53</t>
  </si>
  <si>
    <t>24GS03I54</t>
  </si>
  <si>
    <t>24GS03S57</t>
  </si>
  <si>
    <t>24GS03D57</t>
  </si>
  <si>
    <t>S019A24</t>
  </si>
  <si>
    <t>24GS03S6A</t>
  </si>
  <si>
    <t>24GS03S6B</t>
  </si>
  <si>
    <t>24GS03S6C</t>
  </si>
  <si>
    <t>24GS03S63</t>
  </si>
  <si>
    <t>24GS03S70</t>
  </si>
  <si>
    <t>24GS03S71</t>
  </si>
  <si>
    <t>24GS03I72</t>
  </si>
  <si>
    <t>24GS03I73</t>
  </si>
  <si>
    <t>24GS03F73</t>
  </si>
  <si>
    <t>24GS03I74</t>
  </si>
  <si>
    <t>24GS03S77</t>
  </si>
  <si>
    <t>24GS03D77</t>
  </si>
  <si>
    <t>ECSER932n</t>
  </si>
  <si>
    <t>24GE04S01</t>
  </si>
  <si>
    <t>ECSER932nA24</t>
  </si>
  <si>
    <t>24GE04S0A</t>
  </si>
  <si>
    <t>24GE04S0B</t>
  </si>
  <si>
    <t>24GE04S0C</t>
  </si>
  <si>
    <t>24GE04I12</t>
  </si>
  <si>
    <t>24GE04I14</t>
  </si>
  <si>
    <t>ECSER936n</t>
  </si>
  <si>
    <t>24GE04S21</t>
  </si>
  <si>
    <t>ECSER936nA24</t>
  </si>
  <si>
    <t>24GE04S2A</t>
  </si>
  <si>
    <t>24GE04S2B</t>
  </si>
  <si>
    <t>24GE04S2C</t>
  </si>
  <si>
    <t>24GE04I32</t>
  </si>
  <si>
    <t>24GE04I34</t>
  </si>
  <si>
    <t>ECSER937n</t>
  </si>
  <si>
    <t>24GE04S41</t>
  </si>
  <si>
    <t>ECSER937nA24</t>
  </si>
  <si>
    <t>24GE04S4A</t>
  </si>
  <si>
    <t>24GE04S4B</t>
  </si>
  <si>
    <t>24GE04S4C</t>
  </si>
  <si>
    <t>24GE04I52</t>
  </si>
  <si>
    <t>24GE04I54</t>
  </si>
  <si>
    <t>ECSER951n</t>
  </si>
  <si>
    <t>24GE04S61</t>
  </si>
  <si>
    <t>ECSER951nA24</t>
  </si>
  <si>
    <t>24GE04S6A</t>
  </si>
  <si>
    <t>24GE04S6B</t>
  </si>
  <si>
    <t>24GE04S6C</t>
  </si>
  <si>
    <t>24GE04I72</t>
  </si>
  <si>
    <t>24GE04I74</t>
  </si>
  <si>
    <t>ECSER958n</t>
  </si>
  <si>
    <t>24GE04S81</t>
  </si>
  <si>
    <t>ECSER958nA24</t>
  </si>
  <si>
    <t>24GE04S8A</t>
  </si>
  <si>
    <t>24GE04S8B</t>
  </si>
  <si>
    <t>24GE04S8C</t>
  </si>
  <si>
    <t>24GE04I92</t>
  </si>
  <si>
    <t>24GE04I94</t>
  </si>
  <si>
    <t>ECSER959n</t>
  </si>
  <si>
    <t>24GE05S01</t>
  </si>
  <si>
    <t>ECSER959nA24</t>
  </si>
  <si>
    <t>24GE05S0A</t>
  </si>
  <si>
    <t>24GE05S0B</t>
  </si>
  <si>
    <t>24GE05S0C</t>
  </si>
  <si>
    <t>24GE05I12</t>
  </si>
  <si>
    <t>24GE05I14</t>
  </si>
  <si>
    <t>ER 95b</t>
  </si>
  <si>
    <t>24GE05S21</t>
  </si>
  <si>
    <t>E95bA24</t>
  </si>
  <si>
    <t>24GE05S2A</t>
  </si>
  <si>
    <t>24GE05S2B</t>
  </si>
  <si>
    <t>24GE05S2C</t>
  </si>
  <si>
    <t>24GE05I32</t>
  </si>
  <si>
    <t>24GE05I34</t>
  </si>
  <si>
    <t>ECSER964n</t>
  </si>
  <si>
    <t>24GE05S41</t>
  </si>
  <si>
    <t>ECSER964nA24</t>
  </si>
  <si>
    <t>24GE05S4A</t>
  </si>
  <si>
    <t>24GE05S4B</t>
  </si>
  <si>
    <t>24GE05S4C</t>
  </si>
  <si>
    <t>24GE05I52</t>
  </si>
  <si>
    <t>24GE05I54</t>
  </si>
  <si>
    <t>ECSER966n</t>
  </si>
  <si>
    <t>24GE05S61</t>
  </si>
  <si>
    <t>ECSER966nA24</t>
  </si>
  <si>
    <t>24GE05S6A</t>
  </si>
  <si>
    <t>24GE05S6B</t>
  </si>
  <si>
    <t>24GE05S6C</t>
  </si>
  <si>
    <t>24GE05I72</t>
  </si>
  <si>
    <t>24GE05I74</t>
  </si>
  <si>
    <t>ECSERG09n</t>
  </si>
  <si>
    <t>24GE05S81</t>
  </si>
  <si>
    <t>ECSERG09nA24</t>
  </si>
  <si>
    <t>24GE05S8A</t>
  </si>
  <si>
    <t>24GE05S8B</t>
  </si>
  <si>
    <t>24GE05S8C</t>
  </si>
  <si>
    <t>24GE05I92</t>
  </si>
  <si>
    <t>24GE05I94</t>
  </si>
  <si>
    <t>ECSERI28n</t>
  </si>
  <si>
    <t>ECSERI28nA24</t>
  </si>
  <si>
    <t>ECSERN22n</t>
  </si>
  <si>
    <t>ECSERN22nA24</t>
  </si>
  <si>
    <t>24GM00R40</t>
  </si>
  <si>
    <t>24GM01C03</t>
  </si>
  <si>
    <t>24GM01T83</t>
  </si>
  <si>
    <t>24GH00R60</t>
  </si>
  <si>
    <t>24GH01C83</t>
  </si>
  <si>
    <t>24GH02T43</t>
  </si>
  <si>
    <t>24GE00R00</t>
  </si>
  <si>
    <t>24GE02C02</t>
  </si>
  <si>
    <t>24GE03T63</t>
  </si>
  <si>
    <t>24GO00R20</t>
  </si>
  <si>
    <t>24GO01C23</t>
  </si>
  <si>
    <t>24GS00R00</t>
  </si>
  <si>
    <t>24GS01C43</t>
  </si>
  <si>
    <t>24GS03T23</t>
  </si>
  <si>
    <t>24GM00C47</t>
  </si>
  <si>
    <t>24GM00D47</t>
  </si>
  <si>
    <t>24GM01C01</t>
  </si>
  <si>
    <t>24GM01D01</t>
  </si>
  <si>
    <t>24GM01C71</t>
  </si>
  <si>
    <t>24GM01D71</t>
  </si>
  <si>
    <t>24GH00C43</t>
  </si>
  <si>
    <t>24GH00D43</t>
  </si>
  <si>
    <t>24GH01C50</t>
  </si>
  <si>
    <t>24GH01D50</t>
  </si>
  <si>
    <t>24GH01C85</t>
  </si>
  <si>
    <t>24GH01D85</t>
  </si>
  <si>
    <t>24GE00C41</t>
  </si>
  <si>
    <t>24GE00D41</t>
  </si>
  <si>
    <t>24GE01C63</t>
  </si>
  <si>
    <t>24GE01D63</t>
  </si>
  <si>
    <t>24GE03C11</t>
  </si>
  <si>
    <t>24GE03D11</t>
  </si>
  <si>
    <t>24GO00C71</t>
  </si>
  <si>
    <t>24GO00D71</t>
  </si>
  <si>
    <t>24GO01C43</t>
  </si>
  <si>
    <t>24GO01D43</t>
  </si>
  <si>
    <t>24GS00C03</t>
  </si>
  <si>
    <t>24GS00D03</t>
  </si>
  <si>
    <t>24GS02C11</t>
  </si>
  <si>
    <t>24GS02D11</t>
  </si>
  <si>
    <t>24GS03C61</t>
  </si>
  <si>
    <t>24GS03D61</t>
  </si>
  <si>
    <t>24GO00T23</t>
  </si>
  <si>
    <t>24GE06S0A</t>
  </si>
  <si>
    <t>24GE06S0B</t>
  </si>
  <si>
    <t>24GE06S0C</t>
  </si>
  <si>
    <t>24GE06I12</t>
  </si>
  <si>
    <t>24GE06I14</t>
  </si>
  <si>
    <t>24GE06S21</t>
  </si>
  <si>
    <t>24GE06S2A</t>
  </si>
  <si>
    <t>24GE06S2B</t>
  </si>
  <si>
    <t>24GE06S2C</t>
  </si>
  <si>
    <t>24GE06I32</t>
  </si>
  <si>
    <t>24GE06I34</t>
  </si>
  <si>
    <t>24GE06S01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</si>
</sst>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Arial"/>
      <family val="2"/>
    </font>
    <font>
      <b/>
      <sz val="10"/>
      <name val="Arial"/>
      <family val="2"/>
    </font>
    <font>
      <sz val="10"/>
      <color rgb="FF0070C0"/>
      <name val="Times New Roman"/>
      <family val="1"/>
    </font>
    <font>
      <b/>
      <sz val="10"/>
      <name val="Times New Roman"/>
      <family val="1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6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wrapText="1"/>
    </xf>
    <xf numFmtId="22" fontId="0" fillId="0" borderId="0" xfId="0" applyNumberFormat="1" applyAlignment="1">
      <alignment wrapText="1"/>
    </xf>
    <xf numFmtId="9" fontId="0" fillId="0" borderId="0" xfId="0" applyNumberFormat="1"/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0" xfId="0" applyNumberFormat="1"/>
    <xf numFmtId="2" fontId="1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9" fillId="0" borderId="0" xfId="0" applyFont="1"/>
    <xf numFmtId="0" fontId="0" fillId="0" borderId="5" xfId="0" applyBorder="1"/>
    <xf numFmtId="0" fontId="0" fillId="0" borderId="2" xfId="0" applyBorder="1"/>
    <xf numFmtId="0" fontId="0" fillId="0" borderId="4" xfId="0" applyBorder="1"/>
    <xf numFmtId="0" fontId="0" fillId="0" borderId="1" xfId="0" applyBorder="1" applyAlignment="1">
      <alignment horizontal="center"/>
    </xf>
    <xf numFmtId="0" fontId="0" fillId="6" borderId="0" xfId="0" applyFill="1" applyAlignment="1">
      <alignment horizontal="center" vertical="center" wrapText="1"/>
    </xf>
    <xf numFmtId="0" fontId="1" fillId="0" borderId="6" xfId="0" applyFont="1" applyBorder="1"/>
    <xf numFmtId="0" fontId="1" fillId="0" borderId="7" xfId="0" applyFont="1" applyBorder="1"/>
    <xf numFmtId="0" fontId="1" fillId="0" borderId="5" xfId="0" applyFont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pivotButton="1"/>
    <xf numFmtId="0" fontId="1" fillId="0" borderId="11" xfId="0" applyFont="1" applyBorder="1" applyAlignment="1">
      <alignment horizontal="center"/>
    </xf>
    <xf numFmtId="0" fontId="0" fillId="7" borderId="0" xfId="0" applyFill="1"/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294147</xdr:colOff>
      <xdr:row>10</xdr:row>
      <xdr:rowOff>31715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0" y="0"/>
          <a:ext cx="639014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DO NOT EDIT </a:t>
          </a:r>
        </a:p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 For Esri use only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EPAWork/WQS/Surveys/Spring%20Survey/2014/2014%20WQS%20Spring%20Sample%20ID%20Workshee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vernment User" refreshedDate="41684.322846759256" createdVersion="3" refreshedVersion="3" minRefreshableVersion="3" recordCount="1538" xr:uid="{00000000-000A-0000-FFFF-FFFF00000000}">
  <cacheSource type="worksheet">
    <worksheetSource ref="H2:M1540" sheet="Station Depth Averages" r:id="rId2"/>
  </cacheSource>
  <cacheFields count="6">
    <cacheField name="YEAR" numFmtId="0">
      <sharedItems containsSemiMixedTypes="0" containsString="0" containsNumber="1" containsInteger="1" minValue="2008" maxValue="2012"/>
    </cacheField>
    <cacheField name="MONTH" numFmtId="0">
      <sharedItems/>
    </cacheField>
    <cacheField name="STATION_ID" numFmtId="0">
      <sharedItems count="85">
        <s v="ER09"/>
        <s v="ER10"/>
        <s v="ER15M"/>
        <s v="ER30"/>
        <s v="ER31"/>
        <s v="ER32"/>
        <s v="ER36"/>
        <s v="ER37"/>
        <s v="ER38"/>
        <s v="ER42"/>
        <s v="ER43"/>
        <s v="ER58"/>
        <s v="ER59"/>
        <s v="ER60"/>
        <s v="ER61"/>
        <s v="ER63"/>
        <s v="ER73"/>
        <s v="ER78M"/>
        <s v="ER91M"/>
        <s v="ER92"/>
        <s v="ERFE"/>
        <s v="ERFO"/>
        <s v="HU06"/>
        <s v="HU09"/>
        <s v="HU12"/>
        <s v="HU15M"/>
        <s v="HU27"/>
        <s v="HU32"/>
        <s v="HU37"/>
        <s v="HU38"/>
        <s v="HU45M"/>
        <s v="HU48"/>
        <s v="HU53"/>
        <s v="HU54M"/>
        <s v="HU61"/>
        <s v="HU93"/>
        <s v="HUFE"/>
        <s v="HUFO"/>
        <s v="MI11"/>
        <s v="MI17"/>
        <s v="MI18M"/>
        <s v="MI19"/>
        <s v="MI23"/>
        <s v="MI27M"/>
        <s v="MI32"/>
        <s v="MI34"/>
        <s v="MI40"/>
        <s v="MI41M"/>
        <s v="MI47"/>
        <s v="MIFE"/>
        <s v="MIFO"/>
        <s v="ON12"/>
        <s v="ON25"/>
        <s v="ON33M"/>
        <s v="ON41"/>
        <s v="ON49"/>
        <s v="ON55M"/>
        <s v="ON60"/>
        <s v="ON63"/>
        <s v="ON64B"/>
        <s v="ONFO"/>
        <s v="SU01M"/>
        <s v="SU02"/>
        <s v="SU03"/>
        <s v="SU04"/>
        <s v="SU05"/>
        <s v="SU06"/>
        <s v="SU07"/>
        <s v="SU08M"/>
        <s v="SU09"/>
        <s v="SU10"/>
        <s v="SU11"/>
        <s v="SU12"/>
        <s v="SU13"/>
        <s v="SU14"/>
        <s v="SU15"/>
        <s v="SU16"/>
        <s v="SU17M"/>
        <s v="SU18"/>
        <s v="SU19"/>
        <s v="SUFE"/>
        <s v="SUFO"/>
        <s v="HU46m" u="1"/>
        <s v="HU110m" u="1"/>
        <s v="HU18m" u="1"/>
      </sharedItems>
    </cacheField>
    <cacheField name="STN_DEPTH_m" numFmtId="0">
      <sharedItems containsSemiMixedTypes="0" containsString="0" containsNumber="1" minValue="7" maxValue="299.60000000000002"/>
    </cacheField>
    <cacheField name="SAMPLE_ID" numFmtId="0">
      <sharedItems/>
    </cacheField>
    <cacheField name="ANL_CO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38">
  <r>
    <n v="2008"/>
    <s v="April    "/>
    <x v="0"/>
    <n v="50.6"/>
    <s v="08GC20S81"/>
    <s v="Chlor-a"/>
  </r>
  <r>
    <n v="2008"/>
    <s v="April    "/>
    <x v="0"/>
    <n v="50.6"/>
    <s v="08GC20S81"/>
    <s v="NO2+NO3"/>
  </r>
  <r>
    <n v="2009"/>
    <s v="April    "/>
    <x v="0"/>
    <n v="52.6"/>
    <s v="09GC20S81"/>
    <s v="Chlor-a"/>
  </r>
  <r>
    <n v="2009"/>
    <s v="April    "/>
    <x v="0"/>
    <n v="52.6"/>
    <s v="09GC20S81"/>
    <s v="NO2+NO3"/>
  </r>
  <r>
    <n v="2010"/>
    <s v="April    "/>
    <x v="0"/>
    <n v="50.1"/>
    <s v="10GC20S81"/>
    <s v="Chlor-a"/>
  </r>
  <r>
    <n v="2010"/>
    <s v="April    "/>
    <x v="0"/>
    <n v="50.1"/>
    <s v="10GC20S81"/>
    <s v="NO2+NO3"/>
  </r>
  <r>
    <n v="2011"/>
    <s v="April    "/>
    <x v="0"/>
    <n v="49.2"/>
    <s v="11GC20S81"/>
    <s v="Chlor-a"/>
  </r>
  <r>
    <n v="2011"/>
    <s v="April    "/>
    <x v="0"/>
    <n v="49.2"/>
    <s v="11GC20S81"/>
    <s v="NO2+NO3"/>
  </r>
  <r>
    <n v="2012"/>
    <s v="April    "/>
    <x v="0"/>
    <n v="50.6"/>
    <s v="12GC17S81"/>
    <s v="Chlor-a"/>
  </r>
  <r>
    <n v="2012"/>
    <s v="April    "/>
    <x v="0"/>
    <n v="50.6"/>
    <s v="12GC17S81"/>
    <s v="NO2+NO3"/>
  </r>
  <r>
    <n v="2008"/>
    <s v="August   "/>
    <x v="0"/>
    <n v="48.6"/>
    <s v="08GC43S81"/>
    <s v="Chlor-a"/>
  </r>
  <r>
    <n v="2008"/>
    <s v="August   "/>
    <x v="0"/>
    <n v="48.6"/>
    <s v="08GC43S81"/>
    <s v="NO2+NO3"/>
  </r>
  <r>
    <n v="2009"/>
    <s v="August   "/>
    <x v="0"/>
    <n v="48.6"/>
    <s v="09GC46S81"/>
    <s v="Chlor-a"/>
  </r>
  <r>
    <n v="2009"/>
    <s v="August   "/>
    <x v="0"/>
    <n v="48.6"/>
    <s v="09GC46S81"/>
    <s v="NO2+NO3"/>
  </r>
  <r>
    <n v="2010"/>
    <s v="August   "/>
    <x v="0"/>
    <n v="48.6"/>
    <s v="10GC43S81"/>
    <s v="Chlor-a"/>
  </r>
  <r>
    <n v="2010"/>
    <s v="August   "/>
    <x v="0"/>
    <n v="48.6"/>
    <s v="10GC43S81"/>
    <s v="NO2+NO3"/>
  </r>
  <r>
    <n v="2011"/>
    <s v="August   "/>
    <x v="0"/>
    <n v="48.7"/>
    <s v="11GC39S41"/>
    <s v="Chlor-a"/>
  </r>
  <r>
    <n v="2011"/>
    <s v="August   "/>
    <x v="0"/>
    <n v="48.7"/>
    <s v="11GC39S41"/>
    <s v="NO2+NO3"/>
  </r>
  <r>
    <n v="2012"/>
    <s v="August   "/>
    <x v="0"/>
    <n v="48.7"/>
    <s v="12GC51S01"/>
    <s v="Chlor-a"/>
  </r>
  <r>
    <n v="2012"/>
    <s v="August   "/>
    <x v="0"/>
    <n v="48.7"/>
    <s v="12GC51S01"/>
    <s v="NO2+NO3"/>
  </r>
  <r>
    <n v="2008"/>
    <s v="April    "/>
    <x v="1"/>
    <n v="34.1"/>
    <s v="08GC21S01"/>
    <s v="Chlor-a"/>
  </r>
  <r>
    <n v="2008"/>
    <s v="April    "/>
    <x v="1"/>
    <n v="34.1"/>
    <s v="08GC21S01"/>
    <s v="NO2+NO3"/>
  </r>
  <r>
    <n v="2009"/>
    <s v="April    "/>
    <x v="1"/>
    <n v="37"/>
    <s v="09GC21S01"/>
    <s v="Chlor-a"/>
  </r>
  <r>
    <n v="2009"/>
    <s v="April    "/>
    <x v="1"/>
    <n v="37"/>
    <s v="09GC21S01"/>
    <s v="NO2+NO3"/>
  </r>
  <r>
    <n v="2010"/>
    <s v="April    "/>
    <x v="1"/>
    <n v="33.700000000000003"/>
    <s v="10GC21S01"/>
    <s v="Chlor-a"/>
  </r>
  <r>
    <n v="2010"/>
    <s v="April    "/>
    <x v="1"/>
    <n v="33.700000000000003"/>
    <s v="10GC21S01"/>
    <s v="NO2+NO3"/>
  </r>
  <r>
    <n v="2011"/>
    <s v="April    "/>
    <x v="1"/>
    <n v="34"/>
    <s v="11GC21S01"/>
    <s v="Chlor-a"/>
  </r>
  <r>
    <n v="2011"/>
    <s v="April    "/>
    <x v="1"/>
    <n v="34"/>
    <s v="11GC21S01"/>
    <s v="NO2+NO3"/>
  </r>
  <r>
    <n v="2012"/>
    <s v="April    "/>
    <x v="1"/>
    <n v="33.1"/>
    <s v="12GC18S01"/>
    <s v="Chlor-a"/>
  </r>
  <r>
    <n v="2012"/>
    <s v="April    "/>
    <x v="1"/>
    <n v="33.1"/>
    <s v="12GC18S01"/>
    <s v="NO2+NO3"/>
  </r>
  <r>
    <n v="2008"/>
    <s v="August   "/>
    <x v="1"/>
    <n v="32.1"/>
    <s v="08GC44S01"/>
    <s v="Chlor-a"/>
  </r>
  <r>
    <n v="2008"/>
    <s v="August   "/>
    <x v="1"/>
    <n v="32.1"/>
    <s v="08GC44S01"/>
    <s v="NO2+NO3"/>
  </r>
  <r>
    <n v="2009"/>
    <s v="August   "/>
    <x v="1"/>
    <n v="33"/>
    <s v="09GC47S01"/>
    <s v="Chlor-a"/>
  </r>
  <r>
    <n v="2009"/>
    <s v="August   "/>
    <x v="1"/>
    <n v="33"/>
    <s v="09GC47S01"/>
    <s v="NO2+NO3"/>
  </r>
  <r>
    <n v="2010"/>
    <s v="August   "/>
    <x v="1"/>
    <n v="33.1"/>
    <s v="10GC44S01"/>
    <s v="Chlor-a"/>
  </r>
  <r>
    <n v="2010"/>
    <s v="August   "/>
    <x v="1"/>
    <n v="33.1"/>
    <s v="10GC44S01"/>
    <s v="NO2+NO3"/>
  </r>
  <r>
    <n v="2011"/>
    <s v="August   "/>
    <x v="1"/>
    <n v="33.1"/>
    <s v="11GC39S61"/>
    <s v="Chlor-a"/>
  </r>
  <r>
    <n v="2011"/>
    <s v="August   "/>
    <x v="1"/>
    <n v="33.1"/>
    <s v="11GC39S61"/>
    <s v="NO2+NO3"/>
  </r>
  <r>
    <n v="2012"/>
    <s v="August   "/>
    <x v="1"/>
    <n v="33"/>
    <s v="12GC51S21"/>
    <s v="Chlor-a"/>
  </r>
  <r>
    <n v="2012"/>
    <s v="August   "/>
    <x v="1"/>
    <n v="33"/>
    <s v="12GC51S21"/>
    <s v="NO2+NO3"/>
  </r>
  <r>
    <n v="2008"/>
    <s v="April    "/>
    <x v="2"/>
    <n v="64.2"/>
    <s v="08GC20S41"/>
    <s v="Chlor-a"/>
  </r>
  <r>
    <n v="2008"/>
    <s v="April    "/>
    <x v="2"/>
    <n v="64.2"/>
    <s v="08GC20S41"/>
    <s v="NO2+NO3"/>
  </r>
  <r>
    <n v="2009"/>
    <s v="April    "/>
    <x v="2"/>
    <n v="64.7"/>
    <s v="09GC20S21"/>
    <s v="Chlor-a"/>
  </r>
  <r>
    <n v="2009"/>
    <s v="April    "/>
    <x v="2"/>
    <n v="64.7"/>
    <s v="09GC20S21"/>
    <s v="NO2+NO3"/>
  </r>
  <r>
    <n v="2010"/>
    <s v="April    "/>
    <x v="2"/>
    <n v="64.400000000000006"/>
    <s v="10GC20S41"/>
    <s v="Chlor-a"/>
  </r>
  <r>
    <n v="2010"/>
    <s v="April    "/>
    <x v="2"/>
    <n v="64.400000000000006"/>
    <s v="10GC20S41"/>
    <s v="NO2+NO3"/>
  </r>
  <r>
    <n v="2011"/>
    <s v="April    "/>
    <x v="2"/>
    <n v="46.7"/>
    <s v="11GC20S21"/>
    <s v="Chlor-a"/>
  </r>
  <r>
    <n v="2011"/>
    <s v="April    "/>
    <x v="2"/>
    <n v="46.7"/>
    <s v="11GC20S21"/>
    <s v="NO2+NO3"/>
  </r>
  <r>
    <n v="2012"/>
    <s v="April    "/>
    <x v="2"/>
    <n v="64.2"/>
    <s v="12GC17S41"/>
    <s v="Chlor-a"/>
  </r>
  <r>
    <n v="2012"/>
    <s v="April    "/>
    <x v="2"/>
    <n v="64.2"/>
    <s v="12GC17S41"/>
    <s v="NO2+NO3"/>
  </r>
  <r>
    <n v="2008"/>
    <s v="August   "/>
    <x v="2"/>
    <n v="62.2"/>
    <s v="08GC43S41"/>
    <s v="Chlor-a"/>
  </r>
  <r>
    <n v="2008"/>
    <s v="August   "/>
    <x v="2"/>
    <n v="62.2"/>
    <s v="08GC43S41"/>
    <s v="NO2+NO3"/>
  </r>
  <r>
    <n v="2009"/>
    <s v="August   "/>
    <x v="2"/>
    <n v="63.2"/>
    <s v="09GC46S21"/>
    <s v="Chlor-a"/>
  </r>
  <r>
    <n v="2009"/>
    <s v="August   "/>
    <x v="2"/>
    <n v="63.2"/>
    <s v="09GC46S21"/>
    <s v="NO2+NO3"/>
  </r>
  <r>
    <n v="2010"/>
    <s v="August   "/>
    <x v="2"/>
    <n v="63.2"/>
    <s v="10GC43S41"/>
    <s v="Chlor-a"/>
  </r>
  <r>
    <n v="2010"/>
    <s v="August   "/>
    <x v="2"/>
    <n v="63.2"/>
    <s v="10GC43S41"/>
    <s v="NO2+NO3"/>
  </r>
  <r>
    <n v="2011"/>
    <s v="August   "/>
    <x v="2"/>
    <n v="64.2"/>
    <s v="11GC39S01"/>
    <s v="Chlor-a"/>
  </r>
  <r>
    <n v="2011"/>
    <s v="August   "/>
    <x v="2"/>
    <n v="64.2"/>
    <s v="11GC39S01"/>
    <s v="NO2+NO3"/>
  </r>
  <r>
    <n v="2012"/>
    <s v="August   "/>
    <x v="2"/>
    <n v="62.2"/>
    <s v="12GC50S61"/>
    <s v="Chlor-a"/>
  </r>
  <r>
    <n v="2012"/>
    <s v="August   "/>
    <x v="2"/>
    <n v="62.2"/>
    <s v="12GC50S61"/>
    <s v="NO2+NO3"/>
  </r>
  <r>
    <n v="2008"/>
    <s v="April    "/>
    <x v="3"/>
    <n v="21.6"/>
    <s v="08GC20S21"/>
    <s v="Chlor-a"/>
  </r>
  <r>
    <n v="2008"/>
    <s v="April    "/>
    <x v="3"/>
    <n v="21.6"/>
    <s v="08GC20S21"/>
    <s v="NO2+NO3"/>
  </r>
  <r>
    <n v="2009"/>
    <s v="April    "/>
    <x v="3"/>
    <n v="24.5"/>
    <s v="09GC20S01"/>
    <s v="Chlor-a"/>
  </r>
  <r>
    <n v="2009"/>
    <s v="April    "/>
    <x v="3"/>
    <n v="24.5"/>
    <s v="09GC20S01"/>
    <s v="NO2+NO3"/>
  </r>
  <r>
    <n v="2010"/>
    <s v="April    "/>
    <x v="3"/>
    <n v="21.2"/>
    <s v="10GC20S21"/>
    <s v="Chlor-a"/>
  </r>
  <r>
    <n v="2010"/>
    <s v="April    "/>
    <x v="3"/>
    <n v="21.2"/>
    <s v="10GC20S21"/>
    <s v="NO2+NO3"/>
  </r>
  <r>
    <n v="2011"/>
    <s v="April    "/>
    <x v="3"/>
    <n v="20.9"/>
    <s v="11GC20S01"/>
    <s v="Chlor-a"/>
  </r>
  <r>
    <n v="2011"/>
    <s v="April    "/>
    <x v="3"/>
    <n v="20.9"/>
    <s v="11GC20S01"/>
    <s v="NO2+NO3"/>
  </r>
  <r>
    <n v="2012"/>
    <s v="April    "/>
    <x v="3"/>
    <n v="21.4"/>
    <s v="12GC19S61"/>
    <s v="Chlor-a"/>
  </r>
  <r>
    <n v="2012"/>
    <s v="April    "/>
    <x v="3"/>
    <n v="21.4"/>
    <s v="12GC19S61"/>
    <s v="NO2+NO3"/>
  </r>
  <r>
    <n v="2008"/>
    <s v="August   "/>
    <x v="3"/>
    <n v="20.7"/>
    <s v="08GC43S21"/>
    <s v="Chlor-a"/>
  </r>
  <r>
    <n v="2008"/>
    <s v="August   "/>
    <x v="3"/>
    <n v="20.7"/>
    <s v="08GC43S21"/>
    <s v="NO2+NO3"/>
  </r>
  <r>
    <n v="2009"/>
    <s v="August   "/>
    <x v="3"/>
    <n v="21"/>
    <s v="09GC46S01"/>
    <s v="Chlor-a"/>
  </r>
  <r>
    <n v="2009"/>
    <s v="August   "/>
    <x v="3"/>
    <n v="21"/>
    <s v="09GC46S01"/>
    <s v="NO2+NO3"/>
  </r>
  <r>
    <n v="2010"/>
    <s v="August   "/>
    <x v="3"/>
    <n v="20.7"/>
    <s v="10GC43S21"/>
    <s v="Chlor-a"/>
  </r>
  <r>
    <n v="2010"/>
    <s v="August   "/>
    <x v="3"/>
    <n v="20.7"/>
    <s v="10GC43S21"/>
    <s v="NO2+NO3"/>
  </r>
  <r>
    <n v="2011"/>
    <s v="August   "/>
    <x v="3"/>
    <n v="21"/>
    <s v="11GC41S21"/>
    <s v="Chlor-a"/>
  </r>
  <r>
    <n v="2011"/>
    <s v="August   "/>
    <x v="3"/>
    <n v="21"/>
    <s v="11GC41S21"/>
    <s v="NO2+NO3"/>
  </r>
  <r>
    <n v="2012"/>
    <s v="August   "/>
    <x v="3"/>
    <n v="19.8"/>
    <s v="12GC52S81"/>
    <s v="Chlor-a"/>
  </r>
  <r>
    <n v="2012"/>
    <s v="August   "/>
    <x v="3"/>
    <n v="19.8"/>
    <s v="12GC52S81"/>
    <s v="NO2+NO3"/>
  </r>
  <r>
    <n v="2008"/>
    <s v="April    "/>
    <x v="4"/>
    <n v="22.8"/>
    <s v="08GC20S01"/>
    <s v="Chlor-a"/>
  </r>
  <r>
    <n v="2008"/>
    <s v="April    "/>
    <x v="4"/>
    <n v="22.8"/>
    <s v="08GC20S01"/>
    <s v="NO2+NO3"/>
  </r>
  <r>
    <n v="2009"/>
    <s v="April    "/>
    <x v="4"/>
    <n v="22.7"/>
    <s v="09GC19S81"/>
    <s v="Chlor-a"/>
  </r>
  <r>
    <n v="2009"/>
    <s v="April    "/>
    <x v="4"/>
    <n v="22.7"/>
    <s v="09GC19S81"/>
    <s v="NO2+NO3"/>
  </r>
  <r>
    <n v="2010"/>
    <s v="April    "/>
    <x v="4"/>
    <n v="22.5"/>
    <s v="10GC20S01"/>
    <s v="Chlor-a"/>
  </r>
  <r>
    <n v="2010"/>
    <s v="April    "/>
    <x v="4"/>
    <n v="22.5"/>
    <s v="10GC20S01"/>
    <s v="NO2+NO3"/>
  </r>
  <r>
    <n v="2011"/>
    <s v="April    "/>
    <x v="4"/>
    <n v="22.9"/>
    <s v="11GC19S81"/>
    <s v="Chlor-a"/>
  </r>
  <r>
    <n v="2011"/>
    <s v="April    "/>
    <x v="4"/>
    <n v="22.9"/>
    <s v="11GC19S81"/>
    <s v="NO2+NO3"/>
  </r>
  <r>
    <n v="2012"/>
    <s v="April    "/>
    <x v="4"/>
    <n v="22.6"/>
    <s v="12GC19S81"/>
    <s v="Chlor-a"/>
  </r>
  <r>
    <n v="2012"/>
    <s v="April    "/>
    <x v="4"/>
    <n v="22.6"/>
    <s v="12GC19S81"/>
    <s v="NO2+NO3"/>
  </r>
  <r>
    <n v="2008"/>
    <s v="August   "/>
    <x v="4"/>
    <n v="21.6"/>
    <s v="08GC43S01"/>
    <s v="Chlor-a"/>
  </r>
  <r>
    <n v="2008"/>
    <s v="August   "/>
    <x v="4"/>
    <n v="21.6"/>
    <s v="08GC43S01"/>
    <s v="NO2+NO3"/>
  </r>
  <r>
    <n v="2009"/>
    <s v="August   "/>
    <x v="4"/>
    <n v="21.9"/>
    <s v="09GC45S81"/>
    <s v="Chlor-a"/>
  </r>
  <r>
    <n v="2009"/>
    <s v="August   "/>
    <x v="4"/>
    <n v="21.9"/>
    <s v="09GC45S81"/>
    <s v="NO2+NO3"/>
  </r>
  <r>
    <n v="2010"/>
    <s v="August   "/>
    <x v="4"/>
    <n v="21.7"/>
    <s v="10GC43S01"/>
    <s v="Chlor-a"/>
  </r>
  <r>
    <n v="2010"/>
    <s v="August   "/>
    <x v="4"/>
    <n v="21.7"/>
    <s v="10GC43S01"/>
    <s v="NO2+NO3"/>
  </r>
  <r>
    <n v="2011"/>
    <s v="August   "/>
    <x v="4"/>
    <n v="22.2"/>
    <s v="11GC41S41"/>
    <s v="Chlor-a"/>
  </r>
  <r>
    <n v="2011"/>
    <s v="August   "/>
    <x v="4"/>
    <n v="22.2"/>
    <s v="11GC41S41"/>
    <s v="NO2+NO3"/>
  </r>
  <r>
    <n v="2012"/>
    <s v="August   "/>
    <x v="4"/>
    <n v="21.5"/>
    <s v="12GC53S01"/>
    <s v="Chlor-a"/>
  </r>
  <r>
    <n v="2012"/>
    <s v="August   "/>
    <x v="4"/>
    <n v="21.5"/>
    <s v="12GC53S01"/>
    <s v="NO2+NO3"/>
  </r>
  <r>
    <n v="2008"/>
    <s v="April    "/>
    <x v="5"/>
    <n v="23.2"/>
    <s v="08GC19S81"/>
    <s v="Chlor-a"/>
  </r>
  <r>
    <n v="2008"/>
    <s v="April    "/>
    <x v="5"/>
    <n v="23.2"/>
    <s v="08GC19S81"/>
    <s v="NO2+NO3"/>
  </r>
  <r>
    <n v="2009"/>
    <s v="April    "/>
    <x v="5"/>
    <n v="23.1"/>
    <s v="09GC19S61"/>
    <s v="Chlor-a"/>
  </r>
  <r>
    <n v="2009"/>
    <s v="April    "/>
    <x v="5"/>
    <n v="23.1"/>
    <s v="09GC19S61"/>
    <s v="NO2+NO3"/>
  </r>
  <r>
    <n v="2010"/>
    <s v="April    "/>
    <x v="5"/>
    <n v="22.9"/>
    <s v="10GC19S81"/>
    <s v="Chlor-a"/>
  </r>
  <r>
    <n v="2010"/>
    <s v="April    "/>
    <x v="5"/>
    <n v="22.9"/>
    <s v="10GC19S81"/>
    <s v="NO2+NO3"/>
  </r>
  <r>
    <n v="2011"/>
    <s v="April    "/>
    <x v="5"/>
    <n v="22.3"/>
    <s v="11GC19S61"/>
    <s v="Chlor-a"/>
  </r>
  <r>
    <n v="2011"/>
    <s v="April    "/>
    <x v="5"/>
    <n v="22.3"/>
    <s v="11GC19S61"/>
    <s v="NO2+NO3"/>
  </r>
  <r>
    <n v="2012"/>
    <s v="April    "/>
    <x v="5"/>
    <n v="23.1"/>
    <s v="12GC20S01"/>
    <s v="Chlor-a"/>
  </r>
  <r>
    <n v="2012"/>
    <s v="April    "/>
    <x v="5"/>
    <n v="23.1"/>
    <s v="12GC20S01"/>
    <s v="NO2+NO3"/>
  </r>
  <r>
    <n v="2008"/>
    <s v="August   "/>
    <x v="5"/>
    <n v="22"/>
    <s v="08GC42S81"/>
    <s v="Chlor-a"/>
  </r>
  <r>
    <n v="2008"/>
    <s v="August   "/>
    <x v="5"/>
    <n v="22"/>
    <s v="08GC42S81"/>
    <s v="NO2+NO3"/>
  </r>
  <r>
    <n v="2009"/>
    <s v="August   "/>
    <x v="5"/>
    <n v="22.4"/>
    <s v="09GC45S61"/>
    <s v="Chlor-a"/>
  </r>
  <r>
    <n v="2009"/>
    <s v="August   "/>
    <x v="5"/>
    <n v="22.4"/>
    <s v="09GC45S61"/>
    <s v="NO2+NO3"/>
  </r>
  <r>
    <n v="2010"/>
    <s v="August   "/>
    <x v="5"/>
    <n v="22.2"/>
    <s v="10GC42S81"/>
    <s v="Chlor-a"/>
  </r>
  <r>
    <n v="2010"/>
    <s v="August   "/>
    <x v="5"/>
    <n v="22.2"/>
    <s v="10GC42S81"/>
    <s v="NO2+NO3"/>
  </r>
  <r>
    <n v="2011"/>
    <s v="August   "/>
    <x v="5"/>
    <n v="22.4"/>
    <s v="11GC41S61"/>
    <s v="Chlor-a"/>
  </r>
  <r>
    <n v="2011"/>
    <s v="August   "/>
    <x v="5"/>
    <n v="22.4"/>
    <s v="11GC41S61"/>
    <s v="NO2+NO3"/>
  </r>
  <r>
    <n v="2012"/>
    <s v="August   "/>
    <x v="5"/>
    <n v="22.1"/>
    <s v="12GC53S21"/>
    <s v="Chlor-a"/>
  </r>
  <r>
    <n v="2012"/>
    <s v="August   "/>
    <x v="5"/>
    <n v="22.1"/>
    <s v="12GC53S21"/>
    <s v="NO2+NO3"/>
  </r>
  <r>
    <n v="2008"/>
    <s v="April    "/>
    <x v="6"/>
    <n v="23.8"/>
    <s v="08GC19S01"/>
    <s v="Chlor-a"/>
  </r>
  <r>
    <n v="2008"/>
    <s v="April    "/>
    <x v="6"/>
    <n v="23.8"/>
    <s v="08GC19S01"/>
    <s v="NO2+NO3"/>
  </r>
  <r>
    <n v="2009"/>
    <s v="April    "/>
    <x v="6"/>
    <n v="23.6"/>
    <s v="09GC18S81"/>
    <s v="Chlor-a"/>
  </r>
  <r>
    <n v="2009"/>
    <s v="April    "/>
    <x v="6"/>
    <n v="23.6"/>
    <s v="09GC18S81"/>
    <s v="NO2+NO3"/>
  </r>
  <r>
    <n v="2010"/>
    <s v="April    "/>
    <x v="6"/>
    <n v="23.6"/>
    <s v="10GC19S01"/>
    <s v="Chlor-a"/>
  </r>
  <r>
    <n v="2010"/>
    <s v="April    "/>
    <x v="6"/>
    <n v="23.6"/>
    <s v="10GC19S01"/>
    <s v="NO2+NO3"/>
  </r>
  <r>
    <n v="2011"/>
    <s v="April    "/>
    <x v="6"/>
    <n v="24"/>
    <s v="11GC18S81"/>
    <s v="Chlor-a"/>
  </r>
  <r>
    <n v="2011"/>
    <s v="April    "/>
    <x v="6"/>
    <n v="24"/>
    <s v="11GC18S81"/>
    <s v="NO2+NO3"/>
  </r>
  <r>
    <n v="2012"/>
    <s v="April    "/>
    <x v="6"/>
    <n v="23.8"/>
    <s v="12GC18S81"/>
    <s v="Chlor-a"/>
  </r>
  <r>
    <n v="2012"/>
    <s v="April    "/>
    <x v="6"/>
    <n v="23.8"/>
    <s v="12GC18S81"/>
    <s v="NO2+NO3"/>
  </r>
  <r>
    <n v="2008"/>
    <s v="August   "/>
    <x v="6"/>
    <n v="22.8"/>
    <s v="08GC42S01"/>
    <s v="Chlor-a"/>
  </r>
  <r>
    <n v="2008"/>
    <s v="August   "/>
    <x v="6"/>
    <n v="22.8"/>
    <s v="08GC42S01"/>
    <s v="NO2+NO3"/>
  </r>
  <r>
    <n v="2009"/>
    <s v="August   "/>
    <x v="6"/>
    <n v="23.2"/>
    <s v="09GC44S81"/>
    <s v="Chlor-a"/>
  </r>
  <r>
    <n v="2009"/>
    <s v="August   "/>
    <x v="6"/>
    <n v="23.2"/>
    <s v="09GC44S81"/>
    <s v="NO2+NO3"/>
  </r>
  <r>
    <n v="2010"/>
    <s v="August   "/>
    <x v="6"/>
    <n v="22.8"/>
    <s v="10GC42S01"/>
    <s v="Chlor-a"/>
  </r>
  <r>
    <n v="2010"/>
    <s v="August   "/>
    <x v="6"/>
    <n v="22.8"/>
    <s v="10GC42S01"/>
    <s v="NO2+NO3"/>
  </r>
  <r>
    <n v="2011"/>
    <s v="August   "/>
    <x v="6"/>
    <n v="23.3"/>
    <s v="11GC40S41"/>
    <s v="Chlor-a"/>
  </r>
  <r>
    <n v="2011"/>
    <s v="August   "/>
    <x v="6"/>
    <n v="23.3"/>
    <s v="11GC40S41"/>
    <s v="NO2+NO3"/>
  </r>
  <r>
    <n v="2012"/>
    <s v="August   "/>
    <x v="6"/>
    <n v="22.6"/>
    <s v="12GC52S01"/>
    <s v="Chlor-a"/>
  </r>
  <r>
    <n v="2012"/>
    <s v="August   "/>
    <x v="6"/>
    <n v="22.6"/>
    <s v="12GC52S01"/>
    <s v="NO2+NO3"/>
  </r>
  <r>
    <n v="2008"/>
    <s v="April    "/>
    <x v="7"/>
    <n v="24.6"/>
    <s v="08GC19S21"/>
    <s v="Chlor-a"/>
  </r>
  <r>
    <n v="2008"/>
    <s v="April    "/>
    <x v="7"/>
    <n v="24.6"/>
    <s v="08GC19S21"/>
    <s v="NO2+NO3"/>
  </r>
  <r>
    <n v="2009"/>
    <s v="April    "/>
    <x v="7"/>
    <n v="27.8"/>
    <s v="09GC19S01"/>
    <s v="Chlor-a"/>
  </r>
  <r>
    <n v="2009"/>
    <s v="April    "/>
    <x v="7"/>
    <n v="27.8"/>
    <s v="09GC19S01"/>
    <s v="NO2+NO3"/>
  </r>
  <r>
    <n v="2010"/>
    <s v="April    "/>
    <x v="7"/>
    <n v="24.5"/>
    <s v="10GC19S21"/>
    <s v="Chlor-a"/>
  </r>
  <r>
    <n v="2010"/>
    <s v="April    "/>
    <x v="7"/>
    <n v="24.5"/>
    <s v="10GC19S21"/>
    <s v="NO2+NO3"/>
  </r>
  <r>
    <n v="2011"/>
    <s v="April    "/>
    <x v="7"/>
    <n v="25"/>
    <s v="11GC19S01"/>
    <s v="Chlor-a"/>
  </r>
  <r>
    <n v="2011"/>
    <s v="April    "/>
    <x v="7"/>
    <n v="25"/>
    <s v="11GC19S01"/>
    <s v="NO2+NO3"/>
  </r>
  <r>
    <n v="2012"/>
    <s v="April    "/>
    <x v="7"/>
    <n v="24.6"/>
    <s v="12GC19I12"/>
    <s v="Chlor-a"/>
  </r>
  <r>
    <n v="2012"/>
    <s v="April    "/>
    <x v="7"/>
    <n v="24.6"/>
    <s v="12GC19I12"/>
    <s v="NO2+NO3"/>
  </r>
  <r>
    <n v="2008"/>
    <s v="August   "/>
    <x v="7"/>
    <n v="23.7"/>
    <s v="08GC42S21"/>
    <s v="Chlor-a"/>
  </r>
  <r>
    <n v="2008"/>
    <s v="August   "/>
    <x v="7"/>
    <n v="23.7"/>
    <s v="08GC42S21"/>
    <s v="NO2+NO3"/>
  </r>
  <r>
    <n v="2009"/>
    <s v="August   "/>
    <x v="7"/>
    <n v="24.2"/>
    <s v="09GC45S01"/>
    <s v="Chlor-a"/>
  </r>
  <r>
    <n v="2009"/>
    <s v="August   "/>
    <x v="7"/>
    <n v="24.2"/>
    <s v="09GC45S01"/>
    <s v="NO2+NO3"/>
  </r>
  <r>
    <n v="2010"/>
    <s v="August   "/>
    <x v="7"/>
    <n v="23.7"/>
    <s v="10GC42S21"/>
    <s v="Chlor-a"/>
  </r>
  <r>
    <n v="2010"/>
    <s v="August   "/>
    <x v="7"/>
    <n v="23.7"/>
    <s v="10GC42S21"/>
    <s v="NO2+NO3"/>
  </r>
  <r>
    <n v="2011"/>
    <s v="August   "/>
    <x v="7"/>
    <n v="23.8"/>
    <s v="11GC40S61"/>
    <s v="Chlor-a"/>
  </r>
  <r>
    <n v="2011"/>
    <s v="August   "/>
    <x v="7"/>
    <n v="23.8"/>
    <s v="11GC40S61"/>
    <s v="NO2+NO3"/>
  </r>
  <r>
    <n v="2012"/>
    <s v="August   "/>
    <x v="7"/>
    <n v="23.6"/>
    <s v="12GC52S21"/>
    <s v="Chlor-a"/>
  </r>
  <r>
    <n v="2012"/>
    <s v="August   "/>
    <x v="7"/>
    <n v="23.6"/>
    <s v="12GC52S21"/>
    <s v="NO2+NO3"/>
  </r>
  <r>
    <n v="2008"/>
    <s v="April    "/>
    <x v="8"/>
    <n v="22.7"/>
    <s v="08GC19S41"/>
    <s v="Chlor-a"/>
  </r>
  <r>
    <n v="2008"/>
    <s v="April    "/>
    <x v="8"/>
    <n v="22.7"/>
    <s v="08GC19S41"/>
    <s v="NO2+NO3"/>
  </r>
  <r>
    <n v="2009"/>
    <s v="April    "/>
    <x v="8"/>
    <n v="25.5"/>
    <s v="09GC19S21"/>
    <s v="Chlor-a"/>
  </r>
  <r>
    <n v="2009"/>
    <s v="April    "/>
    <x v="8"/>
    <n v="25.5"/>
    <s v="09GC19S21"/>
    <s v="NO2+NO3"/>
  </r>
  <r>
    <n v="2010"/>
    <s v="April    "/>
    <x v="8"/>
    <n v="22.3"/>
    <s v="10GC19S41"/>
    <s v="Chlor-a"/>
  </r>
  <r>
    <n v="2010"/>
    <s v="April    "/>
    <x v="8"/>
    <n v="22.3"/>
    <s v="10GC19S41"/>
    <s v="NO2+NO3"/>
  </r>
  <r>
    <n v="2011"/>
    <s v="April    "/>
    <x v="8"/>
    <n v="22.5"/>
    <s v="11GC19S21"/>
    <s v="Chlor-a"/>
  </r>
  <r>
    <n v="2011"/>
    <s v="April    "/>
    <x v="8"/>
    <n v="22.5"/>
    <s v="11GC19S21"/>
    <s v="NO2+NO3"/>
  </r>
  <r>
    <n v="2012"/>
    <s v="April    "/>
    <x v="8"/>
    <n v="22.5"/>
    <s v="12GC19S21"/>
    <s v="Chlor-a"/>
  </r>
  <r>
    <n v="2012"/>
    <s v="April    "/>
    <x v="8"/>
    <n v="22.5"/>
    <s v="12GC19S21"/>
    <s v="NO2+NO3"/>
  </r>
  <r>
    <n v="2008"/>
    <s v="August   "/>
    <x v="8"/>
    <n v="21.6"/>
    <s v="08GC42S41"/>
    <s v="Chlor-a"/>
  </r>
  <r>
    <n v="2008"/>
    <s v="August   "/>
    <x v="8"/>
    <n v="21.6"/>
    <s v="08GC42S41"/>
    <s v="NO2+NO3"/>
  </r>
  <r>
    <n v="2009"/>
    <s v="August   "/>
    <x v="8"/>
    <n v="22.2"/>
    <s v="09GC45S21"/>
    <s v="Chlor-a"/>
  </r>
  <r>
    <n v="2009"/>
    <s v="August   "/>
    <x v="8"/>
    <n v="22.2"/>
    <s v="09GC45S21"/>
    <s v="NO2+NO3"/>
  </r>
  <r>
    <n v="2010"/>
    <s v="August   "/>
    <x v="8"/>
    <n v="21.6"/>
    <s v="10GC42S41"/>
    <s v="Chlor-a"/>
  </r>
  <r>
    <n v="2010"/>
    <s v="August   "/>
    <x v="8"/>
    <n v="21.6"/>
    <s v="10GC42S41"/>
    <s v="NO2+NO3"/>
  </r>
  <r>
    <n v="2011"/>
    <s v="August   "/>
    <x v="8"/>
    <n v="22"/>
    <s v="11GC40S81"/>
    <s v="Chlor-a"/>
  </r>
  <r>
    <n v="2011"/>
    <s v="August   "/>
    <x v="8"/>
    <n v="22"/>
    <s v="11GC40S81"/>
    <s v="NO2+NO3"/>
  </r>
  <r>
    <n v="2012"/>
    <s v="August   "/>
    <x v="8"/>
    <n v="21.7"/>
    <s v="12GC52S41"/>
    <s v="Chlor-a"/>
  </r>
  <r>
    <n v="2012"/>
    <s v="August   "/>
    <x v="8"/>
    <n v="21.7"/>
    <s v="12GC52S41"/>
    <s v="NO2+NO3"/>
  </r>
  <r>
    <n v="2008"/>
    <s v="April    "/>
    <x v="9"/>
    <n v="22.8"/>
    <s v="08GC18S61"/>
    <s v="Chlor-a"/>
  </r>
  <r>
    <n v="2008"/>
    <s v="April    "/>
    <x v="9"/>
    <n v="22.8"/>
    <s v="08GC18S61"/>
    <s v="NO2+NO3"/>
  </r>
  <r>
    <n v="2009"/>
    <s v="April    "/>
    <x v="9"/>
    <n v="22.9"/>
    <s v="09GC18S41"/>
    <s v="Chlor-a"/>
  </r>
  <r>
    <n v="2009"/>
    <s v="April    "/>
    <x v="9"/>
    <n v="22.9"/>
    <s v="09GC18S41"/>
    <s v="NO2+NO3"/>
  </r>
  <r>
    <n v="2010"/>
    <s v="April    "/>
    <x v="9"/>
    <n v="22.5"/>
    <s v="10GC18S61"/>
    <s v="Chlor-a"/>
  </r>
  <r>
    <n v="2010"/>
    <s v="April    "/>
    <x v="9"/>
    <n v="22.5"/>
    <s v="10GC18S61"/>
    <s v="NO2+NO3"/>
  </r>
  <r>
    <n v="2011"/>
    <s v="April    "/>
    <x v="9"/>
    <n v="23"/>
    <s v="11GC18S41"/>
    <s v="Chlor-a"/>
  </r>
  <r>
    <n v="2011"/>
    <s v="April    "/>
    <x v="9"/>
    <n v="23"/>
    <s v="11GC18S41"/>
    <s v="NO2+NO3"/>
  </r>
  <r>
    <n v="2012"/>
    <s v="April    "/>
    <x v="9"/>
    <n v="22.9"/>
    <s v="12GC18S21"/>
    <s v="Chlor-a"/>
  </r>
  <r>
    <n v="2012"/>
    <s v="April    "/>
    <x v="9"/>
    <n v="22.9"/>
    <s v="12GC18S21"/>
    <s v="NO2+NO3"/>
  </r>
  <r>
    <n v="2008"/>
    <s v="August   "/>
    <x v="9"/>
    <n v="22"/>
    <s v="08GC41S61"/>
    <s v="Chlor-a"/>
  </r>
  <r>
    <n v="2008"/>
    <s v="August   "/>
    <x v="9"/>
    <n v="22"/>
    <s v="08GC41S61"/>
    <s v="NO2+NO3"/>
  </r>
  <r>
    <n v="2009"/>
    <s v="August   "/>
    <x v="9"/>
    <n v="22.4"/>
    <s v="09GC44S41"/>
    <s v="Chlor-a"/>
  </r>
  <r>
    <n v="2009"/>
    <s v="August   "/>
    <x v="9"/>
    <n v="22.4"/>
    <s v="09GC44S41"/>
    <s v="NO2+NO3"/>
  </r>
  <r>
    <n v="2010"/>
    <s v="August   "/>
    <x v="9"/>
    <n v="22"/>
    <s v="10GC41S61"/>
    <s v="Chlor-a"/>
  </r>
  <r>
    <n v="2010"/>
    <s v="August   "/>
    <x v="9"/>
    <n v="22"/>
    <s v="10GC41S61"/>
    <s v="NO2+NO3"/>
  </r>
  <r>
    <n v="2011"/>
    <s v="August   "/>
    <x v="9"/>
    <n v="22"/>
    <s v="11GC39S81"/>
    <s v="Chlor-a"/>
  </r>
  <r>
    <n v="2011"/>
    <s v="August   "/>
    <x v="9"/>
    <n v="22"/>
    <s v="11GC39S81"/>
    <s v="NO2+NO3"/>
  </r>
  <r>
    <n v="2012"/>
    <s v="August   "/>
    <x v="9"/>
    <n v="21.5"/>
    <s v="12GC51S41"/>
    <s v="Chlor-a"/>
  </r>
  <r>
    <n v="2012"/>
    <s v="August   "/>
    <x v="9"/>
    <n v="21.5"/>
    <s v="12GC51S41"/>
    <s v="NO2+NO3"/>
  </r>
  <r>
    <n v="2008"/>
    <s v="April    "/>
    <x v="10"/>
    <n v="22.7"/>
    <s v="08GC18S41"/>
    <s v="Chlor-a"/>
  </r>
  <r>
    <n v="2008"/>
    <s v="April    "/>
    <x v="10"/>
    <n v="22.7"/>
    <s v="08GC18S41"/>
    <s v="NO2+NO3"/>
  </r>
  <r>
    <n v="2009"/>
    <s v="April    "/>
    <x v="10"/>
    <n v="23"/>
    <s v="09GC18S21"/>
    <s v="Chlor-a"/>
  </r>
  <r>
    <n v="2009"/>
    <s v="April    "/>
    <x v="10"/>
    <n v="23"/>
    <s v="09GC18S21"/>
    <s v="NO2+NO3"/>
  </r>
  <r>
    <n v="2010"/>
    <s v="April    "/>
    <x v="10"/>
    <n v="22.6"/>
    <s v="10GC18S41"/>
    <s v="Chlor-a"/>
  </r>
  <r>
    <n v="2010"/>
    <s v="April    "/>
    <x v="10"/>
    <n v="22.6"/>
    <s v="10GC18S41"/>
    <s v="NO2+NO3"/>
  </r>
  <r>
    <n v="2011"/>
    <s v="April    "/>
    <x v="10"/>
    <n v="22.8"/>
    <s v="11GC18S21"/>
    <s v="Chlor-a"/>
  </r>
  <r>
    <n v="2011"/>
    <s v="April    "/>
    <x v="10"/>
    <n v="22.8"/>
    <s v="11GC18S21"/>
    <s v="NO2+NO3"/>
  </r>
  <r>
    <n v="2012"/>
    <s v="April    "/>
    <x v="10"/>
    <n v="22.7"/>
    <s v="12GC18S41"/>
    <s v="Chlor-a"/>
  </r>
  <r>
    <n v="2012"/>
    <s v="April    "/>
    <x v="10"/>
    <n v="22.7"/>
    <s v="12GC18S41"/>
    <s v="NO2+NO3"/>
  </r>
  <r>
    <n v="2008"/>
    <s v="August   "/>
    <x v="10"/>
    <n v="21.9"/>
    <s v="08GC41S41"/>
    <s v="Chlor-a"/>
  </r>
  <r>
    <n v="2008"/>
    <s v="August   "/>
    <x v="10"/>
    <n v="21.9"/>
    <s v="08GC41S41"/>
    <s v="NO2+NO3"/>
  </r>
  <r>
    <n v="2009"/>
    <s v="August   "/>
    <x v="10"/>
    <n v="21.9"/>
    <s v="09GC44S21"/>
    <s v="Chlor-a"/>
  </r>
  <r>
    <n v="2009"/>
    <s v="August   "/>
    <x v="10"/>
    <n v="21.9"/>
    <s v="09GC44S21"/>
    <s v="NO2+NO3"/>
  </r>
  <r>
    <n v="2010"/>
    <s v="August   "/>
    <x v="10"/>
    <n v="21.9"/>
    <s v="10GC41S41"/>
    <s v="Chlor-a"/>
  </r>
  <r>
    <n v="2010"/>
    <s v="August   "/>
    <x v="10"/>
    <n v="21.9"/>
    <s v="10GC41S41"/>
    <s v="NO2+NO3"/>
  </r>
  <r>
    <n v="2011"/>
    <s v="August   "/>
    <x v="10"/>
    <n v="20.9"/>
    <s v="11GC40S01"/>
    <s v="Chlor-a"/>
  </r>
  <r>
    <n v="2011"/>
    <s v="August   "/>
    <x v="10"/>
    <n v="20.9"/>
    <s v="11GC40S01"/>
    <s v="NO2+NO3"/>
  </r>
  <r>
    <n v="2012"/>
    <s v="August   "/>
    <x v="10"/>
    <n v="21.6"/>
    <s v="12GC51S71"/>
    <s v="Chlor-a"/>
  </r>
  <r>
    <n v="2012"/>
    <s v="August   "/>
    <x v="10"/>
    <n v="21.6"/>
    <s v="12GC51S71"/>
    <s v="NO2+NO3"/>
  </r>
  <r>
    <n v="2008"/>
    <s v="April    "/>
    <x v="11"/>
    <n v="9.6999999999999993"/>
    <s v="08GC17S61"/>
    <s v="Chlor-a"/>
  </r>
  <r>
    <n v="2008"/>
    <s v="April    "/>
    <x v="11"/>
    <n v="9.6999999999999993"/>
    <s v="08GC17S61"/>
    <s v="NO2+NO3"/>
  </r>
  <r>
    <n v="2009"/>
    <s v="April    "/>
    <x v="11"/>
    <n v="12.8"/>
    <s v="09GC17S61"/>
    <s v="Chlor-a"/>
  </r>
  <r>
    <n v="2009"/>
    <s v="April    "/>
    <x v="11"/>
    <n v="12.8"/>
    <s v="09GC17S61"/>
    <s v="NO2+NO3"/>
  </r>
  <r>
    <n v="2010"/>
    <s v="April    "/>
    <x v="11"/>
    <n v="9.5"/>
    <s v="10GC17S61"/>
    <s v="Chlor-a"/>
  </r>
  <r>
    <n v="2010"/>
    <s v="April    "/>
    <x v="11"/>
    <n v="9.5"/>
    <s v="10GC17S61"/>
    <s v="NO2+NO3"/>
  </r>
  <r>
    <n v="2011"/>
    <s v="April    "/>
    <x v="11"/>
    <n v="9.6"/>
    <s v="11GC17S61"/>
    <s v="Chlor-a"/>
  </r>
  <r>
    <n v="2011"/>
    <s v="April    "/>
    <x v="11"/>
    <n v="9.6"/>
    <s v="11GC17S61"/>
    <s v="NO2+NO3"/>
  </r>
  <r>
    <n v="2012"/>
    <s v="April    "/>
    <x v="11"/>
    <n v="9.6"/>
    <s v="12GC20S21"/>
    <s v="Chlor-a"/>
  </r>
  <r>
    <n v="2012"/>
    <s v="April    "/>
    <x v="11"/>
    <n v="9.6"/>
    <s v="12GC20S21"/>
    <s v="NO2+NO3"/>
  </r>
  <r>
    <n v="2008"/>
    <s v="August   "/>
    <x v="11"/>
    <n v="9.3000000000000007"/>
    <s v="08GC40S61"/>
    <s v="Chlor-a"/>
  </r>
  <r>
    <n v="2008"/>
    <s v="August   "/>
    <x v="11"/>
    <n v="9.3000000000000007"/>
    <s v="08GC40S61"/>
    <s v="NO2+NO3"/>
  </r>
  <r>
    <n v="2009"/>
    <s v="August   "/>
    <x v="11"/>
    <n v="9.3000000000000007"/>
    <s v="09GC43S61"/>
    <s v="Chlor-a"/>
  </r>
  <r>
    <n v="2009"/>
    <s v="August   "/>
    <x v="11"/>
    <n v="9.3000000000000007"/>
    <s v="09GC43S61"/>
    <s v="NO2+NO3"/>
  </r>
  <r>
    <n v="2010"/>
    <s v="August   "/>
    <x v="11"/>
    <n v="9.1999999999999993"/>
    <s v="10GC40S61"/>
    <s v="Chlor-a"/>
  </r>
  <r>
    <n v="2010"/>
    <s v="August   "/>
    <x v="11"/>
    <n v="9.1999999999999993"/>
    <s v="10GC40S61"/>
    <s v="NO2+NO3"/>
  </r>
  <r>
    <n v="2011"/>
    <s v="August   "/>
    <x v="11"/>
    <n v="9.4"/>
    <s v="11GC41S81"/>
    <s v="Chlor-a"/>
  </r>
  <r>
    <n v="2011"/>
    <s v="August   "/>
    <x v="11"/>
    <n v="9.4"/>
    <s v="11GC41S81"/>
    <s v="NO2+NO3"/>
  </r>
  <r>
    <n v="2012"/>
    <s v="August   "/>
    <x v="11"/>
    <n v="9.1999999999999993"/>
    <s v="12GC53S41"/>
    <s v="Chlor-a"/>
  </r>
  <r>
    <n v="2012"/>
    <s v="August   "/>
    <x v="11"/>
    <n v="9.1999999999999993"/>
    <s v="12GC53S41"/>
    <s v="NO2+NO3"/>
  </r>
  <r>
    <n v="2008"/>
    <s v="April    "/>
    <x v="12"/>
    <n v="8.3000000000000007"/>
    <s v="08GC17S41"/>
    <s v="Chlor-a"/>
  </r>
  <r>
    <n v="2008"/>
    <s v="April    "/>
    <x v="12"/>
    <n v="8.3000000000000007"/>
    <s v="08GC17S41"/>
    <s v="NO2+NO3"/>
  </r>
  <r>
    <n v="2009"/>
    <s v="April    "/>
    <x v="12"/>
    <n v="8.3000000000000007"/>
    <s v="09GC17S41"/>
    <s v="Chlor-a"/>
  </r>
  <r>
    <n v="2009"/>
    <s v="April    "/>
    <x v="12"/>
    <n v="8.3000000000000007"/>
    <s v="09GC17S41"/>
    <s v="NO2+NO3"/>
  </r>
  <r>
    <n v="2010"/>
    <s v="April    "/>
    <x v="12"/>
    <n v="8"/>
    <s v="10GC17S41"/>
    <s v="Chlor-a"/>
  </r>
  <r>
    <n v="2010"/>
    <s v="April    "/>
    <x v="12"/>
    <n v="8"/>
    <s v="10GC17S41"/>
    <s v="NO2+NO3"/>
  </r>
  <r>
    <n v="2011"/>
    <s v="April    "/>
    <x v="12"/>
    <n v="8.1"/>
    <s v="11GC17S41"/>
    <s v="Chlor-a"/>
  </r>
  <r>
    <n v="2011"/>
    <s v="April    "/>
    <x v="12"/>
    <n v="8.1"/>
    <s v="11GC17S41"/>
    <s v="NO2+NO3"/>
  </r>
  <r>
    <n v="2012"/>
    <s v="April    "/>
    <x v="12"/>
    <n v="8.1999999999999993"/>
    <s v="12GC20S41"/>
    <s v="Chlor-a"/>
  </r>
  <r>
    <n v="2012"/>
    <s v="April    "/>
    <x v="12"/>
    <n v="8.1999999999999993"/>
    <s v="12GC20S41"/>
    <s v="NO2+NO3"/>
  </r>
  <r>
    <n v="2008"/>
    <s v="August   "/>
    <x v="12"/>
    <n v="8"/>
    <s v="08GC40S41"/>
    <s v="Chlor-a"/>
  </r>
  <r>
    <n v="2008"/>
    <s v="August   "/>
    <x v="12"/>
    <n v="8"/>
    <s v="08GC40S41"/>
    <s v="NO2+NO3"/>
  </r>
  <r>
    <n v="2009"/>
    <s v="August   "/>
    <x v="12"/>
    <n v="8"/>
    <s v="09GC43S41"/>
    <s v="Chlor-a"/>
  </r>
  <r>
    <n v="2009"/>
    <s v="August   "/>
    <x v="12"/>
    <n v="8"/>
    <s v="09GC43S41"/>
    <s v="NO2+NO3"/>
  </r>
  <r>
    <n v="2010"/>
    <s v="August   "/>
    <x v="12"/>
    <n v="7.9"/>
    <s v="10GC40S41"/>
    <s v="Chlor-a"/>
  </r>
  <r>
    <n v="2010"/>
    <s v="August   "/>
    <x v="12"/>
    <n v="7.9"/>
    <s v="10GC40S41"/>
    <s v="NO2+NO3"/>
  </r>
  <r>
    <n v="2011"/>
    <s v="August   "/>
    <x v="12"/>
    <n v="8"/>
    <s v="11GC42S01"/>
    <s v="Chlor-a"/>
  </r>
  <r>
    <n v="2011"/>
    <s v="August   "/>
    <x v="12"/>
    <n v="8"/>
    <s v="11GC42S01"/>
    <s v="NO2+NO3"/>
  </r>
  <r>
    <n v="2012"/>
    <s v="August   "/>
    <x v="12"/>
    <n v="7.7"/>
    <s v="12GC53S61"/>
    <s v="Chlor-a"/>
  </r>
  <r>
    <n v="2012"/>
    <s v="August   "/>
    <x v="12"/>
    <n v="7.7"/>
    <s v="12GC53S61"/>
    <s v="NO2+NO3"/>
  </r>
  <r>
    <n v="2008"/>
    <s v="April    "/>
    <x v="13"/>
    <n v="8.6"/>
    <s v="08GC17S21"/>
    <s v="Chlor-a"/>
  </r>
  <r>
    <n v="2008"/>
    <s v="April    "/>
    <x v="13"/>
    <n v="8.6"/>
    <s v="08GC17S21"/>
    <s v="NO2+NO3"/>
  </r>
  <r>
    <n v="2009"/>
    <s v="April    "/>
    <x v="13"/>
    <n v="8.6"/>
    <s v="09GC17S21"/>
    <s v="Chlor-a"/>
  </r>
  <r>
    <n v="2009"/>
    <s v="April    "/>
    <x v="13"/>
    <n v="8.6"/>
    <s v="09GC17S21"/>
    <s v="NO2+NO3"/>
  </r>
  <r>
    <n v="2010"/>
    <s v="April    "/>
    <x v="13"/>
    <n v="8.3000000000000007"/>
    <s v="10GC17S21"/>
    <s v="Chlor-a"/>
  </r>
  <r>
    <n v="2010"/>
    <s v="April    "/>
    <x v="13"/>
    <n v="8.3000000000000007"/>
    <s v="10GC17S21"/>
    <s v="NO2+NO3"/>
  </r>
  <r>
    <n v="2011"/>
    <s v="April    "/>
    <x v="13"/>
    <n v="8.4"/>
    <s v="11GC17S21"/>
    <s v="Chlor-a"/>
  </r>
  <r>
    <n v="2011"/>
    <s v="April    "/>
    <x v="13"/>
    <n v="8.4"/>
    <s v="11GC17S21"/>
    <s v="NO2+NO3"/>
  </r>
  <r>
    <n v="2012"/>
    <s v="April    "/>
    <x v="13"/>
    <n v="8.5"/>
    <s v="12GC20S61"/>
    <s v="Chlor-a"/>
  </r>
  <r>
    <n v="2012"/>
    <s v="April    "/>
    <x v="13"/>
    <n v="8.5"/>
    <s v="12GC20S61"/>
    <s v="NO2+NO3"/>
  </r>
  <r>
    <n v="2008"/>
    <s v="August   "/>
    <x v="13"/>
    <n v="8.1"/>
    <s v="08GC40S21"/>
    <s v="Chlor-a"/>
  </r>
  <r>
    <n v="2008"/>
    <s v="August   "/>
    <x v="13"/>
    <n v="8.1"/>
    <s v="08GC40S21"/>
    <s v="NO2+NO3"/>
  </r>
  <r>
    <n v="2009"/>
    <s v="August   "/>
    <x v="13"/>
    <n v="8.1999999999999993"/>
    <s v="09GC43S21"/>
    <s v="Chlor-a"/>
  </r>
  <r>
    <n v="2009"/>
    <s v="August   "/>
    <x v="13"/>
    <n v="8.1999999999999993"/>
    <s v="09GC43S21"/>
    <s v="NO2+NO3"/>
  </r>
  <r>
    <n v="2010"/>
    <s v="August   "/>
    <x v="13"/>
    <n v="8.3000000000000007"/>
    <s v="10GC40S21"/>
    <s v="Chlor-a"/>
  </r>
  <r>
    <n v="2010"/>
    <s v="August   "/>
    <x v="13"/>
    <n v="8.3000000000000007"/>
    <s v="10GC40S21"/>
    <s v="NO2+NO3"/>
  </r>
  <r>
    <n v="2011"/>
    <s v="August   "/>
    <x v="13"/>
    <n v="8.3000000000000007"/>
    <s v="11GC42S21"/>
    <s v="Chlor-a"/>
  </r>
  <r>
    <n v="2011"/>
    <s v="August   "/>
    <x v="13"/>
    <n v="8.3000000000000007"/>
    <s v="11GC42S21"/>
    <s v="NO2+NO3"/>
  </r>
  <r>
    <n v="2012"/>
    <s v="August   "/>
    <x v="13"/>
    <n v="8.1"/>
    <s v="12GC53S81"/>
    <s v="Chlor-a"/>
  </r>
  <r>
    <n v="2012"/>
    <s v="August   "/>
    <x v="13"/>
    <n v="8.1"/>
    <s v="12GC53S81"/>
    <s v="NO2+NO3"/>
  </r>
  <r>
    <n v="2008"/>
    <s v="April    "/>
    <x v="14"/>
    <n v="9.3000000000000007"/>
    <s v="08GC17S01"/>
    <s v="Chlor-a"/>
  </r>
  <r>
    <n v="2008"/>
    <s v="April    "/>
    <x v="14"/>
    <n v="9.3000000000000007"/>
    <s v="08GC17S01"/>
    <s v="NO2+NO3"/>
  </r>
  <r>
    <n v="2009"/>
    <s v="April    "/>
    <x v="14"/>
    <n v="9.5"/>
    <s v="09GC17S01"/>
    <s v="Chlor-a"/>
  </r>
  <r>
    <n v="2009"/>
    <s v="April    "/>
    <x v="14"/>
    <n v="9.5"/>
    <s v="09GC17S01"/>
    <s v="NO2+NO3"/>
  </r>
  <r>
    <n v="2010"/>
    <s v="April    "/>
    <x v="14"/>
    <n v="8.9"/>
    <s v="10GC17S01"/>
    <s v="Chlor-a"/>
  </r>
  <r>
    <n v="2010"/>
    <s v="April    "/>
    <x v="14"/>
    <n v="8.9"/>
    <s v="10GC17S01"/>
    <s v="NO2+NO3"/>
  </r>
  <r>
    <n v="2011"/>
    <s v="April    "/>
    <x v="14"/>
    <n v="9.1"/>
    <s v="11GC17S01"/>
    <s v="Chlor-a"/>
  </r>
  <r>
    <n v="2011"/>
    <s v="April    "/>
    <x v="14"/>
    <n v="9.1"/>
    <s v="11GC17S01"/>
    <s v="NO2+NO3"/>
  </r>
  <r>
    <n v="2012"/>
    <s v="April    "/>
    <x v="14"/>
    <n v="9.1"/>
    <s v="12GC20S81"/>
    <s v="Chlor-a"/>
  </r>
  <r>
    <n v="2012"/>
    <s v="April    "/>
    <x v="14"/>
    <n v="9.1"/>
    <s v="12GC20S81"/>
    <s v="NO2+NO3"/>
  </r>
  <r>
    <n v="2008"/>
    <s v="August   "/>
    <x v="14"/>
    <n v="9.1"/>
    <s v="08GC40S01"/>
    <s v="Chlor-a"/>
  </r>
  <r>
    <n v="2008"/>
    <s v="August   "/>
    <x v="14"/>
    <n v="9.1"/>
    <s v="08GC40S01"/>
    <s v="NO2+NO3"/>
  </r>
  <r>
    <n v="2009"/>
    <s v="August   "/>
    <x v="14"/>
    <n v="9.5"/>
    <s v="09GC43S01"/>
    <s v="Chlor-a"/>
  </r>
  <r>
    <n v="2009"/>
    <s v="August   "/>
    <x v="14"/>
    <n v="9.5"/>
    <s v="09GC43S01"/>
    <s v="NO2+NO3"/>
  </r>
  <r>
    <n v="2010"/>
    <s v="August   "/>
    <x v="14"/>
    <n v="8.6"/>
    <s v="10GC40S01"/>
    <s v="Chlor-a"/>
  </r>
  <r>
    <n v="2010"/>
    <s v="August   "/>
    <x v="14"/>
    <n v="8.6"/>
    <s v="10GC40S01"/>
    <s v="NO2+NO3"/>
  </r>
  <r>
    <n v="2011"/>
    <s v="August   "/>
    <x v="14"/>
    <n v="9"/>
    <s v="11GC42S41"/>
    <s v="Chlor-a"/>
  </r>
  <r>
    <n v="2011"/>
    <s v="August   "/>
    <x v="14"/>
    <n v="9"/>
    <s v="11GC42S41"/>
    <s v="NO2+NO3"/>
  </r>
  <r>
    <n v="2012"/>
    <s v="August   "/>
    <x v="14"/>
    <n v="8.6999999999999993"/>
    <s v="12GC54S01"/>
    <s v="Chlor-a"/>
  </r>
  <r>
    <n v="2012"/>
    <s v="August   "/>
    <x v="14"/>
    <n v="8.6999999999999993"/>
    <s v="12GC54S01"/>
    <s v="NO2+NO3"/>
  </r>
  <r>
    <n v="2008"/>
    <s v="April    "/>
    <x v="15"/>
    <n v="46.7"/>
    <s v="08GC20S61"/>
    <s v="Chlor-a"/>
  </r>
  <r>
    <n v="2008"/>
    <s v="April    "/>
    <x v="15"/>
    <n v="46.7"/>
    <s v="08GC20S61"/>
    <s v="NO2+NO3"/>
  </r>
  <r>
    <n v="2009"/>
    <s v="April    "/>
    <x v="15"/>
    <n v="48.7"/>
    <s v="09GC20S41"/>
    <s v="Chlor-a"/>
  </r>
  <r>
    <n v="2009"/>
    <s v="April    "/>
    <x v="15"/>
    <n v="48.7"/>
    <s v="09GC20S41"/>
    <s v="NO2+NO3"/>
  </r>
  <r>
    <n v="2010"/>
    <s v="April    "/>
    <x v="15"/>
    <n v="46.6"/>
    <s v="10GC20S61"/>
    <s v="Chlor-a"/>
  </r>
  <r>
    <n v="2010"/>
    <s v="April    "/>
    <x v="15"/>
    <n v="46.6"/>
    <s v="10GC20S61"/>
    <s v="NO2+NO3"/>
  </r>
  <r>
    <n v="2011"/>
    <s v="April    "/>
    <x v="15"/>
    <n v="46.7"/>
    <s v="11GC20S41"/>
    <s v="Chlor-a"/>
  </r>
  <r>
    <n v="2011"/>
    <s v="April    "/>
    <x v="15"/>
    <n v="46.7"/>
    <s v="11GC20S41"/>
    <s v="NO2+NO3"/>
  </r>
  <r>
    <n v="2012"/>
    <s v="April    "/>
    <x v="15"/>
    <n v="46.7"/>
    <s v="12GC17S61"/>
    <s v="Chlor-a"/>
  </r>
  <r>
    <n v="2012"/>
    <s v="April    "/>
    <x v="15"/>
    <n v="46.7"/>
    <s v="12GC17S61"/>
    <s v="NO2+NO3"/>
  </r>
  <r>
    <n v="2008"/>
    <s v="August   "/>
    <x v="15"/>
    <n v="45.7"/>
    <s v="08GC43S61"/>
    <s v="Chlor-a"/>
  </r>
  <r>
    <n v="2008"/>
    <s v="August   "/>
    <x v="15"/>
    <n v="45.7"/>
    <s v="08GC43S61"/>
    <s v="NO2+NO3"/>
  </r>
  <r>
    <n v="2009"/>
    <s v="August   "/>
    <x v="15"/>
    <n v="45.7"/>
    <s v="09GC46S41"/>
    <s v="Chlor-a"/>
  </r>
  <r>
    <n v="2009"/>
    <s v="August   "/>
    <x v="15"/>
    <n v="45.7"/>
    <s v="09GC46S41"/>
    <s v="NO2+NO3"/>
  </r>
  <r>
    <n v="2010"/>
    <s v="August   "/>
    <x v="15"/>
    <n v="45.7"/>
    <s v="10GC43S61"/>
    <s v="Chlor-a"/>
  </r>
  <r>
    <n v="2010"/>
    <s v="August   "/>
    <x v="15"/>
    <n v="45.7"/>
    <s v="10GC43S61"/>
    <s v="NO2+NO3"/>
  </r>
  <r>
    <n v="2011"/>
    <s v="August   "/>
    <x v="15"/>
    <n v="45.7"/>
    <s v="11GC39S21"/>
    <s v="Chlor-a"/>
  </r>
  <r>
    <n v="2011"/>
    <s v="August   "/>
    <x v="15"/>
    <n v="45.7"/>
    <s v="11GC39S21"/>
    <s v="NO2+NO3"/>
  </r>
  <r>
    <n v="2012"/>
    <s v="August   "/>
    <x v="15"/>
    <n v="37.9"/>
    <s v="12GC50S81"/>
    <s v="Chlor-a"/>
  </r>
  <r>
    <n v="2012"/>
    <s v="August   "/>
    <x v="15"/>
    <n v="37.9"/>
    <s v="12GC50S81"/>
    <s v="NO2+NO3"/>
  </r>
  <r>
    <n v="2008"/>
    <s v="April    "/>
    <x v="16"/>
    <n v="24.8"/>
    <s v="08GC18S81"/>
    <s v="Chlor-a"/>
  </r>
  <r>
    <n v="2008"/>
    <s v="April    "/>
    <x v="16"/>
    <n v="24.8"/>
    <s v="08GC18S81"/>
    <s v="NO2+NO3"/>
  </r>
  <r>
    <n v="2009"/>
    <s v="April    "/>
    <x v="16"/>
    <n v="24.9"/>
    <s v="09GC18S61"/>
    <s v="Chlor-a"/>
  </r>
  <r>
    <n v="2009"/>
    <s v="April    "/>
    <x v="16"/>
    <n v="24.9"/>
    <s v="09GC18S61"/>
    <s v="NO2+NO3"/>
  </r>
  <r>
    <n v="2010"/>
    <s v="April    "/>
    <x v="16"/>
    <n v="24.6"/>
    <s v="10GC18S81"/>
    <s v="Chlor-a"/>
  </r>
  <r>
    <n v="2010"/>
    <s v="April    "/>
    <x v="16"/>
    <n v="24.6"/>
    <s v="10GC18S81"/>
    <s v="NO2+NO3"/>
  </r>
  <r>
    <n v="2011"/>
    <s v="April    "/>
    <x v="16"/>
    <n v="25"/>
    <s v="11GC18S61"/>
    <s v="Chlor-a"/>
  </r>
  <r>
    <n v="2011"/>
    <s v="April    "/>
    <x v="16"/>
    <n v="25"/>
    <s v="11GC18S61"/>
    <s v="NO2+NO3"/>
  </r>
  <r>
    <n v="2012"/>
    <s v="April    "/>
    <x v="16"/>
    <n v="24.8"/>
    <s v="12GC18S61"/>
    <s v="Chlor-a"/>
  </r>
  <r>
    <n v="2012"/>
    <s v="April    "/>
    <x v="16"/>
    <n v="24.8"/>
    <s v="12GC18S61"/>
    <s v="NO2+NO3"/>
  </r>
  <r>
    <n v="2008"/>
    <s v="August   "/>
    <x v="16"/>
    <n v="23.8"/>
    <s v="08GC41S81"/>
    <s v="Chlor-a"/>
  </r>
  <r>
    <n v="2008"/>
    <s v="August   "/>
    <x v="16"/>
    <n v="23.8"/>
    <s v="08GC41S81"/>
    <s v="NO2+NO3"/>
  </r>
  <r>
    <n v="2009"/>
    <s v="August   "/>
    <x v="16"/>
    <n v="24.2"/>
    <s v="09GC44S61"/>
    <s v="Chlor-a"/>
  </r>
  <r>
    <n v="2009"/>
    <s v="August   "/>
    <x v="16"/>
    <n v="24.2"/>
    <s v="09GC44S61"/>
    <s v="NO2+NO3"/>
  </r>
  <r>
    <n v="2010"/>
    <s v="August   "/>
    <x v="16"/>
    <n v="23.6"/>
    <s v="10GC41S81"/>
    <s v="Chlor-a"/>
  </r>
  <r>
    <n v="2010"/>
    <s v="August   "/>
    <x v="16"/>
    <n v="23.6"/>
    <s v="10GC41S81"/>
    <s v="NO2+NO3"/>
  </r>
  <r>
    <n v="2011"/>
    <s v="August   "/>
    <x v="16"/>
    <n v="24.5"/>
    <s v="11GC40S21"/>
    <s v="Chlor-a"/>
  </r>
  <r>
    <n v="2011"/>
    <s v="August   "/>
    <x v="16"/>
    <n v="24.5"/>
    <s v="11GC40S21"/>
    <s v="NO2+NO3"/>
  </r>
  <r>
    <n v="2012"/>
    <s v="August   "/>
    <x v="16"/>
    <n v="23.5"/>
    <s v="12GC51S81"/>
    <s v="Chlor-a"/>
  </r>
  <r>
    <n v="2012"/>
    <s v="August   "/>
    <x v="16"/>
    <n v="23.5"/>
    <s v="12GC51S81"/>
    <s v="NO2+NO3"/>
  </r>
  <r>
    <n v="2008"/>
    <s v="April    "/>
    <x v="17"/>
    <n v="23.5"/>
    <s v="08GC19S61"/>
    <s v="Chlor-a"/>
  </r>
  <r>
    <n v="2008"/>
    <s v="April    "/>
    <x v="17"/>
    <n v="23.5"/>
    <s v="08GC19S61"/>
    <s v="NO2+NO3"/>
  </r>
  <r>
    <n v="2009"/>
    <s v="April    "/>
    <x v="17"/>
    <n v="23.5"/>
    <s v="09GC19S41"/>
    <s v="Chlor-a"/>
  </r>
  <r>
    <n v="2009"/>
    <s v="April    "/>
    <x v="17"/>
    <n v="23.5"/>
    <s v="09GC19S41"/>
    <s v="NO2+NO3"/>
  </r>
  <r>
    <n v="2010"/>
    <s v="April    "/>
    <x v="17"/>
    <n v="23.4"/>
    <s v="10GC19S61"/>
    <s v="Chlor-a"/>
  </r>
  <r>
    <n v="2010"/>
    <s v="April    "/>
    <x v="17"/>
    <n v="23.4"/>
    <s v="10GC19S61"/>
    <s v="NO2+NO3"/>
  </r>
  <r>
    <n v="2011"/>
    <s v="April    "/>
    <x v="17"/>
    <n v="23.8"/>
    <s v="11GC19S41"/>
    <s v="Chlor-a"/>
  </r>
  <r>
    <n v="2011"/>
    <s v="April    "/>
    <x v="17"/>
    <n v="23.8"/>
    <s v="11GC19S41"/>
    <s v="NO2+NO3"/>
  </r>
  <r>
    <n v="2012"/>
    <s v="April    "/>
    <x v="17"/>
    <n v="23.5"/>
    <s v="12GC19S41"/>
    <s v="Chlor-a"/>
  </r>
  <r>
    <n v="2012"/>
    <s v="April    "/>
    <x v="17"/>
    <n v="23.5"/>
    <s v="12GC19S41"/>
    <s v="NO2+NO3"/>
  </r>
  <r>
    <n v="2008"/>
    <s v="August   "/>
    <x v="17"/>
    <n v="22.5"/>
    <s v="08GC42S61"/>
    <s v="Chlor-a"/>
  </r>
  <r>
    <n v="2008"/>
    <s v="August   "/>
    <x v="17"/>
    <n v="22.5"/>
    <s v="08GC42S61"/>
    <s v="NO2+NO3"/>
  </r>
  <r>
    <n v="2009"/>
    <s v="August   "/>
    <x v="17"/>
    <n v="23"/>
    <s v="09GC45S41"/>
    <s v="Chlor-a"/>
  </r>
  <r>
    <n v="2009"/>
    <s v="August   "/>
    <x v="17"/>
    <n v="23"/>
    <s v="09GC45S41"/>
    <s v="NO2+NO3"/>
  </r>
  <r>
    <n v="2010"/>
    <s v="August   "/>
    <x v="17"/>
    <n v="22.5"/>
    <s v="10GC42S61"/>
    <s v="Chlor-a"/>
  </r>
  <r>
    <n v="2010"/>
    <s v="August   "/>
    <x v="17"/>
    <n v="22.5"/>
    <s v="10GC42S61"/>
    <s v="NO2+NO3"/>
  </r>
  <r>
    <n v="2011"/>
    <s v="August   "/>
    <x v="17"/>
    <n v="22.9"/>
    <s v="11GC41S01"/>
    <s v="Chlor-a"/>
  </r>
  <r>
    <n v="2011"/>
    <s v="August   "/>
    <x v="17"/>
    <n v="22.9"/>
    <s v="11GC41S01"/>
    <s v="NO2+NO3"/>
  </r>
  <r>
    <n v="2012"/>
    <s v="August   "/>
    <x v="17"/>
    <n v="22.6"/>
    <s v="12GC52S61"/>
    <s v="Chlor-a"/>
  </r>
  <r>
    <n v="2012"/>
    <s v="August   "/>
    <x v="17"/>
    <n v="22.6"/>
    <s v="12GC52S61"/>
    <s v="NO2+NO3"/>
  </r>
  <r>
    <n v="2008"/>
    <s v="April    "/>
    <x v="18"/>
    <n v="10.6"/>
    <s v="08GC17S81"/>
    <s v="Chlor-a"/>
  </r>
  <r>
    <n v="2008"/>
    <s v="April    "/>
    <x v="18"/>
    <n v="10.6"/>
    <s v="08GC17S81"/>
    <s v="NO2+NO3"/>
  </r>
  <r>
    <n v="2009"/>
    <s v="April    "/>
    <x v="18"/>
    <n v="10.7"/>
    <s v="09GC17S81"/>
    <s v="Chlor-a"/>
  </r>
  <r>
    <n v="2009"/>
    <s v="April    "/>
    <x v="18"/>
    <n v="10.7"/>
    <s v="09GC17S81"/>
    <s v="NO2+NO3"/>
  </r>
  <r>
    <n v="2010"/>
    <s v="April    "/>
    <x v="18"/>
    <n v="10.199999999999999"/>
    <s v="10GC17S81"/>
    <s v="Chlor-a"/>
  </r>
  <r>
    <n v="2010"/>
    <s v="April    "/>
    <x v="18"/>
    <n v="10.199999999999999"/>
    <s v="10GC17S81"/>
    <s v="NO2+NO3"/>
  </r>
  <r>
    <n v="2011"/>
    <s v="April    "/>
    <x v="18"/>
    <n v="10.5"/>
    <s v="11GC17S81"/>
    <s v="Chlor-a"/>
  </r>
  <r>
    <n v="2011"/>
    <s v="April    "/>
    <x v="18"/>
    <n v="10.5"/>
    <s v="11GC17S81"/>
    <s v="NO2+NO3"/>
  </r>
  <r>
    <n v="2012"/>
    <s v="April    "/>
    <x v="18"/>
    <n v="9.9"/>
    <s v="12GC21S01"/>
    <s v="Chlor-a"/>
  </r>
  <r>
    <n v="2012"/>
    <s v="April    "/>
    <x v="18"/>
    <n v="9.9"/>
    <s v="12GC21S01"/>
    <s v="NO2+NO3"/>
  </r>
  <r>
    <n v="2008"/>
    <s v="August   "/>
    <x v="18"/>
    <n v="10"/>
    <s v="08GC40S81"/>
    <s v="Chlor-a"/>
  </r>
  <r>
    <n v="2008"/>
    <s v="August   "/>
    <x v="18"/>
    <n v="10"/>
    <s v="08GC40S81"/>
    <s v="NO2+NO3"/>
  </r>
  <r>
    <n v="2009"/>
    <s v="August   "/>
    <x v="18"/>
    <n v="10.199999999999999"/>
    <s v="09GC43S81"/>
    <s v="Chlor-a"/>
  </r>
  <r>
    <n v="2009"/>
    <s v="August   "/>
    <x v="18"/>
    <n v="10.199999999999999"/>
    <s v="09GC43S81"/>
    <s v="NO2+NO3"/>
  </r>
  <r>
    <n v="2010"/>
    <s v="August   "/>
    <x v="18"/>
    <n v="10.1"/>
    <s v="10GC40S81"/>
    <s v="Chlor-a"/>
  </r>
  <r>
    <n v="2010"/>
    <s v="August   "/>
    <x v="18"/>
    <n v="10.1"/>
    <s v="10GC40S81"/>
    <s v="NO2+NO3"/>
  </r>
  <r>
    <n v="2011"/>
    <s v="August   "/>
    <x v="18"/>
    <n v="10.199999999999999"/>
    <s v="11GC42S61"/>
    <s v="Chlor-a"/>
  </r>
  <r>
    <n v="2011"/>
    <s v="August   "/>
    <x v="18"/>
    <n v="10.199999999999999"/>
    <s v="11GC42S61"/>
    <s v="NO2+NO3"/>
  </r>
  <r>
    <n v="2012"/>
    <s v="August   "/>
    <x v="18"/>
    <n v="10"/>
    <s v="12GC54S21"/>
    <s v="Chlor-a"/>
  </r>
  <r>
    <n v="2012"/>
    <s v="August   "/>
    <x v="18"/>
    <n v="10"/>
    <s v="12GC54S21"/>
    <s v="NO2+NO3"/>
  </r>
  <r>
    <n v="2008"/>
    <s v="April    "/>
    <x v="19"/>
    <n v="11.3"/>
    <s v="08GC18S21"/>
    <s v="Chlor-a"/>
  </r>
  <r>
    <n v="2008"/>
    <s v="April    "/>
    <x v="19"/>
    <n v="11.3"/>
    <s v="08GC18S21"/>
    <s v="NO2+NO3"/>
  </r>
  <r>
    <n v="2009"/>
    <s v="April    "/>
    <x v="19"/>
    <n v="14.4"/>
    <s v="09GC18S01"/>
    <s v="Chlor-a"/>
  </r>
  <r>
    <n v="2009"/>
    <s v="April    "/>
    <x v="19"/>
    <n v="14.4"/>
    <s v="09GC18S01"/>
    <s v="NO2+NO3"/>
  </r>
  <r>
    <n v="2010"/>
    <s v="April    "/>
    <x v="19"/>
    <n v="11"/>
    <s v="10GC18S21"/>
    <s v="Chlor-a"/>
  </r>
  <r>
    <n v="2010"/>
    <s v="April    "/>
    <x v="19"/>
    <n v="11"/>
    <s v="10GC18S21"/>
    <s v="NO2+NO3"/>
  </r>
  <r>
    <n v="2011"/>
    <s v="April    "/>
    <x v="19"/>
    <n v="11"/>
    <s v="11GC18S01"/>
    <s v="Chlor-a"/>
  </r>
  <r>
    <n v="2011"/>
    <s v="April    "/>
    <x v="19"/>
    <n v="11"/>
    <s v="11GC18S01"/>
    <s v="NO2+NO3"/>
  </r>
  <r>
    <n v="2012"/>
    <s v="April    "/>
    <x v="19"/>
    <n v="11.2"/>
    <s v="12GC21S21"/>
    <s v="Chlor-a"/>
  </r>
  <r>
    <n v="2012"/>
    <s v="April    "/>
    <x v="19"/>
    <n v="11.2"/>
    <s v="12GC21S21"/>
    <s v="NO2+NO3"/>
  </r>
  <r>
    <n v="2008"/>
    <s v="August   "/>
    <x v="19"/>
    <n v="10.7"/>
    <s v="08GC41S21"/>
    <s v="Chlor-a"/>
  </r>
  <r>
    <n v="2008"/>
    <s v="August   "/>
    <x v="19"/>
    <n v="10.7"/>
    <s v="08GC41S21"/>
    <s v="NO2+NO3"/>
  </r>
  <r>
    <n v="2009"/>
    <s v="August   "/>
    <x v="19"/>
    <n v="10.9"/>
    <s v="09GC44S01"/>
    <s v="Chlor-a"/>
  </r>
  <r>
    <n v="2009"/>
    <s v="August   "/>
    <x v="19"/>
    <n v="10.9"/>
    <s v="09GC44S01"/>
    <s v="NO2+NO3"/>
  </r>
  <r>
    <n v="2010"/>
    <s v="August   "/>
    <x v="19"/>
    <n v="10.7"/>
    <s v="10GC41S21"/>
    <s v="Chlor-a"/>
  </r>
  <r>
    <n v="2010"/>
    <s v="August   "/>
    <x v="19"/>
    <n v="10.7"/>
    <s v="10GC41S21"/>
    <s v="NO2+NO3"/>
  </r>
  <r>
    <n v="2011"/>
    <s v="August   "/>
    <x v="19"/>
    <n v="10.9"/>
    <s v="11GC42S81"/>
    <s v="Chlor-a"/>
  </r>
  <r>
    <n v="2011"/>
    <s v="August   "/>
    <x v="19"/>
    <n v="10.9"/>
    <s v="11GC42S81"/>
    <s v="NO2+NO3"/>
  </r>
  <r>
    <n v="2012"/>
    <s v="August   "/>
    <x v="19"/>
    <n v="10.7"/>
    <s v="12GC54S41"/>
    <s v="Chlor-a"/>
  </r>
  <r>
    <n v="2012"/>
    <s v="August   "/>
    <x v="19"/>
    <n v="10.7"/>
    <s v="12GC54S41"/>
    <s v="NO2+NO3"/>
  </r>
  <r>
    <n v="2008"/>
    <s v="April    "/>
    <x v="20"/>
    <n v="7.3"/>
    <s v="08GC18S01"/>
    <s v="Chlor-a"/>
  </r>
  <r>
    <n v="2008"/>
    <s v="April    "/>
    <x v="20"/>
    <n v="7.3"/>
    <s v="08GC18S01"/>
    <s v="NO2+NO3"/>
  </r>
  <r>
    <n v="2010"/>
    <s v="April    "/>
    <x v="20"/>
    <n v="7.2"/>
    <s v="10GC18S01"/>
    <s v="Chlor-a"/>
  </r>
  <r>
    <n v="2010"/>
    <s v="April    "/>
    <x v="20"/>
    <n v="7.2"/>
    <s v="10GC18S01"/>
    <s v="NO2+NO3"/>
  </r>
  <r>
    <n v="2012"/>
    <s v="April    "/>
    <x v="20"/>
    <n v="7.4"/>
    <s v="12GC21S41"/>
    <s v="Chlor-a"/>
  </r>
  <r>
    <n v="2012"/>
    <s v="April    "/>
    <x v="20"/>
    <n v="7.4"/>
    <s v="12GC21S41"/>
    <s v="NO2+NO3"/>
  </r>
  <r>
    <n v="2008"/>
    <s v="August   "/>
    <x v="20"/>
    <n v="7.2"/>
    <s v="08GC41S01"/>
    <s v="Chlor-a"/>
  </r>
  <r>
    <n v="2008"/>
    <s v="August   "/>
    <x v="20"/>
    <n v="7.2"/>
    <s v="08GC41S01"/>
    <s v="NO2+NO3"/>
  </r>
  <r>
    <n v="2010"/>
    <s v="August   "/>
    <x v="20"/>
    <n v="7.5"/>
    <s v="10GC41S01"/>
    <s v="Chlor-a"/>
  </r>
  <r>
    <n v="2010"/>
    <s v="August   "/>
    <x v="20"/>
    <n v="7.5"/>
    <s v="10GC41S01"/>
    <s v="NO2+NO3"/>
  </r>
  <r>
    <n v="2012"/>
    <s v="August   "/>
    <x v="20"/>
    <n v="7"/>
    <s v="12GC54S61"/>
    <s v="Chlor-a"/>
  </r>
  <r>
    <n v="2012"/>
    <s v="August   "/>
    <x v="20"/>
    <n v="7"/>
    <s v="12GC54S61"/>
    <s v="NO2+NO3"/>
  </r>
  <r>
    <n v="2009"/>
    <s v="April    "/>
    <x v="21"/>
    <n v="32.4"/>
    <s v="09GC20S61"/>
    <s v="Chlor-a"/>
  </r>
  <r>
    <n v="2009"/>
    <s v="April    "/>
    <x v="21"/>
    <n v="32.4"/>
    <s v="09GC20S61"/>
    <s v="NO2+NO3"/>
  </r>
  <r>
    <n v="2011"/>
    <s v="April    "/>
    <x v="21"/>
    <n v="32.1"/>
    <s v="11GC20S61"/>
    <s v="Chlor-a"/>
  </r>
  <r>
    <n v="2011"/>
    <s v="April    "/>
    <x v="21"/>
    <n v="32.1"/>
    <s v="11GC20S61"/>
    <s v="NO2+NO3"/>
  </r>
  <r>
    <n v="2009"/>
    <s v="August   "/>
    <x v="21"/>
    <n v="31.1"/>
    <s v="09GC46S61"/>
    <s v="Chlor-a"/>
  </r>
  <r>
    <n v="2009"/>
    <s v="August   "/>
    <x v="21"/>
    <n v="31.1"/>
    <s v="09GC46S61"/>
    <s v="NO2+NO3"/>
  </r>
  <r>
    <n v="2011"/>
    <s v="August   "/>
    <x v="21"/>
    <n v="31.1"/>
    <s v="11GC43S21"/>
    <s v="Chlor-a"/>
  </r>
  <r>
    <n v="2011"/>
    <s v="August   "/>
    <x v="21"/>
    <n v="31.1"/>
    <s v="11GC43S21"/>
    <s v="NO2+NO3"/>
  </r>
  <r>
    <n v="2008"/>
    <s v="April    "/>
    <x v="22"/>
    <n v="51.5"/>
    <s v="08GB15S81"/>
    <s v="Chlor-a"/>
  </r>
  <r>
    <n v="2008"/>
    <s v="April    "/>
    <x v="22"/>
    <n v="51.5"/>
    <s v="08GB15S81"/>
    <s v="NO2+NO3"/>
  </r>
  <r>
    <n v="2009"/>
    <s v="April    "/>
    <x v="22"/>
    <n v="54.5"/>
    <s v="09GB15S81"/>
    <s v="Chlor-a"/>
  </r>
  <r>
    <n v="2009"/>
    <s v="April    "/>
    <x v="22"/>
    <n v="54.5"/>
    <s v="09GB15S81"/>
    <s v="NO2+NO3"/>
  </r>
  <r>
    <n v="2010"/>
    <s v="April    "/>
    <x v="22"/>
    <n v="51.6"/>
    <s v="10GB15S81"/>
    <s v="Chlor-a"/>
  </r>
  <r>
    <n v="2010"/>
    <s v="April    "/>
    <x v="22"/>
    <n v="51.6"/>
    <s v="10GB15S81"/>
    <s v="NO2+NO3"/>
  </r>
  <r>
    <n v="2011"/>
    <s v="April    "/>
    <x v="22"/>
    <n v="51.6"/>
    <s v="11GB15S81"/>
    <s v="Chlor-a"/>
  </r>
  <r>
    <n v="2011"/>
    <s v="April    "/>
    <x v="22"/>
    <n v="51.6"/>
    <s v="11GB15S81"/>
    <s v="NO2+NO3"/>
  </r>
  <r>
    <n v="2012"/>
    <s v="April    "/>
    <x v="22"/>
    <n v="51.6"/>
    <s v="12GB13S01"/>
    <s v="Chlor-a"/>
  </r>
  <r>
    <n v="2012"/>
    <s v="April    "/>
    <x v="22"/>
    <n v="51.6"/>
    <s v="12GB13S01"/>
    <s v="NO2+NO3"/>
  </r>
  <r>
    <n v="2008"/>
    <s v="August   "/>
    <x v="22"/>
    <n v="50.6"/>
    <s v="08GB37S81"/>
    <s v="Chlor-a"/>
  </r>
  <r>
    <n v="2008"/>
    <s v="August   "/>
    <x v="22"/>
    <n v="50.6"/>
    <s v="08GB37S81"/>
    <s v="NO2+NO3"/>
  </r>
  <r>
    <n v="2009"/>
    <s v="August   "/>
    <x v="22"/>
    <n v="51.5"/>
    <s v="09GB40S81"/>
    <s v="Chlor-a"/>
  </r>
  <r>
    <n v="2009"/>
    <s v="August   "/>
    <x v="22"/>
    <n v="51.5"/>
    <s v="09GB40S81"/>
    <s v="NO2+NO3"/>
  </r>
  <r>
    <n v="2010"/>
    <s v="August   "/>
    <x v="22"/>
    <n v="50.6"/>
    <s v="10GB37S81"/>
    <s v="Chlor-a"/>
  </r>
  <r>
    <n v="2010"/>
    <s v="August   "/>
    <x v="22"/>
    <n v="50.6"/>
    <s v="10GB37S81"/>
    <s v="NO2+NO3"/>
  </r>
  <r>
    <n v="2011"/>
    <s v="August   "/>
    <x v="22"/>
    <n v="51.6"/>
    <s v="11GB35S01"/>
    <s v="Chlor-a"/>
  </r>
  <r>
    <n v="2011"/>
    <s v="August   "/>
    <x v="22"/>
    <n v="51.6"/>
    <s v="11GB35S01"/>
    <s v="NO2+NO3"/>
  </r>
  <r>
    <n v="2012"/>
    <s v="August   "/>
    <x v="22"/>
    <n v="50.6"/>
    <s v="12GB45S61"/>
    <s v="Chlor-a"/>
  </r>
  <r>
    <n v="2012"/>
    <s v="August   "/>
    <x v="22"/>
    <n v="50.6"/>
    <s v="12GB45S61"/>
    <s v="NO2+NO3"/>
  </r>
  <r>
    <n v="2008"/>
    <s v="April    "/>
    <x v="23"/>
    <n v="60.3"/>
    <s v="08GB15S61"/>
    <s v="Chlor-a"/>
  </r>
  <r>
    <n v="2008"/>
    <s v="April    "/>
    <x v="23"/>
    <n v="60.3"/>
    <s v="08GB15S61"/>
    <s v="NO2+NO3"/>
  </r>
  <r>
    <n v="2009"/>
    <s v="April    "/>
    <x v="23"/>
    <n v="60.6"/>
    <s v="09GB15S61"/>
    <s v="Chlor-a"/>
  </r>
  <r>
    <n v="2009"/>
    <s v="April    "/>
    <x v="23"/>
    <n v="60.6"/>
    <s v="09GB15S61"/>
    <s v="NO2+NO3"/>
  </r>
  <r>
    <n v="2010"/>
    <s v="April    "/>
    <x v="23"/>
    <n v="60.3"/>
    <s v="10GB15S61"/>
    <s v="Chlor-a"/>
  </r>
  <r>
    <n v="2010"/>
    <s v="April    "/>
    <x v="23"/>
    <n v="60.3"/>
    <s v="10GB15S61"/>
    <s v="NO2+NO3"/>
  </r>
  <r>
    <n v="2011"/>
    <s v="April    "/>
    <x v="23"/>
    <n v="60.3"/>
    <s v="11GB15S61"/>
    <s v="Chlor-a"/>
  </r>
  <r>
    <n v="2011"/>
    <s v="April    "/>
    <x v="23"/>
    <n v="60.3"/>
    <s v="11GB15S61"/>
    <s v="NO2+NO3"/>
  </r>
  <r>
    <n v="2012"/>
    <s v="April    "/>
    <x v="23"/>
    <n v="60.3"/>
    <s v="12GB13S21"/>
    <s v="Chlor-a"/>
  </r>
  <r>
    <n v="2012"/>
    <s v="April    "/>
    <x v="23"/>
    <n v="60.3"/>
    <s v="12GB13S21"/>
    <s v="NO2+NO3"/>
  </r>
  <r>
    <n v="2008"/>
    <s v="August   "/>
    <x v="23"/>
    <n v="59.4"/>
    <s v="08GB37S61"/>
    <s v="Chlor-a"/>
  </r>
  <r>
    <n v="2008"/>
    <s v="August   "/>
    <x v="23"/>
    <n v="59.4"/>
    <s v="08GB37S61"/>
    <s v="NO2+NO3"/>
  </r>
  <r>
    <n v="2009"/>
    <s v="August   "/>
    <x v="23"/>
    <n v="59.4"/>
    <s v="09GB40S61"/>
    <s v="Chlor-a"/>
  </r>
  <r>
    <n v="2009"/>
    <s v="August   "/>
    <x v="23"/>
    <n v="59.4"/>
    <s v="09GB40S61"/>
    <s v="NO2+NO3"/>
  </r>
  <r>
    <n v="2010"/>
    <s v="August   "/>
    <x v="23"/>
    <n v="59.4"/>
    <s v="10GB37S61"/>
    <s v="Chlor-a"/>
  </r>
  <r>
    <n v="2010"/>
    <s v="August   "/>
    <x v="23"/>
    <n v="59.4"/>
    <s v="10GB37S61"/>
    <s v="NO2+NO3"/>
  </r>
  <r>
    <n v="2011"/>
    <s v="August   "/>
    <x v="23"/>
    <n v="59.5"/>
    <s v="11GB35S21"/>
    <s v="Chlor-a"/>
  </r>
  <r>
    <n v="2011"/>
    <s v="August   "/>
    <x v="23"/>
    <n v="59.5"/>
    <s v="11GB35S21"/>
    <s v="NO2+NO3"/>
  </r>
  <r>
    <n v="2012"/>
    <s v="August   "/>
    <x v="23"/>
    <n v="59.4"/>
    <s v="12GB45S81"/>
    <s v="Chlor-a"/>
  </r>
  <r>
    <n v="2012"/>
    <s v="August   "/>
    <x v="23"/>
    <n v="59.4"/>
    <s v="12GB45S81"/>
    <s v="NO2+NO3"/>
  </r>
  <r>
    <n v="2008"/>
    <s v="April    "/>
    <x v="24"/>
    <n v="89.5"/>
    <s v="08GB15S41"/>
    <s v="Chlor-a"/>
  </r>
  <r>
    <n v="2008"/>
    <s v="April    "/>
    <x v="24"/>
    <n v="89.5"/>
    <s v="08GB15S41"/>
    <s v="NO2+NO3"/>
  </r>
  <r>
    <n v="2009"/>
    <s v="April    "/>
    <x v="24"/>
    <n v="89.7"/>
    <s v="09GB15S41"/>
    <s v="Chlor-a"/>
  </r>
  <r>
    <n v="2009"/>
    <s v="April    "/>
    <x v="24"/>
    <n v="89.7"/>
    <s v="09GB15S41"/>
    <s v="NO2+NO3"/>
  </r>
  <r>
    <n v="2010"/>
    <s v="April    "/>
    <x v="24"/>
    <n v="89.5"/>
    <s v="10GB15S41"/>
    <s v="Chlor-a"/>
  </r>
  <r>
    <n v="2010"/>
    <s v="April    "/>
    <x v="24"/>
    <n v="89.5"/>
    <s v="10GB15S41"/>
    <s v="NO2+NO3"/>
  </r>
  <r>
    <n v="2011"/>
    <s v="April    "/>
    <x v="24"/>
    <n v="90.5"/>
    <s v="11GB15S41"/>
    <s v="Chlor-a"/>
  </r>
  <r>
    <n v="2011"/>
    <s v="April    "/>
    <x v="24"/>
    <n v="90.5"/>
    <s v="11GB15S41"/>
    <s v="NO2+NO3"/>
  </r>
  <r>
    <n v="2012"/>
    <s v="April    "/>
    <x v="24"/>
    <n v="89.5"/>
    <s v="12GB13S41"/>
    <s v="Chlor-a"/>
  </r>
  <r>
    <n v="2012"/>
    <s v="April    "/>
    <x v="24"/>
    <n v="89.5"/>
    <s v="12GB13S41"/>
    <s v="NO2+NO3"/>
  </r>
  <r>
    <n v="2008"/>
    <s v="August   "/>
    <x v="24"/>
    <n v="88.5"/>
    <s v="08GB37S41"/>
    <s v="Chlor-a"/>
  </r>
  <r>
    <n v="2008"/>
    <s v="August   "/>
    <x v="24"/>
    <n v="88.5"/>
    <s v="08GB37S41"/>
    <s v="NO2+NO3"/>
  </r>
  <r>
    <n v="2009"/>
    <s v="August   "/>
    <x v="24"/>
    <n v="88.5"/>
    <s v="09GB40S41"/>
    <s v="Chlor-a"/>
  </r>
  <r>
    <n v="2009"/>
    <s v="August   "/>
    <x v="24"/>
    <n v="88.5"/>
    <s v="09GB40S41"/>
    <s v="NO2+NO3"/>
  </r>
  <r>
    <n v="2010"/>
    <s v="August   "/>
    <x v="24"/>
    <n v="88.5"/>
    <s v="10GB37S41"/>
    <s v="Chlor-a"/>
  </r>
  <r>
    <n v="2010"/>
    <s v="August   "/>
    <x v="24"/>
    <n v="88.5"/>
    <s v="10GB37S41"/>
    <s v="NO2+NO3"/>
  </r>
  <r>
    <n v="2011"/>
    <s v="August   "/>
    <x v="24"/>
    <n v="88.5"/>
    <s v="11GB35S41"/>
    <s v="Chlor-a"/>
  </r>
  <r>
    <n v="2011"/>
    <s v="August   "/>
    <x v="24"/>
    <n v="88.5"/>
    <s v="11GB35S41"/>
    <s v="NO2+NO3"/>
  </r>
  <r>
    <n v="2012"/>
    <s v="August   "/>
    <x v="24"/>
    <n v="87.5"/>
    <s v="12GB46S01"/>
    <s v="Chlor-a"/>
  </r>
  <r>
    <n v="2012"/>
    <s v="August   "/>
    <x v="24"/>
    <n v="87.5"/>
    <s v="12GB46S01"/>
    <s v="NO2+NO3"/>
  </r>
  <r>
    <n v="2008"/>
    <s v="April    "/>
    <x v="25"/>
    <n v="68.099999999999994"/>
    <s v="08GB15S01"/>
    <s v="Chlor-a"/>
  </r>
  <r>
    <n v="2008"/>
    <s v="April    "/>
    <x v="25"/>
    <n v="68.099999999999994"/>
    <s v="08GB15S01"/>
    <s v="NO2+NO3"/>
  </r>
  <r>
    <n v="2009"/>
    <s v="April    "/>
    <x v="25"/>
    <n v="65"/>
    <s v="09GB15S01"/>
    <s v="Chlor-a"/>
  </r>
  <r>
    <n v="2009"/>
    <s v="April    "/>
    <x v="25"/>
    <n v="65"/>
    <s v="09GB15S01"/>
    <s v="NO2+NO3"/>
  </r>
  <r>
    <n v="2010"/>
    <s v="April    "/>
    <x v="25"/>
    <n v="69.099999999999994"/>
    <s v="10GB15S01"/>
    <s v="Chlor-a"/>
  </r>
  <r>
    <n v="2010"/>
    <s v="April    "/>
    <x v="25"/>
    <n v="69.099999999999994"/>
    <s v="10GB15S01"/>
    <s v="NO2+NO3"/>
  </r>
  <r>
    <n v="2011"/>
    <s v="April    "/>
    <x v="25"/>
    <n v="69.099999999999994"/>
    <s v="11GB15S01"/>
    <s v="Chlor-a"/>
  </r>
  <r>
    <n v="2011"/>
    <s v="April    "/>
    <x v="25"/>
    <n v="69.099999999999994"/>
    <s v="11GB15S01"/>
    <s v="NO2+NO3"/>
  </r>
  <r>
    <n v="2012"/>
    <s v="April    "/>
    <x v="25"/>
    <n v="68.099999999999994"/>
    <s v="12GB13S61"/>
    <s v="Chlor-a"/>
  </r>
  <r>
    <n v="2012"/>
    <s v="April    "/>
    <x v="25"/>
    <n v="68.099999999999994"/>
    <s v="12GB13S61"/>
    <s v="NO2+NO3"/>
  </r>
  <r>
    <n v="2008"/>
    <s v="August   "/>
    <x v="25"/>
    <n v="68.099999999999994"/>
    <s v="08GB37S01"/>
    <s v="Chlor-a"/>
  </r>
  <r>
    <n v="2008"/>
    <s v="August   "/>
    <x v="25"/>
    <n v="68.099999999999994"/>
    <s v="08GB37S01"/>
    <s v="NO2+NO3"/>
  </r>
  <r>
    <n v="2009"/>
    <s v="August   "/>
    <x v="25"/>
    <n v="66.2"/>
    <s v="09GB40S01"/>
    <s v="Chlor-a"/>
  </r>
  <r>
    <n v="2009"/>
    <s v="August   "/>
    <x v="25"/>
    <n v="66.2"/>
    <s v="09GB40S01"/>
    <s v="NO2+NO3"/>
  </r>
  <r>
    <n v="2010"/>
    <s v="August   "/>
    <x v="25"/>
    <n v="67.91"/>
    <s v="10GB37S01"/>
    <s v="Chlor-a"/>
  </r>
  <r>
    <n v="2010"/>
    <s v="August   "/>
    <x v="25"/>
    <n v="67.91"/>
    <s v="10GB37S01"/>
    <s v="NO2+NO3"/>
  </r>
  <r>
    <n v="2011"/>
    <s v="August   "/>
    <x v="25"/>
    <n v="68.099999999999994"/>
    <s v="11GB35S61"/>
    <s v="Chlor-a"/>
  </r>
  <r>
    <n v="2011"/>
    <s v="August   "/>
    <x v="25"/>
    <n v="68.099999999999994"/>
    <s v="11GB35S61"/>
    <s v="NO2+NO3"/>
  </r>
  <r>
    <n v="2012"/>
    <s v="August   "/>
    <x v="25"/>
    <n v="67.099999999999994"/>
    <s v="12GB46S21"/>
    <s v="Chlor-a"/>
  </r>
  <r>
    <n v="2012"/>
    <s v="August   "/>
    <x v="25"/>
    <n v="67.099999999999994"/>
    <s v="12GB46S21"/>
    <s v="NO2+NO3"/>
  </r>
  <r>
    <n v="2008"/>
    <s v="April    "/>
    <x v="26"/>
    <n v="56.4"/>
    <s v="08GB14S81"/>
    <s v="Chlor-a"/>
  </r>
  <r>
    <n v="2008"/>
    <s v="April    "/>
    <x v="26"/>
    <n v="56.4"/>
    <s v="08GB14S81"/>
    <s v="NO2+NO3"/>
  </r>
  <r>
    <n v="2009"/>
    <s v="April    "/>
    <x v="26"/>
    <n v="55.3"/>
    <s v="09GB14S61"/>
    <s v="Chlor-a"/>
  </r>
  <r>
    <n v="2009"/>
    <s v="April    "/>
    <x v="26"/>
    <n v="55.3"/>
    <s v="09GB14S61"/>
    <s v="NO2+NO3"/>
  </r>
  <r>
    <n v="2010"/>
    <s v="April    "/>
    <x v="26"/>
    <n v="56.5"/>
    <s v="10GB14S81"/>
    <s v="Chlor-a"/>
  </r>
  <r>
    <n v="2010"/>
    <s v="April    "/>
    <x v="26"/>
    <n v="56.5"/>
    <s v="10GB14S81"/>
    <s v="NO2+NO3"/>
  </r>
  <r>
    <n v="2011"/>
    <s v="April    "/>
    <x v="26"/>
    <n v="56.4"/>
    <s v="11GB14S61"/>
    <s v="Chlor-a"/>
  </r>
  <r>
    <n v="2011"/>
    <s v="April    "/>
    <x v="26"/>
    <n v="56.4"/>
    <s v="11GB14S61"/>
    <s v="NO2+NO3"/>
  </r>
  <r>
    <n v="2012"/>
    <s v="April    "/>
    <x v="26"/>
    <n v="56.4"/>
    <s v="12GB14S01"/>
    <s v="Chlor-a"/>
  </r>
  <r>
    <n v="2012"/>
    <s v="April    "/>
    <x v="26"/>
    <n v="56.4"/>
    <s v="12GB14S01"/>
    <s v="NO2+NO3"/>
  </r>
  <r>
    <n v="2008"/>
    <s v="August   "/>
    <x v="26"/>
    <n v="55.4"/>
    <s v="08GB36S81"/>
    <s v="Chlor-a"/>
  </r>
  <r>
    <n v="2008"/>
    <s v="August   "/>
    <x v="26"/>
    <n v="55.4"/>
    <s v="08GB36S81"/>
    <s v="NO2+NO3"/>
  </r>
  <r>
    <n v="2009"/>
    <s v="August   "/>
    <x v="26"/>
    <n v="56.4"/>
    <s v="09GB39S61"/>
    <s v="Chlor-a"/>
  </r>
  <r>
    <n v="2009"/>
    <s v="August   "/>
    <x v="26"/>
    <n v="56.4"/>
    <s v="09GB39S61"/>
    <s v="NO2+NO3"/>
  </r>
  <r>
    <n v="2010"/>
    <s v="August   "/>
    <x v="26"/>
    <n v="54.5"/>
    <s v="10GB36S81"/>
    <s v="Chlor-a"/>
  </r>
  <r>
    <n v="2010"/>
    <s v="August   "/>
    <x v="26"/>
    <n v="54.5"/>
    <s v="10GB36S81"/>
    <s v="NO2+NO3"/>
  </r>
  <r>
    <n v="2011"/>
    <s v="August   "/>
    <x v="26"/>
    <n v="55.5"/>
    <s v="11GB36S01"/>
    <s v="Chlor-a"/>
  </r>
  <r>
    <n v="2011"/>
    <s v="August   "/>
    <x v="26"/>
    <n v="55.5"/>
    <s v="11GB36S01"/>
    <s v="NO2+NO3"/>
  </r>
  <r>
    <n v="2012"/>
    <s v="August   "/>
    <x v="26"/>
    <n v="54.4"/>
    <s v="12GB46S61"/>
    <s v="Chlor-a"/>
  </r>
  <r>
    <n v="2012"/>
    <s v="August   "/>
    <x v="26"/>
    <n v="54.4"/>
    <s v="12GB46S61"/>
    <s v="NO2+NO3"/>
  </r>
  <r>
    <n v="2008"/>
    <s v="April    "/>
    <x v="27"/>
    <n v="84.6"/>
    <s v="08GB14S61"/>
    <s v="Chlor-a"/>
  </r>
  <r>
    <n v="2008"/>
    <s v="April    "/>
    <x v="27"/>
    <n v="84.6"/>
    <s v="08GB14S61"/>
    <s v="NO2+NO3"/>
  </r>
  <r>
    <n v="2009"/>
    <s v="April    "/>
    <x v="27"/>
    <n v="87.6"/>
    <s v="09GB14S41"/>
    <s v="Chlor-a"/>
  </r>
  <r>
    <n v="2009"/>
    <s v="April    "/>
    <x v="27"/>
    <n v="87.6"/>
    <s v="09GB14S41"/>
    <s v="NO2+NO3"/>
  </r>
  <r>
    <n v="2010"/>
    <s v="April    "/>
    <x v="27"/>
    <n v="83.5"/>
    <s v="10GB14S61"/>
    <s v="Chlor-a"/>
  </r>
  <r>
    <n v="2010"/>
    <s v="April    "/>
    <x v="27"/>
    <n v="83.5"/>
    <s v="10GB14S61"/>
    <s v="NO2+NO3"/>
  </r>
  <r>
    <n v="2011"/>
    <s v="April    "/>
    <x v="27"/>
    <n v="82.7"/>
    <s v="11GB14S41"/>
    <s v="Chlor-a"/>
  </r>
  <r>
    <n v="2011"/>
    <s v="April    "/>
    <x v="27"/>
    <n v="82.7"/>
    <s v="11GB14S41"/>
    <s v="NO2+NO3"/>
  </r>
  <r>
    <n v="2012"/>
    <s v="April    "/>
    <x v="27"/>
    <n v="81.7"/>
    <s v="12GB14S21"/>
    <s v="Chlor-a"/>
  </r>
  <r>
    <n v="2012"/>
    <s v="April    "/>
    <x v="27"/>
    <n v="81.7"/>
    <s v="12GB14S21"/>
    <s v="NO2+NO3"/>
  </r>
  <r>
    <n v="2008"/>
    <s v="August   "/>
    <x v="27"/>
    <n v="81.7"/>
    <s v="08GB36S61"/>
    <s v="Chlor-a"/>
  </r>
  <r>
    <n v="2008"/>
    <s v="August   "/>
    <x v="27"/>
    <n v="81.7"/>
    <s v="08GB36S61"/>
    <s v="NO2+NO3"/>
  </r>
  <r>
    <n v="2009"/>
    <s v="August   "/>
    <x v="27"/>
    <n v="81.7"/>
    <s v="09GB39S41"/>
    <s v="Chlor-a"/>
  </r>
  <r>
    <n v="2009"/>
    <s v="August   "/>
    <x v="27"/>
    <n v="81.7"/>
    <s v="09GB39S41"/>
    <s v="NO2+NO3"/>
  </r>
  <r>
    <n v="2010"/>
    <s v="August   "/>
    <x v="27"/>
    <n v="83.7"/>
    <s v="10GB36S61"/>
    <s v="Chlor-a"/>
  </r>
  <r>
    <n v="2010"/>
    <s v="August   "/>
    <x v="27"/>
    <n v="83.7"/>
    <s v="10GB36S61"/>
    <s v="NO2+NO3"/>
  </r>
  <r>
    <n v="2011"/>
    <s v="August   "/>
    <x v="27"/>
    <n v="80.8"/>
    <s v="11GB36S21"/>
    <s v="Chlor-a"/>
  </r>
  <r>
    <n v="2011"/>
    <s v="August   "/>
    <x v="27"/>
    <n v="80.8"/>
    <s v="11GB36S21"/>
    <s v="NO2+NO3"/>
  </r>
  <r>
    <n v="2012"/>
    <s v="August   "/>
    <x v="27"/>
    <n v="82.2"/>
    <s v="12GB46S81"/>
    <s v="Chlor-a"/>
  </r>
  <r>
    <n v="2012"/>
    <s v="August   "/>
    <x v="27"/>
    <n v="82.2"/>
    <s v="12GB46S81"/>
    <s v="NO2+NO3"/>
  </r>
  <r>
    <n v="2008"/>
    <s v="April    "/>
    <x v="28"/>
    <n v="75.8"/>
    <s v="08GB14S21"/>
    <s v="Chlor-a"/>
  </r>
  <r>
    <n v="2008"/>
    <s v="April    "/>
    <x v="28"/>
    <n v="75.8"/>
    <s v="08GB14S21"/>
    <s v="NO2+NO3"/>
  </r>
  <r>
    <n v="2009"/>
    <s v="April    "/>
    <x v="28"/>
    <n v="75.900000000000006"/>
    <s v="09GB14S01"/>
    <s v="Chlor-a"/>
  </r>
  <r>
    <n v="2009"/>
    <s v="April    "/>
    <x v="28"/>
    <n v="75.900000000000006"/>
    <s v="09GB14S01"/>
    <s v="NO2+NO3"/>
  </r>
  <r>
    <n v="2010"/>
    <s v="April    "/>
    <x v="28"/>
    <n v="75.7"/>
    <s v="10GB14S21"/>
    <s v="Chlor-a"/>
  </r>
  <r>
    <n v="2010"/>
    <s v="April    "/>
    <x v="28"/>
    <n v="75.7"/>
    <s v="10GB14S21"/>
    <s v="NO2+NO3"/>
  </r>
  <r>
    <n v="2011"/>
    <s v="April    "/>
    <x v="28"/>
    <n v="75.8"/>
    <s v="11GB14S01"/>
    <s v="Chlor-a"/>
  </r>
  <r>
    <n v="2011"/>
    <s v="April    "/>
    <x v="28"/>
    <n v="75.8"/>
    <s v="11GB14S01"/>
    <s v="NO2+NO3"/>
  </r>
  <r>
    <n v="2012"/>
    <s v="April    "/>
    <x v="28"/>
    <n v="75.900000000000006"/>
    <s v="12GB14S41"/>
    <s v="Chlor-a"/>
  </r>
  <r>
    <n v="2012"/>
    <s v="April    "/>
    <x v="28"/>
    <n v="75.900000000000006"/>
    <s v="12GB14S41"/>
    <s v="NO2+NO3"/>
  </r>
  <r>
    <n v="2008"/>
    <s v="August   "/>
    <x v="28"/>
    <n v="74.900000000000006"/>
    <s v="08GB36S21"/>
    <s v="Chlor-a"/>
  </r>
  <r>
    <n v="2008"/>
    <s v="August   "/>
    <x v="28"/>
    <n v="74.900000000000006"/>
    <s v="08GB36S21"/>
    <s v="NO2+NO3"/>
  </r>
  <r>
    <n v="2009"/>
    <s v="August   "/>
    <x v="28"/>
    <n v="74.900000000000006"/>
    <s v="09GB39S01"/>
    <s v="Chlor-a"/>
  </r>
  <r>
    <n v="2009"/>
    <s v="August   "/>
    <x v="28"/>
    <n v="74.900000000000006"/>
    <s v="09GB39S01"/>
    <s v="NO2+NO3"/>
  </r>
  <r>
    <n v="2010"/>
    <s v="August   "/>
    <x v="28"/>
    <n v="74.900000000000006"/>
    <s v="10GB36S21"/>
    <s v="Chlor-a"/>
  </r>
  <r>
    <n v="2010"/>
    <s v="August   "/>
    <x v="28"/>
    <n v="74.900000000000006"/>
    <s v="10GB36S21"/>
    <s v="NO2+NO3"/>
  </r>
  <r>
    <n v="2011"/>
    <s v="August   "/>
    <x v="28"/>
    <n v="74.900000000000006"/>
    <s v="11GB36S41"/>
    <s v="Chlor-a"/>
  </r>
  <r>
    <n v="2011"/>
    <s v="August   "/>
    <x v="28"/>
    <n v="74.900000000000006"/>
    <s v="11GB36S41"/>
    <s v="NO2+NO3"/>
  </r>
  <r>
    <n v="2012"/>
    <s v="August   "/>
    <x v="28"/>
    <n v="73.900000000000006"/>
    <s v="12GB47S01"/>
    <s v="Chlor-a"/>
  </r>
  <r>
    <n v="2012"/>
    <s v="August   "/>
    <x v="28"/>
    <n v="73.900000000000006"/>
    <s v="12GB47S01"/>
    <s v="NO2+NO3"/>
  </r>
  <r>
    <n v="2008"/>
    <s v="April    "/>
    <x v="29"/>
    <n v="139.1"/>
    <s v="08GB14S41"/>
    <s v="Chlor-a"/>
  </r>
  <r>
    <n v="2008"/>
    <s v="April    "/>
    <x v="29"/>
    <n v="139.1"/>
    <s v="08GB14S41"/>
    <s v="NO2+NO3"/>
  </r>
  <r>
    <n v="2009"/>
    <s v="April    "/>
    <x v="29"/>
    <n v="139.1"/>
    <s v="09GB14S21"/>
    <s v="Chlor-a"/>
  </r>
  <r>
    <n v="2009"/>
    <s v="April    "/>
    <x v="29"/>
    <n v="139.1"/>
    <s v="09GB14S21"/>
    <s v="NO2+NO3"/>
  </r>
  <r>
    <n v="2010"/>
    <s v="April    "/>
    <x v="29"/>
    <n v="139.1"/>
    <s v="10GB14S41"/>
    <s v="Chlor-a"/>
  </r>
  <r>
    <n v="2010"/>
    <s v="April    "/>
    <x v="29"/>
    <n v="139.1"/>
    <s v="10GB14S41"/>
    <s v="NO2+NO3"/>
  </r>
  <r>
    <n v="2011"/>
    <s v="April    "/>
    <x v="29"/>
    <n v="139.1"/>
    <s v="11GB14S21"/>
    <s v="Chlor-a"/>
  </r>
  <r>
    <n v="2011"/>
    <s v="April    "/>
    <x v="29"/>
    <n v="139.1"/>
    <s v="11GB14S21"/>
    <s v="NO2+NO3"/>
  </r>
  <r>
    <n v="2012"/>
    <s v="April    "/>
    <x v="29"/>
    <n v="138.19999999999999"/>
    <s v="12GB14S61"/>
    <s v="Chlor-a"/>
  </r>
  <r>
    <n v="2012"/>
    <s v="April    "/>
    <x v="29"/>
    <n v="138.19999999999999"/>
    <s v="12GB14S61"/>
    <s v="NO2+NO3"/>
  </r>
  <r>
    <n v="2008"/>
    <s v="August   "/>
    <x v="29"/>
    <n v="138.1"/>
    <s v="08GB36S41"/>
    <s v="Chlor-a"/>
  </r>
  <r>
    <n v="2008"/>
    <s v="August   "/>
    <x v="29"/>
    <n v="138.1"/>
    <s v="08GB36S41"/>
    <s v="NO2+NO3"/>
  </r>
  <r>
    <n v="2009"/>
    <s v="August   "/>
    <x v="29"/>
    <n v="138.19999999999999"/>
    <s v="09GB39S21"/>
    <s v="Chlor-a"/>
  </r>
  <r>
    <n v="2009"/>
    <s v="August   "/>
    <x v="29"/>
    <n v="138.19999999999999"/>
    <s v="09GB39S21"/>
    <s v="NO2+NO3"/>
  </r>
  <r>
    <n v="2010"/>
    <s v="August   "/>
    <x v="29"/>
    <n v="136.19999999999999"/>
    <s v="10GB36S41"/>
    <s v="Chlor-a"/>
  </r>
  <r>
    <n v="2010"/>
    <s v="August   "/>
    <x v="29"/>
    <n v="136.19999999999999"/>
    <s v="10GB36S41"/>
    <s v="NO2+NO3"/>
  </r>
  <r>
    <n v="2011"/>
    <s v="August   "/>
    <x v="29"/>
    <n v="134.5"/>
    <s v="11GB36S61"/>
    <s v="Chlor-a"/>
  </r>
  <r>
    <n v="2011"/>
    <s v="August   "/>
    <x v="29"/>
    <n v="134.5"/>
    <s v="11GB36S61"/>
    <s v="NO2+NO3"/>
  </r>
  <r>
    <n v="2012"/>
    <s v="August   "/>
    <x v="29"/>
    <n v="136.19999999999999"/>
    <s v="12GB47S21"/>
    <s v="Chlor-a"/>
  </r>
  <r>
    <n v="2012"/>
    <s v="August   "/>
    <x v="29"/>
    <n v="136.19999999999999"/>
    <s v="12GB47S21"/>
    <s v="NO2+NO3"/>
  </r>
  <r>
    <n v="2008"/>
    <s v="April    "/>
    <x v="30"/>
    <n v="100.2"/>
    <s v="08GB14S01"/>
    <s v="Chlor-a"/>
  </r>
  <r>
    <n v="2008"/>
    <s v="April    "/>
    <x v="30"/>
    <n v="100.2"/>
    <s v="08GB14S01"/>
    <s v="NO2+NO3"/>
  </r>
  <r>
    <n v="2009"/>
    <s v="April    "/>
    <x v="30"/>
    <n v="101.2"/>
    <s v="09GB13S81"/>
    <s v="Chlor-a"/>
  </r>
  <r>
    <n v="2009"/>
    <s v="April    "/>
    <x v="30"/>
    <n v="101.2"/>
    <s v="09GB13S81"/>
    <s v="NO2+NO3"/>
  </r>
  <r>
    <n v="2010"/>
    <s v="April    "/>
    <x v="30"/>
    <n v="99.4"/>
    <s v="10GB14S01"/>
    <s v="Chlor-a"/>
  </r>
  <r>
    <n v="2010"/>
    <s v="April    "/>
    <x v="30"/>
    <n v="99.4"/>
    <s v="10GB14S01"/>
    <s v="NO2+NO3"/>
  </r>
  <r>
    <n v="2011"/>
    <s v="April    "/>
    <x v="30"/>
    <n v="100.2"/>
    <s v="11GB13S81"/>
    <s v="Chlor-a"/>
  </r>
  <r>
    <n v="2011"/>
    <s v="April    "/>
    <x v="30"/>
    <n v="100.2"/>
    <s v="11GB13S81"/>
    <s v="NO2+NO3"/>
  </r>
  <r>
    <n v="2012"/>
    <s v="April    "/>
    <x v="30"/>
    <n v="95.3"/>
    <s v="12GB14S81"/>
    <s v="Chlor-a"/>
  </r>
  <r>
    <n v="2012"/>
    <s v="April    "/>
    <x v="30"/>
    <n v="95.3"/>
    <s v="12GB14S81"/>
    <s v="NO2+NO3"/>
  </r>
  <r>
    <n v="2008"/>
    <s v="August   "/>
    <x v="30"/>
    <n v="97.3"/>
    <s v="08GB36S01"/>
    <s v="Chlor-a"/>
  </r>
  <r>
    <n v="2008"/>
    <s v="August   "/>
    <x v="30"/>
    <n v="97.3"/>
    <s v="08GB36S01"/>
    <s v="NO2+NO3"/>
  </r>
  <r>
    <n v="2009"/>
    <s v="August   "/>
    <x v="30"/>
    <n v="100.2"/>
    <s v="09GB38S81"/>
    <s v="Chlor-a"/>
  </r>
  <r>
    <n v="2009"/>
    <s v="August   "/>
    <x v="30"/>
    <n v="100.2"/>
    <s v="09GB38S81"/>
    <s v="NO2+NO3"/>
  </r>
  <r>
    <n v="2010"/>
    <s v="August   "/>
    <x v="30"/>
    <n v="100.2"/>
    <s v="10GB36S01"/>
    <s v="Chlor-a"/>
  </r>
  <r>
    <n v="2010"/>
    <s v="August   "/>
    <x v="30"/>
    <n v="100.2"/>
    <s v="10GB36S01"/>
    <s v="NO2+NO3"/>
  </r>
  <r>
    <n v="2011"/>
    <s v="August   "/>
    <x v="30"/>
    <n v="98.3"/>
    <s v="11GB36S81"/>
    <s v="Chlor-a"/>
  </r>
  <r>
    <n v="2011"/>
    <s v="August   "/>
    <x v="30"/>
    <n v="98.3"/>
    <s v="11GB36S81"/>
    <s v="NO2+NO3"/>
  </r>
  <r>
    <n v="2012"/>
    <s v="August   "/>
    <x v="30"/>
    <n v="98.8"/>
    <s v="12GB47S41"/>
    <s v="Chlor-a"/>
  </r>
  <r>
    <n v="2012"/>
    <s v="August   "/>
    <x v="30"/>
    <n v="98.8"/>
    <s v="12GB47S41"/>
    <s v="NO2+NO3"/>
  </r>
  <r>
    <n v="2008"/>
    <s v="April    "/>
    <x v="31"/>
    <n v="113.8"/>
    <s v="08GB13S61"/>
    <s v="Chlor-a"/>
  </r>
  <r>
    <n v="2008"/>
    <s v="April    "/>
    <x v="31"/>
    <n v="113.8"/>
    <s v="08GB13S61"/>
    <s v="NO2+NO3"/>
  </r>
  <r>
    <n v="2009"/>
    <s v="April    "/>
    <x v="31"/>
    <n v="116.8"/>
    <s v="09GB13S61"/>
    <s v="Chlor-a"/>
  </r>
  <r>
    <n v="2009"/>
    <s v="April    "/>
    <x v="31"/>
    <n v="116.8"/>
    <s v="09GB13S61"/>
    <s v="NO2+NO3"/>
  </r>
  <r>
    <n v="2010"/>
    <s v="April    "/>
    <x v="31"/>
    <n v="112.9"/>
    <s v="10GB13S61"/>
    <s v="Chlor-a"/>
  </r>
  <r>
    <n v="2010"/>
    <s v="April    "/>
    <x v="31"/>
    <n v="112.9"/>
    <s v="10GB13S61"/>
    <s v="NO2+NO3"/>
  </r>
  <r>
    <n v="2011"/>
    <s v="April    "/>
    <x v="31"/>
    <n v="112.9"/>
    <s v="11GB13S61"/>
    <s v="Chlor-a"/>
  </r>
  <r>
    <n v="2011"/>
    <s v="April    "/>
    <x v="31"/>
    <n v="112.9"/>
    <s v="11GB13S61"/>
    <s v="NO2+NO3"/>
  </r>
  <r>
    <n v="2012"/>
    <s v="April    "/>
    <x v="31"/>
    <n v="115"/>
    <s v="12GB15S01"/>
    <s v="Chlor-a"/>
  </r>
  <r>
    <n v="2012"/>
    <s v="April    "/>
    <x v="31"/>
    <n v="115"/>
    <s v="12GB15S01"/>
    <s v="NO2+NO3"/>
  </r>
  <r>
    <n v="2008"/>
    <s v="August   "/>
    <x v="31"/>
    <n v="111.8"/>
    <s v="08GB35S61"/>
    <s v="Chlor-a"/>
  </r>
  <r>
    <n v="2008"/>
    <s v="August   "/>
    <x v="31"/>
    <n v="111.8"/>
    <s v="08GB35S61"/>
    <s v="NO2+NO3"/>
  </r>
  <r>
    <n v="2009"/>
    <s v="August   "/>
    <x v="31"/>
    <n v="112.9"/>
    <s v="09GB38S61"/>
    <s v="Chlor-a"/>
  </r>
  <r>
    <n v="2009"/>
    <s v="August   "/>
    <x v="31"/>
    <n v="112.9"/>
    <s v="09GB38S61"/>
    <s v="NO2+NO3"/>
  </r>
  <r>
    <n v="2010"/>
    <s v="August   "/>
    <x v="31"/>
    <n v="112.9"/>
    <s v="10GB35S61"/>
    <s v="Chlor-a"/>
  </r>
  <r>
    <n v="2010"/>
    <s v="August   "/>
    <x v="31"/>
    <n v="112.9"/>
    <s v="10GB35S61"/>
    <s v="NO2+NO3"/>
  </r>
  <r>
    <n v="2011"/>
    <s v="August   "/>
    <x v="31"/>
    <n v="112.9"/>
    <s v="11GB37S01"/>
    <s v="Chlor-a"/>
  </r>
  <r>
    <n v="2011"/>
    <s v="August   "/>
    <x v="31"/>
    <n v="112.9"/>
    <s v="11GB37S01"/>
    <s v="NO2+NO3"/>
  </r>
  <r>
    <n v="2012"/>
    <s v="August   "/>
    <x v="31"/>
    <n v="111.9"/>
    <s v="12GB47S61"/>
    <s v="Chlor-a"/>
  </r>
  <r>
    <n v="2012"/>
    <s v="August   "/>
    <x v="31"/>
    <n v="111.9"/>
    <s v="12GB47S61"/>
    <s v="NO2+NO3"/>
  </r>
  <r>
    <n v="2008"/>
    <s v="April    "/>
    <x v="32"/>
    <n v="93.4"/>
    <s v="08GB13S41"/>
    <s v="Chlor-a"/>
  </r>
  <r>
    <n v="2008"/>
    <s v="April    "/>
    <x v="32"/>
    <n v="93.4"/>
    <s v="08GB13S41"/>
    <s v="NO2+NO3"/>
  </r>
  <r>
    <n v="2009"/>
    <s v="April    "/>
    <x v="32"/>
    <n v="93.4"/>
    <s v="09GB13S41"/>
    <s v="Chlor-a"/>
  </r>
  <r>
    <n v="2009"/>
    <s v="April    "/>
    <x v="32"/>
    <n v="93.4"/>
    <s v="09GB13S41"/>
    <s v="NO2+NO3"/>
  </r>
  <r>
    <n v="2010"/>
    <s v="April    "/>
    <x v="32"/>
    <n v="94.4"/>
    <s v="10GB13S41"/>
    <s v="Chlor-a"/>
  </r>
  <r>
    <n v="2010"/>
    <s v="April    "/>
    <x v="32"/>
    <n v="94.4"/>
    <s v="10GB13S41"/>
    <s v="NO2+NO3"/>
  </r>
  <r>
    <n v="2011"/>
    <s v="April    "/>
    <x v="32"/>
    <n v="93.4"/>
    <s v="11GB13S41"/>
    <s v="Chlor-a"/>
  </r>
  <r>
    <n v="2011"/>
    <s v="April    "/>
    <x v="32"/>
    <n v="93.4"/>
    <s v="11GB13S41"/>
    <s v="NO2+NO3"/>
  </r>
  <r>
    <n v="2012"/>
    <s v="April    "/>
    <x v="32"/>
    <n v="93.4"/>
    <s v="12GB15S21"/>
    <s v="Chlor-a"/>
  </r>
  <r>
    <n v="2012"/>
    <s v="April    "/>
    <x v="32"/>
    <n v="93.4"/>
    <s v="12GB15S21"/>
    <s v="NO2+NO3"/>
  </r>
  <r>
    <n v="2008"/>
    <s v="August   "/>
    <x v="32"/>
    <n v="91.4"/>
    <s v="08GB35S41"/>
    <s v="Chlor-a"/>
  </r>
  <r>
    <n v="2008"/>
    <s v="August   "/>
    <x v="32"/>
    <n v="91.4"/>
    <s v="08GB35S41"/>
    <s v="NO2+NO3"/>
  </r>
  <r>
    <n v="2009"/>
    <s v="August   "/>
    <x v="32"/>
    <n v="92.4"/>
    <s v="09GB38S41"/>
    <s v="Chlor-a"/>
  </r>
  <r>
    <n v="2009"/>
    <s v="August   "/>
    <x v="32"/>
    <n v="92.4"/>
    <s v="09GB38S41"/>
    <s v="NO2+NO3"/>
  </r>
  <r>
    <n v="2010"/>
    <s v="August   "/>
    <x v="32"/>
    <n v="92.4"/>
    <s v="10GB35S41"/>
    <s v="Chlor-a"/>
  </r>
  <r>
    <n v="2010"/>
    <s v="August   "/>
    <x v="32"/>
    <n v="92.4"/>
    <s v="10GB35S41"/>
    <s v="NO2+NO3"/>
  </r>
  <r>
    <n v="2011"/>
    <s v="August   "/>
    <x v="32"/>
    <n v="91.5"/>
    <s v="11GB37S21"/>
    <s v="Chlor-a"/>
  </r>
  <r>
    <n v="2011"/>
    <s v="August   "/>
    <x v="32"/>
    <n v="91.5"/>
    <s v="11GB37S21"/>
    <s v="NO2+NO3"/>
  </r>
  <r>
    <n v="2012"/>
    <s v="August   "/>
    <x v="32"/>
    <n v="91.4"/>
    <s v="12GB47S81"/>
    <s v="Chlor-a"/>
  </r>
  <r>
    <n v="2012"/>
    <s v="August   "/>
    <x v="32"/>
    <n v="91.4"/>
    <s v="12GB47S81"/>
    <s v="NO2+NO3"/>
  </r>
  <r>
    <n v="2008"/>
    <s v="April    "/>
    <x v="33"/>
    <n v="125.5"/>
    <s v="08GB13S21"/>
    <s v="Chlor-a"/>
  </r>
  <r>
    <n v="2008"/>
    <s v="April    "/>
    <x v="33"/>
    <n v="125.5"/>
    <s v="08GB13S21"/>
    <s v="NO2+NO3"/>
  </r>
  <r>
    <n v="2009"/>
    <s v="April    "/>
    <x v="33"/>
    <n v="132.30000000000001"/>
    <s v="09GB13S21"/>
    <s v="Chlor-a"/>
  </r>
  <r>
    <n v="2009"/>
    <s v="April    "/>
    <x v="33"/>
    <n v="132.30000000000001"/>
    <s v="09GB13S21"/>
    <s v="NO2+NO3"/>
  </r>
  <r>
    <n v="2010"/>
    <s v="April    "/>
    <x v="33"/>
    <n v="132.30000000000001"/>
    <s v="10GB13S21"/>
    <s v="Chlor-a"/>
  </r>
  <r>
    <n v="2010"/>
    <s v="April    "/>
    <x v="33"/>
    <n v="132.30000000000001"/>
    <s v="10GB13S21"/>
    <s v="NO2+NO3"/>
  </r>
  <r>
    <n v="2011"/>
    <s v="April    "/>
    <x v="33"/>
    <n v="135.19999999999999"/>
    <s v="11GB13S21"/>
    <s v="Chlor-a"/>
  </r>
  <r>
    <n v="2011"/>
    <s v="April    "/>
    <x v="33"/>
    <n v="135.19999999999999"/>
    <s v="11GB13S21"/>
    <s v="NO2+NO3"/>
  </r>
  <r>
    <n v="2012"/>
    <s v="April    "/>
    <x v="33"/>
    <n v="131.4"/>
    <s v="12GB15S41"/>
    <s v="Chlor-a"/>
  </r>
  <r>
    <n v="2012"/>
    <s v="April    "/>
    <x v="33"/>
    <n v="131.4"/>
    <s v="12GB15S41"/>
    <s v="NO2+NO3"/>
  </r>
  <r>
    <n v="2008"/>
    <s v="August   "/>
    <x v="33"/>
    <n v="128.4"/>
    <s v="08GB35S21"/>
    <s v="Chlor-a"/>
  </r>
  <r>
    <n v="2008"/>
    <s v="August   "/>
    <x v="33"/>
    <n v="128.4"/>
    <s v="08GB35S21"/>
    <s v="NO2+NO3"/>
  </r>
  <r>
    <n v="2009"/>
    <s v="August   "/>
    <x v="33"/>
    <n v="128.4"/>
    <s v="09GB38S21"/>
    <s v="Chlor-a"/>
  </r>
  <r>
    <n v="2009"/>
    <s v="August   "/>
    <x v="33"/>
    <n v="128.4"/>
    <s v="09GB38S21"/>
    <s v="NO2+NO3"/>
  </r>
  <r>
    <n v="2010"/>
    <s v="August   "/>
    <x v="33"/>
    <n v="132.30000000000001"/>
    <s v="10GB35S21"/>
    <s v="Chlor-a"/>
  </r>
  <r>
    <n v="2010"/>
    <s v="August   "/>
    <x v="33"/>
    <n v="132.30000000000001"/>
    <s v="10GB35S21"/>
    <s v="NO2+NO3"/>
  </r>
  <r>
    <n v="2011"/>
    <s v="August   "/>
    <x v="33"/>
    <n v="131.4"/>
    <s v="11GB37S41"/>
    <s v="Chlor-a"/>
  </r>
  <r>
    <n v="2011"/>
    <s v="August   "/>
    <x v="33"/>
    <n v="131.4"/>
    <s v="11GB37S41"/>
    <s v="NO2+NO3"/>
  </r>
  <r>
    <n v="2012"/>
    <s v="August   "/>
    <x v="33"/>
    <n v="115.7"/>
    <s v="12GB48S01"/>
    <s v="Chlor-a"/>
  </r>
  <r>
    <n v="2012"/>
    <s v="August   "/>
    <x v="33"/>
    <n v="115.7"/>
    <s v="12GB48S01"/>
    <s v="NO2+NO3"/>
  </r>
  <r>
    <n v="2008"/>
    <s v="April    "/>
    <x v="34"/>
    <n v="119.6"/>
    <s v="08GB13S01"/>
    <s v="Chlor-a"/>
  </r>
  <r>
    <n v="2008"/>
    <s v="April    "/>
    <x v="34"/>
    <n v="119.6"/>
    <s v="08GB13S01"/>
    <s v="NO2+NO3"/>
  </r>
  <r>
    <n v="2009"/>
    <s v="April    "/>
    <x v="34"/>
    <n v="120.6"/>
    <s v="09GB13S01"/>
    <s v="Chlor-a"/>
  </r>
  <r>
    <n v="2009"/>
    <s v="April    "/>
    <x v="34"/>
    <n v="120.6"/>
    <s v="09GB13S01"/>
    <s v="NO2+NO3"/>
  </r>
  <r>
    <n v="2010"/>
    <s v="April    "/>
    <x v="34"/>
    <n v="120.4"/>
    <s v="10GB13S01"/>
    <s v="Chlor-a"/>
  </r>
  <r>
    <n v="2010"/>
    <s v="April    "/>
    <x v="34"/>
    <n v="120.4"/>
    <s v="10GB13S01"/>
    <s v="NO2+NO3"/>
  </r>
  <r>
    <n v="2011"/>
    <s v="April    "/>
    <x v="34"/>
    <n v="127.4"/>
    <s v="11GB13S01"/>
    <s v="Chlor-a"/>
  </r>
  <r>
    <n v="2011"/>
    <s v="April    "/>
    <x v="34"/>
    <n v="127.4"/>
    <s v="11GB13S01"/>
    <s v="NO2+NO3"/>
  </r>
  <r>
    <n v="2012"/>
    <s v="April    "/>
    <x v="34"/>
    <n v="119.7"/>
    <s v="12GB15S61"/>
    <s v="Chlor-a"/>
  </r>
  <r>
    <n v="2012"/>
    <s v="April    "/>
    <x v="34"/>
    <n v="119.7"/>
    <s v="12GB15S61"/>
    <s v="NO2+NO3"/>
  </r>
  <r>
    <n v="2008"/>
    <s v="August   "/>
    <x v="34"/>
    <n v="118.7"/>
    <s v="08GB35S01"/>
    <s v="Chlor-a"/>
  </r>
  <r>
    <n v="2008"/>
    <s v="August   "/>
    <x v="34"/>
    <n v="118.7"/>
    <s v="08GB35S01"/>
    <s v="NO2+NO3"/>
  </r>
  <r>
    <n v="2009"/>
    <s v="August   "/>
    <x v="34"/>
    <n v="119.6"/>
    <s v="09GB38S01"/>
    <s v="Chlor-a"/>
  </r>
  <r>
    <n v="2009"/>
    <s v="August   "/>
    <x v="34"/>
    <n v="119.6"/>
    <s v="09GB38S01"/>
    <s v="NO2+NO3"/>
  </r>
  <r>
    <n v="2010"/>
    <s v="August   "/>
    <x v="34"/>
    <n v="118.7"/>
    <s v="10GB35S01"/>
    <s v="Chlor-a"/>
  </r>
  <r>
    <n v="2010"/>
    <s v="August   "/>
    <x v="34"/>
    <n v="118.7"/>
    <s v="10GB35S01"/>
    <s v="NO2+NO3"/>
  </r>
  <r>
    <n v="2011"/>
    <s v="August   "/>
    <x v="34"/>
    <n v="118.7"/>
    <s v="11GB37S61"/>
    <s v="Chlor-a"/>
  </r>
  <r>
    <n v="2011"/>
    <s v="August   "/>
    <x v="34"/>
    <n v="118.7"/>
    <s v="11GB37S61"/>
    <s v="NO2+NO3"/>
  </r>
  <r>
    <n v="2012"/>
    <s v="August   "/>
    <x v="34"/>
    <n v="118.4"/>
    <s v="12GB48S21"/>
    <s v="Chlor-a"/>
  </r>
  <r>
    <n v="2012"/>
    <s v="August   "/>
    <x v="34"/>
    <n v="118.4"/>
    <s v="12GB48S21"/>
    <s v="NO2+NO3"/>
  </r>
  <r>
    <n v="2008"/>
    <s v="April    "/>
    <x v="35"/>
    <n v="90.4"/>
    <s v="08GB15S21"/>
    <s v="Chlor-a"/>
  </r>
  <r>
    <n v="2008"/>
    <s v="April    "/>
    <x v="35"/>
    <n v="90.4"/>
    <s v="08GB15S21"/>
    <s v="NO2+NO3"/>
  </r>
  <r>
    <n v="2009"/>
    <s v="April    "/>
    <x v="35"/>
    <n v="91.4"/>
    <s v="09GB15S21"/>
    <s v="Chlor-a"/>
  </r>
  <r>
    <n v="2009"/>
    <s v="April    "/>
    <x v="35"/>
    <n v="91.4"/>
    <s v="09GB15S21"/>
    <s v="NO2+NO3"/>
  </r>
  <r>
    <n v="2010"/>
    <s v="April    "/>
    <x v="35"/>
    <n v="90.8"/>
    <s v="10GB15S21"/>
    <s v="Chlor-a"/>
  </r>
  <r>
    <n v="2010"/>
    <s v="April    "/>
    <x v="35"/>
    <n v="90.8"/>
    <s v="10GB15S21"/>
    <s v="NO2+NO3"/>
  </r>
  <r>
    <n v="2011"/>
    <s v="April    "/>
    <x v="35"/>
    <n v="91.5"/>
    <s v="11GB15S21"/>
    <s v="Chlor-a"/>
  </r>
  <r>
    <n v="2011"/>
    <s v="April    "/>
    <x v="35"/>
    <n v="91.5"/>
    <s v="11GB15S21"/>
    <s v="NO2+NO3"/>
  </r>
  <r>
    <n v="2012"/>
    <s v="April    "/>
    <x v="35"/>
    <n v="90.5"/>
    <s v="12GB13S81"/>
    <s v="Chlor-a"/>
  </r>
  <r>
    <n v="2012"/>
    <s v="April    "/>
    <x v="35"/>
    <n v="90.5"/>
    <s v="12GB13S81"/>
    <s v="NO2+NO3"/>
  </r>
  <r>
    <n v="2008"/>
    <s v="August   "/>
    <x v="35"/>
    <n v="89.5"/>
    <s v="08GB37S21"/>
    <s v="Chlor-a"/>
  </r>
  <r>
    <n v="2008"/>
    <s v="August   "/>
    <x v="35"/>
    <n v="89.5"/>
    <s v="08GB37S21"/>
    <s v="NO2+NO3"/>
  </r>
  <r>
    <n v="2009"/>
    <s v="August   "/>
    <x v="35"/>
    <n v="90.5"/>
    <s v="09GB40S21"/>
    <s v="Chlor-a"/>
  </r>
  <r>
    <n v="2009"/>
    <s v="August   "/>
    <x v="35"/>
    <n v="90.5"/>
    <s v="09GB40S21"/>
    <s v="NO2+NO3"/>
  </r>
  <r>
    <n v="2010"/>
    <s v="August   "/>
    <x v="35"/>
    <n v="89.5"/>
    <s v="10GB37S21"/>
    <s v="Chlor-a"/>
  </r>
  <r>
    <n v="2010"/>
    <s v="August   "/>
    <x v="35"/>
    <n v="89.5"/>
    <s v="10GB37S21"/>
    <s v="NO2+NO3"/>
  </r>
  <r>
    <n v="2011"/>
    <s v="August   "/>
    <x v="35"/>
    <n v="89.5"/>
    <s v="11GB35S81"/>
    <s v="Chlor-a"/>
  </r>
  <r>
    <n v="2011"/>
    <s v="August   "/>
    <x v="35"/>
    <n v="89.5"/>
    <s v="11GB35S81"/>
    <s v="NO2+NO3"/>
  </r>
  <r>
    <n v="2012"/>
    <s v="August   "/>
    <x v="35"/>
    <n v="89.5"/>
    <s v="12GB46S41"/>
    <s v="Chlor-a"/>
  </r>
  <r>
    <n v="2012"/>
    <s v="August   "/>
    <x v="35"/>
    <n v="89.5"/>
    <s v="12GB46S41"/>
    <s v="NO2+NO3"/>
  </r>
  <r>
    <n v="2008"/>
    <s v="April    "/>
    <x v="36"/>
    <n v="114.8"/>
    <s v="08GB13S81"/>
    <s v="Chlor-a"/>
  </r>
  <r>
    <n v="2008"/>
    <s v="April    "/>
    <x v="36"/>
    <n v="114.8"/>
    <s v="08GB13S81"/>
    <s v="NO2+NO3"/>
  </r>
  <r>
    <n v="2010"/>
    <s v="April    "/>
    <x v="36"/>
    <n v="114.8"/>
    <s v="10GB13S81"/>
    <s v="Chlor-a"/>
  </r>
  <r>
    <n v="2010"/>
    <s v="April    "/>
    <x v="36"/>
    <n v="114.8"/>
    <s v="10GB13S81"/>
    <s v="NO2+NO3"/>
  </r>
  <r>
    <n v="2012"/>
    <s v="April    "/>
    <x v="36"/>
    <n v="114.8"/>
    <s v="12GB15S81"/>
    <s v="Chlor-a"/>
  </r>
  <r>
    <n v="2012"/>
    <s v="April    "/>
    <x v="36"/>
    <n v="114.8"/>
    <s v="12GB15S81"/>
    <s v="NO2+NO3"/>
  </r>
  <r>
    <n v="2008"/>
    <s v="August   "/>
    <x v="36"/>
    <n v="114.8"/>
    <s v="08GB35S81"/>
    <s v="Chlor-a"/>
  </r>
  <r>
    <n v="2008"/>
    <s v="August   "/>
    <x v="36"/>
    <n v="114.8"/>
    <s v="08GB35S81"/>
    <s v="NO2+NO3"/>
  </r>
  <r>
    <n v="2010"/>
    <s v="August   "/>
    <x v="36"/>
    <n v="114.8"/>
    <s v="10GB35S81"/>
    <s v="Chlor-a"/>
  </r>
  <r>
    <n v="2010"/>
    <s v="August   "/>
    <x v="36"/>
    <n v="114.8"/>
    <s v="10GB35S81"/>
    <s v="NO2+NO3"/>
  </r>
  <r>
    <n v="2012"/>
    <s v="August   "/>
    <x v="36"/>
    <n v="114.5"/>
    <s v="12GB48S41"/>
    <s v="Chlor-a"/>
  </r>
  <r>
    <n v="2012"/>
    <s v="August   "/>
    <x v="36"/>
    <n v="114.5"/>
    <s v="12GB48S41"/>
    <s v="NO2+NO3"/>
  </r>
  <r>
    <n v="2009"/>
    <s v="April    "/>
    <x v="37"/>
    <n v="37.9"/>
    <s v="09GB14S81"/>
    <s v="Chlor-a"/>
  </r>
  <r>
    <n v="2009"/>
    <s v="April    "/>
    <x v="37"/>
    <n v="37.9"/>
    <s v="09GB14S81"/>
    <s v="NO2+NO3"/>
  </r>
  <r>
    <n v="2011"/>
    <s v="April    "/>
    <x v="37"/>
    <n v="37.9"/>
    <s v="11GB14S81"/>
    <s v="Chlor-a"/>
  </r>
  <r>
    <n v="2011"/>
    <s v="April    "/>
    <x v="37"/>
    <n v="37.9"/>
    <s v="11GB14S81"/>
    <s v="NO2+NO3"/>
  </r>
  <r>
    <n v="2009"/>
    <s v="August   "/>
    <x v="37"/>
    <n v="37.9"/>
    <s v="09GB39S81"/>
    <s v="Chlor-a"/>
  </r>
  <r>
    <n v="2009"/>
    <s v="August   "/>
    <x v="37"/>
    <n v="37.9"/>
    <s v="09GB39S81"/>
    <s v="NO2+NO3"/>
  </r>
  <r>
    <n v="2011"/>
    <s v="August   "/>
    <x v="37"/>
    <n v="37"/>
    <s v="11GB38S01"/>
    <s v="Chlor-a"/>
  </r>
  <r>
    <n v="2011"/>
    <s v="August   "/>
    <x v="37"/>
    <n v="37"/>
    <s v="11GB38S01"/>
    <s v="NO2+NO3"/>
  </r>
  <r>
    <n v="2008"/>
    <s v="April    "/>
    <x v="38"/>
    <n v="128.5"/>
    <s v="08GA10S21"/>
    <s v="Chlor-a"/>
  </r>
  <r>
    <n v="2008"/>
    <s v="April    "/>
    <x v="38"/>
    <n v="128.5"/>
    <s v="08GA10S21"/>
    <s v="NO2+NO3"/>
  </r>
  <r>
    <n v="2009"/>
    <s v="April    "/>
    <x v="38"/>
    <n v="128.4"/>
    <s v="09GA10S21"/>
    <s v="Chlor-a"/>
  </r>
  <r>
    <n v="2009"/>
    <s v="April    "/>
    <x v="38"/>
    <n v="128.4"/>
    <s v="09GA10S21"/>
    <s v="NO2+NO3"/>
  </r>
  <r>
    <n v="2010"/>
    <s v="April    "/>
    <x v="38"/>
    <n v="132"/>
    <s v="10GA10S21"/>
    <s v="Chlor-a"/>
  </r>
  <r>
    <n v="2010"/>
    <s v="April    "/>
    <x v="38"/>
    <n v="132"/>
    <s v="10GA10S21"/>
    <s v="NO2+NO3"/>
  </r>
  <r>
    <n v="2011"/>
    <s v="April    "/>
    <x v="38"/>
    <n v="128.4"/>
    <s v="11GA10S21"/>
    <s v="Chlor-a"/>
  </r>
  <r>
    <n v="2011"/>
    <s v="April    "/>
    <x v="38"/>
    <n v="128.4"/>
    <s v="11GA10S21"/>
    <s v="NO2+NO3"/>
  </r>
  <r>
    <n v="2012"/>
    <s v="April    "/>
    <x v="38"/>
    <n v="130"/>
    <s v="12GA10S01"/>
    <s v="Chlor-a"/>
  </r>
  <r>
    <n v="2012"/>
    <s v="April    "/>
    <x v="38"/>
    <n v="130"/>
    <s v="12GA10S01"/>
    <s v="NO2+NO3"/>
  </r>
  <r>
    <n v="2008"/>
    <s v="August   "/>
    <x v="38"/>
    <n v="126.5"/>
    <s v="08GA30S21"/>
    <s v="Chlor-a"/>
  </r>
  <r>
    <n v="2008"/>
    <s v="August   "/>
    <x v="38"/>
    <n v="126.5"/>
    <s v="08GA30S21"/>
    <s v="NO2+NO3"/>
  </r>
  <r>
    <n v="2009"/>
    <s v="August   "/>
    <x v="38"/>
    <n v="128.4"/>
    <s v="09GA33S21"/>
    <s v="Chlor-a"/>
  </r>
  <r>
    <n v="2009"/>
    <s v="August   "/>
    <x v="38"/>
    <n v="128.4"/>
    <s v="09GA33S21"/>
    <s v="NO2+NO3"/>
  </r>
  <r>
    <n v="2010"/>
    <s v="August   "/>
    <x v="38"/>
    <n v="123"/>
    <s v="10GA30S21"/>
    <s v="Chlor-a"/>
  </r>
  <r>
    <n v="2010"/>
    <s v="August   "/>
    <x v="38"/>
    <n v="123"/>
    <s v="10GA30S21"/>
    <s v="NO2+NO3"/>
  </r>
  <r>
    <n v="2011"/>
    <s v="August   "/>
    <x v="38"/>
    <n v="126.5"/>
    <s v="11GA30S01"/>
    <s v="Chlor-a"/>
  </r>
  <r>
    <n v="2011"/>
    <s v="August   "/>
    <x v="38"/>
    <n v="126.5"/>
    <s v="11GA30S01"/>
    <s v="NO2+NO3"/>
  </r>
  <r>
    <n v="2012"/>
    <s v="August   "/>
    <x v="38"/>
    <n v="127.2"/>
    <s v="12GA40S01"/>
    <s v="Chlor-a"/>
  </r>
  <r>
    <n v="2012"/>
    <s v="August   "/>
    <x v="38"/>
    <n v="127.2"/>
    <s v="12GA40S01"/>
    <s v="NO2+NO3"/>
  </r>
  <r>
    <n v="2008"/>
    <s v="April    "/>
    <x v="39"/>
    <n v="102.1"/>
    <s v="08GA10S01"/>
    <s v="Chlor-a"/>
  </r>
  <r>
    <n v="2008"/>
    <s v="April    "/>
    <x v="39"/>
    <n v="102.1"/>
    <s v="08GA10S01"/>
    <s v="NO2+NO3"/>
  </r>
  <r>
    <n v="2009"/>
    <s v="April    "/>
    <x v="39"/>
    <n v="102.2"/>
    <s v="09GA10S01"/>
    <s v="Chlor-a"/>
  </r>
  <r>
    <n v="2009"/>
    <s v="April    "/>
    <x v="39"/>
    <n v="102.2"/>
    <s v="09GA10S01"/>
    <s v="NO2+NO3"/>
  </r>
  <r>
    <n v="2010"/>
    <s v="April    "/>
    <x v="39"/>
    <n v="102.2"/>
    <s v="10GA10S01"/>
    <s v="Chlor-a"/>
  </r>
  <r>
    <n v="2010"/>
    <s v="April    "/>
    <x v="39"/>
    <n v="102.2"/>
    <s v="10GA10S01"/>
    <s v="NO2+NO3"/>
  </r>
  <r>
    <n v="2011"/>
    <s v="April    "/>
    <x v="39"/>
    <n v="102.2"/>
    <s v="11GA10S01"/>
    <s v="Chlor-a"/>
  </r>
  <r>
    <n v="2011"/>
    <s v="April    "/>
    <x v="39"/>
    <n v="102.2"/>
    <s v="11GA10S01"/>
    <s v="NO2+NO3"/>
  </r>
  <r>
    <n v="2012"/>
    <s v="April    "/>
    <x v="39"/>
    <n v="101.2"/>
    <s v="12GA10S21"/>
    <s v="Chlor-a"/>
  </r>
  <r>
    <n v="2012"/>
    <s v="April    "/>
    <x v="39"/>
    <n v="101.2"/>
    <s v="12GA10S21"/>
    <s v="NO2+NO3"/>
  </r>
  <r>
    <n v="2008"/>
    <s v="August   "/>
    <x v="39"/>
    <n v="101.1"/>
    <s v="08GA30S01"/>
    <s v="Chlor-a"/>
  </r>
  <r>
    <n v="2008"/>
    <s v="August   "/>
    <x v="39"/>
    <n v="101.1"/>
    <s v="08GA30S01"/>
    <s v="NO2+NO3"/>
  </r>
  <r>
    <n v="2009"/>
    <s v="August   "/>
    <x v="39"/>
    <n v="102.2"/>
    <s v="09GA33S01"/>
    <s v="Chlor-a"/>
  </r>
  <r>
    <n v="2009"/>
    <s v="August   "/>
    <x v="39"/>
    <n v="102.2"/>
    <s v="09GA33S01"/>
    <s v="NO2+NO3"/>
  </r>
  <r>
    <n v="2010"/>
    <s v="August   "/>
    <x v="39"/>
    <n v="101.2"/>
    <s v="10GA30S01"/>
    <s v="Chlor-a"/>
  </r>
  <r>
    <n v="2010"/>
    <s v="August   "/>
    <x v="39"/>
    <n v="101.2"/>
    <s v="10GA30S01"/>
    <s v="NO2+NO3"/>
  </r>
  <r>
    <n v="2011"/>
    <s v="August   "/>
    <x v="39"/>
    <n v="101.2"/>
    <s v="11GA30S21"/>
    <s v="Chlor-a"/>
  </r>
  <r>
    <n v="2011"/>
    <s v="August   "/>
    <x v="39"/>
    <n v="101.2"/>
    <s v="11GA30S21"/>
    <s v="NO2+NO3"/>
  </r>
  <r>
    <n v="2012"/>
    <s v="August   "/>
    <x v="39"/>
    <n v="100"/>
    <s v="12GA40S21"/>
    <s v="Chlor-a"/>
  </r>
  <r>
    <n v="2012"/>
    <s v="August   "/>
    <x v="39"/>
    <n v="100"/>
    <s v="12GA40S21"/>
    <s v="NO2+NO3"/>
  </r>
  <r>
    <n v="2008"/>
    <s v="April    "/>
    <x v="40"/>
    <n v="161.5"/>
    <s v="08GA10S41"/>
    <s v="Chlor-a"/>
  </r>
  <r>
    <n v="2008"/>
    <s v="April    "/>
    <x v="40"/>
    <n v="161.5"/>
    <s v="08GA10S41"/>
    <s v="NO2+NO3"/>
  </r>
  <r>
    <n v="2009"/>
    <s v="April    "/>
    <x v="40"/>
    <n v="161.5"/>
    <s v="09GA10S41"/>
    <s v="Chlor-a"/>
  </r>
  <r>
    <n v="2009"/>
    <s v="April    "/>
    <x v="40"/>
    <n v="161.5"/>
    <s v="09GA10S41"/>
    <s v="NO2+NO3"/>
  </r>
  <r>
    <n v="2010"/>
    <s v="April    "/>
    <x v="40"/>
    <n v="161.5"/>
    <s v="10GA10S41"/>
    <s v="Chlor-a"/>
  </r>
  <r>
    <n v="2010"/>
    <s v="April    "/>
    <x v="40"/>
    <n v="161.5"/>
    <s v="10GA10S41"/>
    <s v="NO2+NO3"/>
  </r>
  <r>
    <n v="2011"/>
    <s v="April    "/>
    <x v="40"/>
    <n v="161.5"/>
    <s v="11GA10S41"/>
    <s v="Chlor-a"/>
  </r>
  <r>
    <n v="2011"/>
    <s v="April    "/>
    <x v="40"/>
    <n v="161.5"/>
    <s v="11GA10S41"/>
    <s v="NO2+NO3"/>
  </r>
  <r>
    <n v="2012"/>
    <s v="April    "/>
    <x v="40"/>
    <n v="160.54"/>
    <s v="12GA10S41"/>
    <s v="Chlor-a"/>
  </r>
  <r>
    <n v="2012"/>
    <s v="April    "/>
    <x v="40"/>
    <n v="160.54"/>
    <s v="12GA10S41"/>
    <s v="NO2+NO3"/>
  </r>
  <r>
    <n v="2008"/>
    <s v="August   "/>
    <x v="40"/>
    <n v="160.5"/>
    <s v="08GA30S41"/>
    <s v="Chlor-a"/>
  </r>
  <r>
    <n v="2008"/>
    <s v="August   "/>
    <x v="40"/>
    <n v="160.5"/>
    <s v="08GA30S41"/>
    <s v="NO2+NO3"/>
  </r>
  <r>
    <n v="2009"/>
    <s v="August   "/>
    <x v="40"/>
    <n v="160.5"/>
    <s v="09GA33S41"/>
    <s v="Chlor-a"/>
  </r>
  <r>
    <n v="2009"/>
    <s v="August   "/>
    <x v="40"/>
    <n v="160.5"/>
    <s v="09GA33S41"/>
    <s v="NO2+NO3"/>
  </r>
  <r>
    <n v="2010"/>
    <s v="August   "/>
    <x v="40"/>
    <n v="160.5"/>
    <s v="10GA30S41"/>
    <s v="Chlor-a"/>
  </r>
  <r>
    <n v="2010"/>
    <s v="August   "/>
    <x v="40"/>
    <n v="160.5"/>
    <s v="10GA30S41"/>
    <s v="NO2+NO3"/>
  </r>
  <r>
    <n v="2011"/>
    <s v="August   "/>
    <x v="40"/>
    <n v="160.5"/>
    <s v="11GA30S41"/>
    <s v="Chlor-a"/>
  </r>
  <r>
    <n v="2011"/>
    <s v="August   "/>
    <x v="40"/>
    <n v="160.5"/>
    <s v="11GA30S41"/>
    <s v="NO2+NO3"/>
  </r>
  <r>
    <n v="2012"/>
    <s v="August   "/>
    <x v="40"/>
    <n v="160.4"/>
    <s v="12GA40S41"/>
    <s v="Chlor-a"/>
  </r>
  <r>
    <n v="2012"/>
    <s v="August   "/>
    <x v="40"/>
    <n v="160.4"/>
    <s v="12GA40S41"/>
    <s v="NO2+NO3"/>
  </r>
  <r>
    <n v="2008"/>
    <s v="April    "/>
    <x v="41"/>
    <n v="91.4"/>
    <s v="08GA10S61"/>
    <s v="Chlor-a"/>
  </r>
  <r>
    <n v="2008"/>
    <s v="April    "/>
    <x v="41"/>
    <n v="91.4"/>
    <s v="08GA10S61"/>
    <s v="NO2+NO3"/>
  </r>
  <r>
    <n v="2009"/>
    <s v="April    "/>
    <x v="41"/>
    <n v="91.5"/>
    <s v="09GA10S61"/>
    <s v="Chlor-a"/>
  </r>
  <r>
    <n v="2009"/>
    <s v="April    "/>
    <x v="41"/>
    <n v="91.5"/>
    <s v="09GA10S61"/>
    <s v="NO2+NO3"/>
  </r>
  <r>
    <n v="2010"/>
    <s v="April    "/>
    <x v="41"/>
    <n v="91.6"/>
    <s v="10GA10S61"/>
    <s v="Chlor-a"/>
  </r>
  <r>
    <n v="2010"/>
    <s v="April    "/>
    <x v="41"/>
    <n v="91.6"/>
    <s v="10GA10S61"/>
    <s v="NO2+NO3"/>
  </r>
  <r>
    <n v="2011"/>
    <s v="April    "/>
    <x v="41"/>
    <n v="92.4"/>
    <s v="11GA10S61"/>
    <s v="Chlor-a"/>
  </r>
  <r>
    <n v="2011"/>
    <s v="April    "/>
    <x v="41"/>
    <n v="92.4"/>
    <s v="11GA10S61"/>
    <s v="NO2+NO3"/>
  </r>
  <r>
    <n v="2012"/>
    <s v="April    "/>
    <x v="41"/>
    <n v="91.5"/>
    <s v="12GA10S61"/>
    <s v="Chlor-a"/>
  </r>
  <r>
    <n v="2012"/>
    <s v="April    "/>
    <x v="41"/>
    <n v="91.5"/>
    <s v="12GA10S61"/>
    <s v="NO2+NO3"/>
  </r>
  <r>
    <n v="2008"/>
    <s v="August   "/>
    <x v="41"/>
    <n v="90.5"/>
    <s v="08GA30S61"/>
    <s v="Chlor-a"/>
  </r>
  <r>
    <n v="2008"/>
    <s v="August   "/>
    <x v="41"/>
    <n v="90.5"/>
    <s v="08GA30S61"/>
    <s v="NO2+NO3"/>
  </r>
  <r>
    <n v="2009"/>
    <s v="August   "/>
    <x v="41"/>
    <n v="90.4"/>
    <s v="09GA33S61"/>
    <s v="Chlor-a"/>
  </r>
  <r>
    <n v="2009"/>
    <s v="August   "/>
    <x v="41"/>
    <n v="90.4"/>
    <s v="09GA33S61"/>
    <s v="NO2+NO3"/>
  </r>
  <r>
    <n v="2010"/>
    <s v="August   "/>
    <x v="41"/>
    <n v="87.5"/>
    <s v="10GA30S61"/>
    <s v="Chlor-a"/>
  </r>
  <r>
    <n v="2010"/>
    <s v="August   "/>
    <x v="41"/>
    <n v="87.5"/>
    <s v="10GA30S61"/>
    <s v="NO2+NO3"/>
  </r>
  <r>
    <n v="2011"/>
    <s v="August   "/>
    <x v="41"/>
    <n v="90.5"/>
    <s v="11GA30S61"/>
    <s v="Chlor-a"/>
  </r>
  <r>
    <n v="2011"/>
    <s v="August   "/>
    <x v="41"/>
    <n v="90.5"/>
    <s v="11GA30S61"/>
    <s v="NO2+NO3"/>
  </r>
  <r>
    <n v="2012"/>
    <s v="August   "/>
    <x v="41"/>
    <n v="89.5"/>
    <s v="12GA40S61"/>
    <s v="Chlor-a"/>
  </r>
  <r>
    <n v="2012"/>
    <s v="August   "/>
    <x v="41"/>
    <n v="89.5"/>
    <s v="12GA40S61"/>
    <s v="NO2+NO3"/>
  </r>
  <r>
    <n v="2008"/>
    <s v="April    "/>
    <x v="42"/>
    <n v="93.4"/>
    <s v="08GA11S01"/>
    <s v="Chlor-a"/>
  </r>
  <r>
    <n v="2008"/>
    <s v="April    "/>
    <x v="42"/>
    <n v="93.4"/>
    <s v="08GA11S01"/>
    <s v="NO2+NO3"/>
  </r>
  <r>
    <n v="2009"/>
    <s v="April    "/>
    <x v="42"/>
    <n v="93.4"/>
    <s v="09GA10S81"/>
    <s v="Chlor-a"/>
  </r>
  <r>
    <n v="2009"/>
    <s v="April    "/>
    <x v="42"/>
    <n v="93.4"/>
    <s v="09GA10S81"/>
    <s v="NO2+NO3"/>
  </r>
  <r>
    <n v="2010"/>
    <s v="April    "/>
    <x v="42"/>
    <n v="93.4"/>
    <s v="10GA11S01"/>
    <s v="Chlor-a"/>
  </r>
  <r>
    <n v="2010"/>
    <s v="April    "/>
    <x v="42"/>
    <n v="93.4"/>
    <s v="10GA11S01"/>
    <s v="NO2+NO3"/>
  </r>
  <r>
    <n v="2011"/>
    <s v="April    "/>
    <x v="42"/>
    <n v="93.4"/>
    <s v="11GA10S81"/>
    <s v="Chlor-a"/>
  </r>
  <r>
    <n v="2011"/>
    <s v="April    "/>
    <x v="42"/>
    <n v="93.4"/>
    <s v="11GA10S81"/>
    <s v="NO2+NO3"/>
  </r>
  <r>
    <n v="2012"/>
    <s v="April    "/>
    <x v="42"/>
    <n v="92.4"/>
    <s v="12GA10S81"/>
    <s v="Chlor-a"/>
  </r>
  <r>
    <n v="2012"/>
    <s v="April    "/>
    <x v="42"/>
    <n v="92.4"/>
    <s v="12GA10S81"/>
    <s v="NO2+NO3"/>
  </r>
  <r>
    <n v="2008"/>
    <s v="August   "/>
    <x v="42"/>
    <n v="91.4"/>
    <s v="08GA31S01"/>
    <s v="Chlor-a"/>
  </r>
  <r>
    <n v="2008"/>
    <s v="August   "/>
    <x v="42"/>
    <n v="91.4"/>
    <s v="08GA31S01"/>
    <s v="NO2+NO3"/>
  </r>
  <r>
    <n v="2009"/>
    <s v="August   "/>
    <x v="42"/>
    <n v="92.4"/>
    <s v="09GA33S81"/>
    <s v="Chlor-a"/>
  </r>
  <r>
    <n v="2009"/>
    <s v="August   "/>
    <x v="42"/>
    <n v="92.4"/>
    <s v="09GA33S81"/>
    <s v="NO2+NO3"/>
  </r>
  <r>
    <n v="2010"/>
    <s v="August   "/>
    <x v="42"/>
    <n v="91.5"/>
    <s v="10GA31S01"/>
    <s v="Chlor-a"/>
  </r>
  <r>
    <n v="2010"/>
    <s v="August   "/>
    <x v="42"/>
    <n v="91.5"/>
    <s v="10GA31S01"/>
    <s v="NO2+NO3"/>
  </r>
  <r>
    <n v="2011"/>
    <s v="August   "/>
    <x v="42"/>
    <n v="91.5"/>
    <s v="11GA30S81"/>
    <s v="Chlor-a"/>
  </r>
  <r>
    <n v="2011"/>
    <s v="August   "/>
    <x v="42"/>
    <n v="91.5"/>
    <s v="11GA30S81"/>
    <s v="NO2+NO3"/>
  </r>
  <r>
    <n v="2012"/>
    <s v="August   "/>
    <x v="42"/>
    <n v="92"/>
    <s v="12GA40S81"/>
    <s v="Chlor-a"/>
  </r>
  <r>
    <n v="2012"/>
    <s v="August   "/>
    <x v="42"/>
    <n v="92"/>
    <s v="12GA40S81"/>
    <s v="NO2+NO3"/>
  </r>
  <r>
    <n v="2008"/>
    <s v="April    "/>
    <x v="43"/>
    <n v="105"/>
    <s v="08GA11S21"/>
    <s v="Chlor-a"/>
  </r>
  <r>
    <n v="2008"/>
    <s v="April    "/>
    <x v="43"/>
    <n v="105"/>
    <s v="08GA11S21"/>
    <s v="NO2+NO3"/>
  </r>
  <r>
    <n v="2009"/>
    <s v="April    "/>
    <x v="43"/>
    <n v="109"/>
    <s v="09GA11S01"/>
    <s v="Chlor-a"/>
  </r>
  <r>
    <n v="2009"/>
    <s v="April    "/>
    <x v="43"/>
    <n v="109"/>
    <s v="09GA11S01"/>
    <s v="NO2+NO3"/>
  </r>
  <r>
    <n v="2010"/>
    <s v="April    "/>
    <x v="43"/>
    <n v="107"/>
    <s v="10GA11S21"/>
    <s v="Chlor-a"/>
  </r>
  <r>
    <n v="2010"/>
    <s v="April    "/>
    <x v="43"/>
    <n v="107"/>
    <s v="10GA11S21"/>
    <s v="NO2+NO3"/>
  </r>
  <r>
    <n v="2011"/>
    <s v="April    "/>
    <x v="43"/>
    <n v="106.1"/>
    <s v="11GA11S01"/>
    <s v="Chlor-a"/>
  </r>
  <r>
    <n v="2011"/>
    <s v="April    "/>
    <x v="43"/>
    <n v="106.1"/>
    <s v="11GA11S01"/>
    <s v="NO2+NO3"/>
  </r>
  <r>
    <n v="2012"/>
    <s v="April    "/>
    <x v="43"/>
    <n v="106.1"/>
    <s v="12GA11S01"/>
    <s v="Chlor-a"/>
  </r>
  <r>
    <n v="2012"/>
    <s v="April    "/>
    <x v="43"/>
    <n v="106.1"/>
    <s v="12GA11S01"/>
    <s v="NO2+NO3"/>
  </r>
  <r>
    <n v="2008"/>
    <s v="August   "/>
    <x v="43"/>
    <n v="104.1"/>
    <s v="08GA31S21"/>
    <s v="Chlor-a"/>
  </r>
  <r>
    <n v="2008"/>
    <s v="August   "/>
    <x v="43"/>
    <n v="104.1"/>
    <s v="08GA31S21"/>
    <s v="NO2+NO3"/>
  </r>
  <r>
    <n v="2009"/>
    <s v="August   "/>
    <x v="43"/>
    <n v="102.2"/>
    <s v="09GA34S01"/>
    <s v="Chlor-a"/>
  </r>
  <r>
    <n v="2009"/>
    <s v="August   "/>
    <x v="43"/>
    <n v="102.2"/>
    <s v="09GA34S01"/>
    <s v="NO2+NO3"/>
  </r>
  <r>
    <n v="2010"/>
    <s v="August   "/>
    <x v="43"/>
    <n v="104"/>
    <s v="10GA31S21"/>
    <s v="Chlor-a"/>
  </r>
  <r>
    <n v="2010"/>
    <s v="August   "/>
    <x v="43"/>
    <n v="104"/>
    <s v="10GA31S21"/>
    <s v="NO2+NO3"/>
  </r>
  <r>
    <n v="2011"/>
    <s v="August   "/>
    <x v="43"/>
    <n v="105.1"/>
    <s v="11GA31S01"/>
    <s v="Chlor-a"/>
  </r>
  <r>
    <n v="2011"/>
    <s v="August   "/>
    <x v="43"/>
    <n v="105.1"/>
    <s v="11GA31S01"/>
    <s v="NO2+NO3"/>
  </r>
  <r>
    <n v="2012"/>
    <s v="August   "/>
    <x v="43"/>
    <n v="105.1"/>
    <s v="12GA41S01"/>
    <s v="Chlor-a"/>
  </r>
  <r>
    <n v="2012"/>
    <s v="August   "/>
    <x v="43"/>
    <n v="105.1"/>
    <s v="12GA41S01"/>
    <s v="NO2+NO3"/>
  </r>
  <r>
    <n v="2008"/>
    <s v="April    "/>
    <x v="44"/>
    <n v="164.4"/>
    <s v="08GA11S61"/>
    <s v="Chlor-a"/>
  </r>
  <r>
    <n v="2008"/>
    <s v="April    "/>
    <x v="44"/>
    <n v="164.4"/>
    <s v="08GA11S61"/>
    <s v="NO2+NO3"/>
  </r>
  <r>
    <n v="2009"/>
    <s v="April    "/>
    <x v="44"/>
    <n v="166.3"/>
    <s v="09GA11S41"/>
    <s v="Chlor-a"/>
  </r>
  <r>
    <n v="2009"/>
    <s v="April    "/>
    <x v="44"/>
    <n v="166.3"/>
    <s v="09GA11S41"/>
    <s v="NO2+NO3"/>
  </r>
  <r>
    <n v="2010"/>
    <s v="April    "/>
    <x v="44"/>
    <n v="164.2"/>
    <s v="10GA11S61"/>
    <s v="Chlor-a"/>
  </r>
  <r>
    <n v="2010"/>
    <s v="April    "/>
    <x v="44"/>
    <n v="164.2"/>
    <s v="10GA11S61"/>
    <s v="NO2+NO3"/>
  </r>
  <r>
    <n v="2011"/>
    <s v="April    "/>
    <x v="44"/>
    <n v="164.4"/>
    <s v="11GA11S41"/>
    <s v="Chlor-a"/>
  </r>
  <r>
    <n v="2011"/>
    <s v="April    "/>
    <x v="44"/>
    <n v="164.4"/>
    <s v="11GA11S41"/>
    <s v="NO2+NO3"/>
  </r>
  <r>
    <n v="2012"/>
    <s v="April    "/>
    <x v="44"/>
    <n v="164.4"/>
    <s v="12GA11S21"/>
    <s v="Chlor-a"/>
  </r>
  <r>
    <n v="2012"/>
    <s v="April    "/>
    <x v="44"/>
    <n v="164.4"/>
    <s v="12GA11S21"/>
    <s v="NO2+NO3"/>
  </r>
  <r>
    <n v="2008"/>
    <s v="August   "/>
    <x v="44"/>
    <n v="164.4"/>
    <s v="08GA31S61"/>
    <s v="Chlor-a"/>
  </r>
  <r>
    <n v="2008"/>
    <s v="August   "/>
    <x v="44"/>
    <n v="164.4"/>
    <s v="08GA31S61"/>
    <s v="NO2+NO3"/>
  </r>
  <r>
    <n v="2009"/>
    <s v="August   "/>
    <x v="44"/>
    <n v="164.4"/>
    <s v="09GA34S41"/>
    <s v="Chlor-a"/>
  </r>
  <r>
    <n v="2009"/>
    <s v="August   "/>
    <x v="44"/>
    <n v="164.4"/>
    <s v="09GA34S41"/>
    <s v="NO2+NO3"/>
  </r>
  <r>
    <n v="2010"/>
    <s v="August   "/>
    <x v="44"/>
    <n v="164.4"/>
    <s v="10GA31S61"/>
    <s v="Chlor-a"/>
  </r>
  <r>
    <n v="2010"/>
    <s v="August   "/>
    <x v="44"/>
    <n v="164.4"/>
    <s v="10GA31S61"/>
    <s v="NO2+NO3"/>
  </r>
  <r>
    <n v="2011"/>
    <s v="August   "/>
    <x v="44"/>
    <n v="164.4"/>
    <s v="11GA31S21"/>
    <s v="Chlor-a"/>
  </r>
  <r>
    <n v="2011"/>
    <s v="August   "/>
    <x v="44"/>
    <n v="164.4"/>
    <s v="11GA31S21"/>
    <s v="NO2+NO3"/>
  </r>
  <r>
    <n v="2012"/>
    <s v="August   "/>
    <x v="44"/>
    <n v="163.5"/>
    <s v="12GA41S21"/>
    <s v="Chlor-a"/>
  </r>
  <r>
    <n v="2012"/>
    <s v="August   "/>
    <x v="44"/>
    <n v="163.5"/>
    <s v="12GA41S21"/>
    <s v="NO2+NO3"/>
  </r>
  <r>
    <n v="2008"/>
    <s v="April    "/>
    <x v="45"/>
    <n v="159.5"/>
    <s v="08GA11S41"/>
    <s v="Chlor-a"/>
  </r>
  <r>
    <n v="2008"/>
    <s v="April    "/>
    <x v="45"/>
    <n v="159.5"/>
    <s v="08GA11S41"/>
    <s v="NO2+NO3"/>
  </r>
  <r>
    <n v="2009"/>
    <s v="April    "/>
    <x v="45"/>
    <n v="160.5"/>
    <s v="09GA11S21"/>
    <s v="Chlor-a"/>
  </r>
  <r>
    <n v="2009"/>
    <s v="April    "/>
    <x v="45"/>
    <n v="160.5"/>
    <s v="09GA11S21"/>
    <s v="NO2+NO3"/>
  </r>
  <r>
    <n v="2010"/>
    <s v="April    "/>
    <x v="45"/>
    <n v="159.9"/>
    <s v="10GA11S41"/>
    <s v="Chlor-a"/>
  </r>
  <r>
    <n v="2010"/>
    <s v="April    "/>
    <x v="45"/>
    <n v="159.9"/>
    <s v="10GA11S41"/>
    <s v="NO2+NO3"/>
  </r>
  <r>
    <n v="2011"/>
    <s v="April    "/>
    <x v="45"/>
    <n v="160.5"/>
    <s v="11GA11S21"/>
    <s v="Chlor-a"/>
  </r>
  <r>
    <n v="2011"/>
    <s v="April    "/>
    <x v="45"/>
    <n v="160.5"/>
    <s v="11GA11S21"/>
    <s v="NO2+NO3"/>
  </r>
  <r>
    <n v="2012"/>
    <s v="April    "/>
    <x v="45"/>
    <n v="159.6"/>
    <s v="12GA11S41"/>
    <s v="Chlor-a"/>
  </r>
  <r>
    <n v="2012"/>
    <s v="April    "/>
    <x v="45"/>
    <n v="159.6"/>
    <s v="12GA11S41"/>
    <s v="NO2+NO3"/>
  </r>
  <r>
    <n v="2008"/>
    <s v="August   "/>
    <x v="45"/>
    <n v="159.6"/>
    <s v="08GA31S41"/>
    <s v="Chlor-a"/>
  </r>
  <r>
    <n v="2008"/>
    <s v="August   "/>
    <x v="45"/>
    <n v="159.6"/>
    <s v="08GA31S41"/>
    <s v="NO2+NO3"/>
  </r>
  <r>
    <n v="2009"/>
    <s v="August   "/>
    <x v="45"/>
    <n v="159.6"/>
    <s v="09GA34S21"/>
    <s v="Chlor-a"/>
  </r>
  <r>
    <n v="2009"/>
    <s v="August   "/>
    <x v="45"/>
    <n v="159.6"/>
    <s v="09GA34S21"/>
    <s v="NO2+NO3"/>
  </r>
  <r>
    <n v="2010"/>
    <s v="August   "/>
    <x v="45"/>
    <n v="159.6"/>
    <s v="10GA31S41"/>
    <s v="Chlor-a"/>
  </r>
  <r>
    <n v="2010"/>
    <s v="August   "/>
    <x v="45"/>
    <n v="159.6"/>
    <s v="10GA31S41"/>
    <s v="NO2+NO3"/>
  </r>
  <r>
    <n v="2011"/>
    <s v="August   "/>
    <x v="45"/>
    <n v="159.6"/>
    <s v="11GA31S41"/>
    <s v="Chlor-a"/>
  </r>
  <r>
    <n v="2011"/>
    <s v="August   "/>
    <x v="45"/>
    <n v="159.6"/>
    <s v="11GA31S41"/>
    <s v="NO2+NO3"/>
  </r>
  <r>
    <n v="2012"/>
    <s v="August   "/>
    <x v="45"/>
    <n v="157.6"/>
    <s v="12GA41S41"/>
    <s v="Chlor-a"/>
  </r>
  <r>
    <n v="2012"/>
    <s v="August   "/>
    <x v="45"/>
    <n v="157.6"/>
    <s v="12GA41S41"/>
    <s v="NO2+NO3"/>
  </r>
  <r>
    <n v="2008"/>
    <s v="April    "/>
    <x v="46"/>
    <n v="170.2"/>
    <s v="08GA11S81"/>
    <s v="Chlor-a"/>
  </r>
  <r>
    <n v="2008"/>
    <s v="April    "/>
    <x v="46"/>
    <n v="170.2"/>
    <s v="08GA11S81"/>
    <s v="NO2+NO3"/>
  </r>
  <r>
    <n v="2009"/>
    <s v="April    "/>
    <x v="46"/>
    <n v="174.2"/>
    <s v="09GA11S81"/>
    <s v="Chlor-a"/>
  </r>
  <r>
    <n v="2009"/>
    <s v="April    "/>
    <x v="46"/>
    <n v="174.2"/>
    <s v="09GA11S81"/>
    <s v="NO2+NO3"/>
  </r>
  <r>
    <n v="2010"/>
    <s v="April    "/>
    <x v="46"/>
    <n v="171.2"/>
    <s v="10GA11S81"/>
    <s v="Chlor-a"/>
  </r>
  <r>
    <n v="2010"/>
    <s v="April    "/>
    <x v="46"/>
    <n v="171.2"/>
    <s v="10GA11S81"/>
    <s v="NO2+NO3"/>
  </r>
  <r>
    <n v="2011"/>
    <s v="April    "/>
    <x v="46"/>
    <n v="171.2"/>
    <s v="11GA11S81"/>
    <s v="Chlor-a"/>
  </r>
  <r>
    <n v="2011"/>
    <s v="April    "/>
    <x v="46"/>
    <n v="171.2"/>
    <s v="11GA11S81"/>
    <s v="NO2+NO3"/>
  </r>
  <r>
    <n v="2012"/>
    <s v="April    "/>
    <x v="46"/>
    <n v="171.2"/>
    <s v="12GA11S61"/>
    <s v="Chlor-a"/>
  </r>
  <r>
    <n v="2012"/>
    <s v="April    "/>
    <x v="46"/>
    <n v="171.2"/>
    <s v="12GA11S61"/>
    <s v="NO2+NO3"/>
  </r>
  <r>
    <n v="2008"/>
    <s v="August   "/>
    <x v="46"/>
    <n v="170.3"/>
    <s v="08GA31S81"/>
    <s v="Chlor-a"/>
  </r>
  <r>
    <n v="2008"/>
    <s v="August   "/>
    <x v="46"/>
    <n v="170.3"/>
    <s v="08GA31S81"/>
    <s v="NO2+NO3"/>
  </r>
  <r>
    <n v="2009"/>
    <s v="August   "/>
    <x v="46"/>
    <n v="170.2"/>
    <s v="09GA34S81"/>
    <s v="Chlor-a"/>
  </r>
  <r>
    <n v="2009"/>
    <s v="August   "/>
    <x v="46"/>
    <n v="170.2"/>
    <s v="09GA34S81"/>
    <s v="NO2+NO3"/>
  </r>
  <r>
    <n v="2010"/>
    <s v="August   "/>
    <x v="46"/>
    <n v="170.3"/>
    <s v="10GA31S81"/>
    <s v="Chlor-a"/>
  </r>
  <r>
    <n v="2010"/>
    <s v="August   "/>
    <x v="46"/>
    <n v="170.3"/>
    <s v="10GA31S81"/>
    <s v="NO2+NO3"/>
  </r>
  <r>
    <n v="2011"/>
    <s v="August   "/>
    <x v="46"/>
    <n v="170.3"/>
    <s v="11GA31S61"/>
    <s v="Chlor-a"/>
  </r>
  <r>
    <n v="2011"/>
    <s v="August   "/>
    <x v="46"/>
    <n v="170.3"/>
    <s v="11GA31S61"/>
    <s v="NO2+NO3"/>
  </r>
  <r>
    <n v="2012"/>
    <s v="August   "/>
    <x v="46"/>
    <n v="169.3"/>
    <s v="12GA41S61"/>
    <s v="Chlor-a"/>
  </r>
  <r>
    <n v="2012"/>
    <s v="August   "/>
    <x v="46"/>
    <n v="169.3"/>
    <s v="12GA41S61"/>
    <s v="NO2+NO3"/>
  </r>
  <r>
    <n v="2008"/>
    <s v="April    "/>
    <x v="47"/>
    <n v="265.60000000000002"/>
    <s v="08GA12S01"/>
    <s v="Chlor-a"/>
  </r>
  <r>
    <n v="2008"/>
    <s v="April    "/>
    <x v="47"/>
    <n v="265.60000000000002"/>
    <s v="08GA12S01"/>
    <s v="NO2+NO3"/>
  </r>
  <r>
    <n v="2009"/>
    <s v="April    "/>
    <x v="47"/>
    <n v="268.60000000000002"/>
    <s v="09GA12S01"/>
    <s v="Chlor-a"/>
  </r>
  <r>
    <n v="2009"/>
    <s v="April    "/>
    <x v="47"/>
    <n v="268.60000000000002"/>
    <s v="09GA12S01"/>
    <s v="NO2+NO3"/>
  </r>
  <r>
    <n v="2010"/>
    <s v="April    "/>
    <x v="47"/>
    <n v="265.60000000000002"/>
    <s v="10GA12S01"/>
    <s v="Chlor-a"/>
  </r>
  <r>
    <n v="2010"/>
    <s v="April    "/>
    <x v="47"/>
    <n v="265.60000000000002"/>
    <s v="10GA12S01"/>
    <s v="NO2+NO3"/>
  </r>
  <r>
    <n v="2011"/>
    <s v="April    "/>
    <x v="47"/>
    <n v="265.60000000000002"/>
    <s v="11GA12S01"/>
    <s v="Chlor-a"/>
  </r>
  <r>
    <n v="2011"/>
    <s v="April    "/>
    <x v="47"/>
    <n v="265.60000000000002"/>
    <s v="11GA12S01"/>
    <s v="NO2+NO3"/>
  </r>
  <r>
    <n v="2012"/>
    <s v="April    "/>
    <x v="47"/>
    <n v="264.7"/>
    <s v="12GA11S81"/>
    <s v="Chlor-a"/>
  </r>
  <r>
    <n v="2012"/>
    <s v="April    "/>
    <x v="47"/>
    <n v="264.7"/>
    <s v="12GA11S81"/>
    <s v="NO2+NO3"/>
  </r>
  <r>
    <n v="2008"/>
    <s v="August   "/>
    <x v="47"/>
    <n v="264.7"/>
    <s v="08GA32S01"/>
    <s v="Chlor-a"/>
  </r>
  <r>
    <n v="2008"/>
    <s v="August   "/>
    <x v="47"/>
    <n v="264.7"/>
    <s v="08GA32S01"/>
    <s v="NO2+NO3"/>
  </r>
  <r>
    <n v="2009"/>
    <s v="August   "/>
    <x v="47"/>
    <n v="256.60000000000002"/>
    <s v="09GA35S01"/>
    <s v="Chlor-a"/>
  </r>
  <r>
    <n v="2009"/>
    <s v="August   "/>
    <x v="47"/>
    <n v="256.60000000000002"/>
    <s v="09GA35S01"/>
    <s v="NO2+NO3"/>
  </r>
  <r>
    <n v="2010"/>
    <s v="August   "/>
    <x v="47"/>
    <n v="264.7"/>
    <s v="10GA32S01"/>
    <s v="Chlor-a"/>
  </r>
  <r>
    <n v="2010"/>
    <s v="August   "/>
    <x v="47"/>
    <n v="264.7"/>
    <s v="10GA32S01"/>
    <s v="NO2+NO3"/>
  </r>
  <r>
    <n v="2011"/>
    <s v="August   "/>
    <x v="47"/>
    <n v="264.7"/>
    <s v="11GA31S81"/>
    <s v="Chlor-a"/>
  </r>
  <r>
    <n v="2011"/>
    <s v="August   "/>
    <x v="47"/>
    <n v="264.7"/>
    <s v="11GA31S81"/>
    <s v="NO2+NO3"/>
  </r>
  <r>
    <n v="2012"/>
    <s v="August   "/>
    <x v="47"/>
    <n v="264.10000000000002"/>
    <s v="12GA41S81"/>
    <s v="Chlor-a"/>
  </r>
  <r>
    <n v="2012"/>
    <s v="August   "/>
    <x v="47"/>
    <n v="264.10000000000002"/>
    <s v="12GA41S81"/>
    <s v="NO2+NO3"/>
  </r>
  <r>
    <n v="2008"/>
    <s v="April    "/>
    <x v="48"/>
    <n v="195.6"/>
    <s v="08GA12S21"/>
    <s v="Chlor-a"/>
  </r>
  <r>
    <n v="2008"/>
    <s v="April    "/>
    <x v="48"/>
    <n v="195.6"/>
    <s v="08GA12S21"/>
    <s v="NO2+NO3"/>
  </r>
  <r>
    <n v="2009"/>
    <s v="April    "/>
    <x v="48"/>
    <n v="195.5"/>
    <s v="09GA12S21"/>
    <s v="Chlor-a"/>
  </r>
  <r>
    <n v="2009"/>
    <s v="April    "/>
    <x v="48"/>
    <n v="195.5"/>
    <s v="09GA12S21"/>
    <s v="NO2+NO3"/>
  </r>
  <r>
    <n v="2010"/>
    <s v="April    "/>
    <x v="48"/>
    <n v="195.6"/>
    <s v="10GA12S21"/>
    <s v="Chlor-a"/>
  </r>
  <r>
    <n v="2010"/>
    <s v="April    "/>
    <x v="48"/>
    <n v="195.6"/>
    <s v="10GA12S21"/>
    <s v="NO2+NO3"/>
  </r>
  <r>
    <n v="2011"/>
    <s v="April    "/>
    <x v="48"/>
    <n v="195.6"/>
    <s v="11GA12S21"/>
    <s v="Chlor-a"/>
  </r>
  <r>
    <n v="2011"/>
    <s v="April    "/>
    <x v="48"/>
    <n v="195.6"/>
    <s v="11GA12S21"/>
    <s v="NO2+NO3"/>
  </r>
  <r>
    <n v="2012"/>
    <s v="April    "/>
    <x v="48"/>
    <n v="194.6"/>
    <s v="12GA12S01"/>
    <s v="Chlor-a"/>
  </r>
  <r>
    <n v="2012"/>
    <s v="April    "/>
    <x v="48"/>
    <n v="194.6"/>
    <s v="12GA12S01"/>
    <s v="NO2+NO3"/>
  </r>
  <r>
    <n v="2008"/>
    <s v="August   "/>
    <x v="48"/>
    <n v="193.6"/>
    <s v="08GA32S21"/>
    <s v="Chlor-a"/>
  </r>
  <r>
    <n v="2008"/>
    <s v="August   "/>
    <x v="48"/>
    <n v="193.6"/>
    <s v="08GA32S21"/>
    <s v="NO2+NO3"/>
  </r>
  <r>
    <n v="2009"/>
    <s v="August   "/>
    <x v="48"/>
    <n v="192.7"/>
    <s v="09GA35S21"/>
    <s v="Chlor-a"/>
  </r>
  <r>
    <n v="2009"/>
    <s v="August   "/>
    <x v="48"/>
    <n v="192.7"/>
    <s v="09GA35S21"/>
    <s v="NO2+NO3"/>
  </r>
  <r>
    <n v="2010"/>
    <s v="August   "/>
    <x v="48"/>
    <n v="193.6"/>
    <s v="10GA32S21"/>
    <s v="Chlor-a"/>
  </r>
  <r>
    <n v="2010"/>
    <s v="August   "/>
    <x v="48"/>
    <n v="193.6"/>
    <s v="10GA32S21"/>
    <s v="NO2+NO3"/>
  </r>
  <r>
    <n v="2011"/>
    <s v="August   "/>
    <x v="48"/>
    <n v="192.7"/>
    <s v="11GA32S01"/>
    <s v="Chlor-a"/>
  </r>
  <r>
    <n v="2011"/>
    <s v="August   "/>
    <x v="48"/>
    <n v="192.7"/>
    <s v="11GA32S01"/>
    <s v="NO2+NO3"/>
  </r>
  <r>
    <n v="2012"/>
    <s v="August   "/>
    <x v="48"/>
    <n v="193.7"/>
    <s v="12GA42S01"/>
    <s v="Chlor-a"/>
  </r>
  <r>
    <n v="2012"/>
    <s v="August   "/>
    <x v="48"/>
    <n v="193.7"/>
    <s v="12GA42S01"/>
    <s v="NO2+NO3"/>
  </r>
  <r>
    <n v="2008"/>
    <s v="April    "/>
    <x v="49"/>
    <n v="68.099999999999994"/>
    <s v="08GA10S81"/>
    <s v="Chlor-a"/>
  </r>
  <r>
    <n v="2008"/>
    <s v="April    "/>
    <x v="49"/>
    <n v="68.099999999999994"/>
    <s v="08GA10S81"/>
    <s v="NO2+NO3"/>
  </r>
  <r>
    <n v="2010"/>
    <s v="April    "/>
    <x v="49"/>
    <n v="68.2"/>
    <s v="10GA10S81"/>
    <s v="Chlor-a"/>
  </r>
  <r>
    <n v="2010"/>
    <s v="April    "/>
    <x v="49"/>
    <n v="68.2"/>
    <s v="10GA10S81"/>
    <s v="NO2+NO3"/>
  </r>
  <r>
    <n v="2012"/>
    <s v="April    "/>
    <x v="49"/>
    <n v="68.099999999999994"/>
    <s v="12GA12S21"/>
    <s v="Chlor-a"/>
  </r>
  <r>
    <n v="2012"/>
    <s v="April    "/>
    <x v="49"/>
    <n v="68.099999999999994"/>
    <s v="12GA12S21"/>
    <s v="NO2+NO3"/>
  </r>
  <r>
    <n v="2008"/>
    <s v="August   "/>
    <x v="49"/>
    <n v="67.099999999999994"/>
    <s v="08GA30S81"/>
    <s v="Chlor-a"/>
  </r>
  <r>
    <n v="2008"/>
    <s v="August   "/>
    <x v="49"/>
    <n v="67.099999999999994"/>
    <s v="08GA30S81"/>
    <s v="NO2+NO3"/>
  </r>
  <r>
    <n v="2010"/>
    <s v="August   "/>
    <x v="49"/>
    <n v="67.099999999999994"/>
    <s v="10GA30S81"/>
    <s v="Chlor-a"/>
  </r>
  <r>
    <n v="2010"/>
    <s v="August   "/>
    <x v="49"/>
    <n v="67.099999999999994"/>
    <s v="10GA30S81"/>
    <s v="NO2+NO3"/>
  </r>
  <r>
    <n v="2012"/>
    <s v="August   "/>
    <x v="49"/>
    <n v="66.099999999999994"/>
    <s v="12GA42S21"/>
    <s v="Chlor-a"/>
  </r>
  <r>
    <n v="2012"/>
    <s v="August   "/>
    <x v="49"/>
    <n v="66.099999999999994"/>
    <s v="12GA42S21"/>
    <s v="NO2+NO3"/>
  </r>
  <r>
    <n v="2009"/>
    <s v="April    "/>
    <x v="50"/>
    <n v="121.6"/>
    <s v="09GA11S61"/>
    <s v="Chlor-a"/>
  </r>
  <r>
    <n v="2009"/>
    <s v="April    "/>
    <x v="50"/>
    <n v="121.6"/>
    <s v="09GA11S61"/>
    <s v="NO2+NO3"/>
  </r>
  <r>
    <n v="2011"/>
    <s v="April    "/>
    <x v="50"/>
    <n v="120.7"/>
    <s v="11GA11S61"/>
    <s v="Chlor-a"/>
  </r>
  <r>
    <n v="2011"/>
    <s v="April    "/>
    <x v="50"/>
    <n v="120.7"/>
    <s v="11GA11S61"/>
    <s v="NO2+NO3"/>
  </r>
  <r>
    <n v="2009"/>
    <s v="August   "/>
    <x v="50"/>
    <n v="121.6"/>
    <s v="09GA34S61"/>
    <s v="Chlor-a"/>
  </r>
  <r>
    <n v="2009"/>
    <s v="August   "/>
    <x v="50"/>
    <n v="121.6"/>
    <s v="09GA34S61"/>
    <s v="NO2+NO3"/>
  </r>
  <r>
    <n v="2011"/>
    <s v="August   "/>
    <x v="50"/>
    <n v="120.6"/>
    <s v="11GA32S41"/>
    <s v="Chlor-a"/>
  </r>
  <r>
    <n v="2011"/>
    <s v="August   "/>
    <x v="50"/>
    <n v="120.6"/>
    <s v="11GA32S41"/>
    <s v="NO2+NO3"/>
  </r>
  <r>
    <n v="2008"/>
    <s v="April    "/>
    <x v="51"/>
    <n v="108"/>
    <s v="08GE22S01"/>
    <s v="Chlor-a"/>
  </r>
  <r>
    <n v="2008"/>
    <s v="April    "/>
    <x v="51"/>
    <n v="108"/>
    <s v="08GE22S01"/>
    <s v="NO2+NO3"/>
  </r>
  <r>
    <n v="2009"/>
    <s v="April    "/>
    <x v="51"/>
    <n v="107.5"/>
    <s v="09GE22S01"/>
    <s v="Chlor-a"/>
  </r>
  <r>
    <n v="2009"/>
    <s v="April    "/>
    <x v="51"/>
    <n v="107.5"/>
    <s v="09GE22S01"/>
    <s v="NO2+NO3"/>
  </r>
  <r>
    <n v="2010"/>
    <s v="April    "/>
    <x v="51"/>
    <n v="106"/>
    <s v="10GE22S01"/>
    <s v="Chlor-a"/>
  </r>
  <r>
    <n v="2010"/>
    <s v="April    "/>
    <x v="51"/>
    <n v="106"/>
    <s v="10GE22S01"/>
    <s v="NO2+NO3"/>
  </r>
  <r>
    <n v="2011"/>
    <s v="April    "/>
    <x v="51"/>
    <n v="108"/>
    <s v="11GE22S01"/>
    <s v="Chlor-a"/>
  </r>
  <r>
    <n v="2011"/>
    <s v="April    "/>
    <x v="51"/>
    <n v="108"/>
    <s v="11GE22S01"/>
    <s v="NO2+NO3"/>
  </r>
  <r>
    <n v="2012"/>
    <s v="April    "/>
    <x v="51"/>
    <n v="107"/>
    <s v="12GE23S61"/>
    <s v="Chlor-a"/>
  </r>
  <r>
    <n v="2012"/>
    <s v="April    "/>
    <x v="51"/>
    <n v="107"/>
    <s v="12GE23S61"/>
    <s v="NO2+NO3"/>
  </r>
  <r>
    <n v="2008"/>
    <s v="August   "/>
    <x v="51"/>
    <n v="107.3"/>
    <s v="08GE45S01"/>
    <s v="Chlor-a"/>
  </r>
  <r>
    <n v="2008"/>
    <s v="August   "/>
    <x v="51"/>
    <n v="107.3"/>
    <s v="08GE45S01"/>
    <s v="NO2+NO3"/>
  </r>
  <r>
    <n v="2009"/>
    <s v="August   "/>
    <x v="51"/>
    <n v="112.7"/>
    <s v="09GE48S01"/>
    <s v="Chlor-a"/>
  </r>
  <r>
    <n v="2009"/>
    <s v="August   "/>
    <x v="51"/>
    <n v="112.7"/>
    <s v="09GE48S01"/>
    <s v="NO2+NO3"/>
  </r>
  <r>
    <n v="2010"/>
    <s v="August   "/>
    <x v="51"/>
    <n v="106.1"/>
    <s v="10GE45S01"/>
    <s v="Chlor-a"/>
  </r>
  <r>
    <n v="2010"/>
    <s v="August   "/>
    <x v="51"/>
    <n v="106.1"/>
    <s v="10GE45S01"/>
    <s v="NO2+NO3"/>
  </r>
  <r>
    <n v="2011"/>
    <s v="August   "/>
    <x v="51"/>
    <n v="106.1"/>
    <s v="11GE44S81"/>
    <s v="Chlor-a"/>
  </r>
  <r>
    <n v="2011"/>
    <s v="August   "/>
    <x v="51"/>
    <n v="106.1"/>
    <s v="11GE44S81"/>
    <s v="NO2+NO3"/>
  </r>
  <r>
    <n v="2012"/>
    <s v="August   "/>
    <x v="51"/>
    <n v="106"/>
    <s v="12GE57S21"/>
    <s v="Chlor-a"/>
  </r>
  <r>
    <n v="2012"/>
    <s v="August   "/>
    <x v="51"/>
    <n v="106"/>
    <s v="12GE57S21"/>
    <s v="NO2+NO3"/>
  </r>
  <r>
    <n v="2008"/>
    <s v="April    "/>
    <x v="52"/>
    <n v="139.1"/>
    <s v="08GE22S21"/>
    <s v="Chlor-a"/>
  </r>
  <r>
    <n v="2008"/>
    <s v="April    "/>
    <x v="52"/>
    <n v="139.1"/>
    <s v="08GE22S21"/>
    <s v="NO2+NO3"/>
  </r>
  <r>
    <n v="2009"/>
    <s v="April    "/>
    <x v="52"/>
    <n v="142.1"/>
    <s v="09GE22S21"/>
    <s v="Chlor-a"/>
  </r>
  <r>
    <n v="2009"/>
    <s v="April    "/>
    <x v="52"/>
    <n v="142.1"/>
    <s v="09GE22S21"/>
    <s v="NO2+NO3"/>
  </r>
  <r>
    <n v="2010"/>
    <s v="April    "/>
    <x v="52"/>
    <n v="139.1"/>
    <s v="10GE22S21"/>
    <s v="Chlor-a"/>
  </r>
  <r>
    <n v="2010"/>
    <s v="April    "/>
    <x v="52"/>
    <n v="139.1"/>
    <s v="10GE22S21"/>
    <s v="NO2+NO3"/>
  </r>
  <r>
    <n v="2011"/>
    <s v="April    "/>
    <x v="52"/>
    <n v="139.1"/>
    <s v="11GE22S21"/>
    <s v="Chlor-a"/>
  </r>
  <r>
    <n v="2011"/>
    <s v="April    "/>
    <x v="52"/>
    <n v="139.1"/>
    <s v="11GE22S21"/>
    <s v="NO2+NO3"/>
  </r>
  <r>
    <n v="2012"/>
    <s v="April    "/>
    <x v="52"/>
    <n v="139"/>
    <s v="12GE23S81"/>
    <s v="Chlor-a"/>
  </r>
  <r>
    <n v="2012"/>
    <s v="April    "/>
    <x v="52"/>
    <n v="139"/>
    <s v="12GE23S81"/>
    <s v="NO2+NO3"/>
  </r>
  <r>
    <n v="2008"/>
    <s v="August   "/>
    <x v="52"/>
    <n v="139.1"/>
    <s v="08GE45S21"/>
    <s v="Chlor-a"/>
  </r>
  <r>
    <n v="2008"/>
    <s v="August   "/>
    <x v="52"/>
    <n v="139.1"/>
    <s v="08GE45S21"/>
    <s v="NO2+NO3"/>
  </r>
  <r>
    <n v="2009"/>
    <s v="August   "/>
    <x v="52"/>
    <n v="139.1"/>
    <s v="09GE48S21"/>
    <s v="Chlor-a"/>
  </r>
  <r>
    <n v="2009"/>
    <s v="August   "/>
    <x v="52"/>
    <n v="139.1"/>
    <s v="09GE48S21"/>
    <s v="NO2+NO3"/>
  </r>
  <r>
    <n v="2010"/>
    <s v="August   "/>
    <x v="52"/>
    <n v="115.8"/>
    <s v="10GE45S21"/>
    <s v="Chlor-a"/>
  </r>
  <r>
    <n v="2010"/>
    <s v="August   "/>
    <x v="52"/>
    <n v="115.8"/>
    <s v="10GE45S21"/>
    <s v="NO2+NO3"/>
  </r>
  <r>
    <n v="2011"/>
    <s v="August   "/>
    <x v="52"/>
    <n v="139.1"/>
    <s v="11GE45S01"/>
    <s v="Chlor-a"/>
  </r>
  <r>
    <n v="2011"/>
    <s v="August   "/>
    <x v="52"/>
    <n v="139.1"/>
    <s v="11GE45S01"/>
    <s v="NO2+NO3"/>
  </r>
  <r>
    <n v="2012"/>
    <s v="August   "/>
    <x v="52"/>
    <n v="138.1"/>
    <s v="12GE57S41"/>
    <s v="Chlor-a"/>
  </r>
  <r>
    <n v="2012"/>
    <s v="August   "/>
    <x v="52"/>
    <n v="138.1"/>
    <s v="12GE57S41"/>
    <s v="NO2+NO3"/>
  </r>
  <r>
    <n v="2008"/>
    <s v="April    "/>
    <x v="53"/>
    <n v="141.1"/>
    <s v="08GE22S41"/>
    <s v="Chlor-a"/>
  </r>
  <r>
    <n v="2008"/>
    <s v="April    "/>
    <x v="53"/>
    <n v="141.1"/>
    <s v="08GE22S41"/>
    <s v="NO2+NO3"/>
  </r>
  <r>
    <n v="2009"/>
    <s v="April    "/>
    <x v="53"/>
    <n v="145.1"/>
    <s v="09GE22S41"/>
    <s v="Chlor-a"/>
  </r>
  <r>
    <n v="2009"/>
    <s v="April    "/>
    <x v="53"/>
    <n v="145.1"/>
    <s v="09GE22S41"/>
    <s v="NO2+NO3"/>
  </r>
  <r>
    <n v="2010"/>
    <s v="April    "/>
    <x v="53"/>
    <n v="140.1"/>
    <s v="10GE22S41"/>
    <s v="Chlor-a"/>
  </r>
  <r>
    <n v="2010"/>
    <s v="April    "/>
    <x v="53"/>
    <n v="140.1"/>
    <s v="10GE22S41"/>
    <s v="NO2+NO3"/>
  </r>
  <r>
    <n v="2011"/>
    <s v="April    "/>
    <x v="53"/>
    <n v="141.1"/>
    <s v="11GE22S41"/>
    <s v="Chlor-a"/>
  </r>
  <r>
    <n v="2011"/>
    <s v="April    "/>
    <x v="53"/>
    <n v="141.1"/>
    <s v="11GE22S41"/>
    <s v="NO2+NO3"/>
  </r>
  <r>
    <n v="2012"/>
    <s v="April    "/>
    <x v="53"/>
    <n v="140.1"/>
    <s v="12GE24S01"/>
    <s v="Chlor-a"/>
  </r>
  <r>
    <n v="2012"/>
    <s v="April    "/>
    <x v="53"/>
    <n v="140.1"/>
    <s v="12GE24S01"/>
    <s v="NO2+NO3"/>
  </r>
  <r>
    <n v="2008"/>
    <s v="August   "/>
    <x v="53"/>
    <n v="140.1"/>
    <s v="08GE45S41"/>
    <s v="Chlor-a"/>
  </r>
  <r>
    <n v="2008"/>
    <s v="August   "/>
    <x v="53"/>
    <n v="140.1"/>
    <s v="08GE45S41"/>
    <s v="NO2+NO3"/>
  </r>
  <r>
    <n v="2009"/>
    <s v="August   "/>
    <x v="53"/>
    <n v="140.1"/>
    <s v="09GE48S41"/>
    <s v="Chlor-a"/>
  </r>
  <r>
    <n v="2009"/>
    <s v="August   "/>
    <x v="53"/>
    <n v="140.1"/>
    <s v="09GE48S41"/>
    <s v="NO2+NO3"/>
  </r>
  <r>
    <n v="2010"/>
    <s v="August   "/>
    <x v="53"/>
    <n v="140.1"/>
    <s v="10GE45S41"/>
    <s v="Chlor-a"/>
  </r>
  <r>
    <n v="2010"/>
    <s v="August   "/>
    <x v="53"/>
    <n v="140.1"/>
    <s v="10GE45S41"/>
    <s v="NO2+NO3"/>
  </r>
  <r>
    <n v="2011"/>
    <s v="August   "/>
    <x v="53"/>
    <n v="140.1"/>
    <s v="11GE45S21"/>
    <s v="Chlor-a"/>
  </r>
  <r>
    <n v="2011"/>
    <s v="August   "/>
    <x v="53"/>
    <n v="140.1"/>
    <s v="11GE45S21"/>
    <s v="NO2+NO3"/>
  </r>
  <r>
    <n v="2012"/>
    <s v="August   "/>
    <x v="53"/>
    <n v="139.1"/>
    <s v="12GE57S61"/>
    <s v="Chlor-a"/>
  </r>
  <r>
    <n v="2012"/>
    <s v="August   "/>
    <x v="53"/>
    <n v="139.1"/>
    <s v="12GE57S61"/>
    <s v="NO2+NO3"/>
  </r>
  <r>
    <n v="2008"/>
    <s v="April    "/>
    <x v="54"/>
    <n v="136.19999999999999"/>
    <s v="08GE22S61"/>
    <s v="Chlor-a"/>
  </r>
  <r>
    <n v="2008"/>
    <s v="April    "/>
    <x v="54"/>
    <n v="136.19999999999999"/>
    <s v="08GE22S61"/>
    <s v="NO2+NO3"/>
  </r>
  <r>
    <n v="2009"/>
    <s v="April    "/>
    <x v="54"/>
    <n v="132.30000000000001"/>
    <s v="09GE22S61"/>
    <s v="Chlor-a"/>
  </r>
  <r>
    <n v="2009"/>
    <s v="April    "/>
    <x v="54"/>
    <n v="132.30000000000001"/>
    <s v="09GE22S61"/>
    <s v="NO2+NO3"/>
  </r>
  <r>
    <n v="2010"/>
    <s v="April    "/>
    <x v="54"/>
    <n v="130.9"/>
    <s v="10GE22S61"/>
    <s v="Chlor-a"/>
  </r>
  <r>
    <n v="2010"/>
    <s v="April    "/>
    <x v="54"/>
    <n v="130.9"/>
    <s v="10GE22S61"/>
    <s v="NO2+NO3"/>
  </r>
  <r>
    <n v="2011"/>
    <s v="April    "/>
    <x v="54"/>
    <n v="132.30000000000001"/>
    <s v="11GE22S61"/>
    <s v="Chlor-a"/>
  </r>
  <r>
    <n v="2011"/>
    <s v="April    "/>
    <x v="54"/>
    <n v="132.30000000000001"/>
    <s v="11GE22S61"/>
    <s v="NO2+NO3"/>
  </r>
  <r>
    <n v="2012"/>
    <s v="April    "/>
    <x v="54"/>
    <n v="132.30000000000001"/>
    <s v="12GE24S21"/>
    <s v="Chlor-a"/>
  </r>
  <r>
    <n v="2012"/>
    <s v="April    "/>
    <x v="54"/>
    <n v="132.30000000000001"/>
    <s v="12GE24S21"/>
    <s v="NO2+NO3"/>
  </r>
  <r>
    <n v="2008"/>
    <s v="August   "/>
    <x v="54"/>
    <n v="131.30000000000001"/>
    <s v="08GE45S61"/>
    <s v="Chlor-a"/>
  </r>
  <r>
    <n v="2008"/>
    <s v="August   "/>
    <x v="54"/>
    <n v="131.30000000000001"/>
    <s v="08GE45S61"/>
    <s v="NO2+NO3"/>
  </r>
  <r>
    <n v="2009"/>
    <s v="August   "/>
    <x v="54"/>
    <n v="131.4"/>
    <s v="09GE48S61"/>
    <s v="Chlor-a"/>
  </r>
  <r>
    <n v="2009"/>
    <s v="August   "/>
    <x v="54"/>
    <n v="131.4"/>
    <s v="09GE48S61"/>
    <s v="NO2+NO3"/>
  </r>
  <r>
    <n v="2010"/>
    <s v="August   "/>
    <x v="54"/>
    <n v="128.30000000000001"/>
    <s v="10GE45S61"/>
    <s v="Chlor-a"/>
  </r>
  <r>
    <n v="2010"/>
    <s v="August   "/>
    <x v="54"/>
    <n v="128.30000000000001"/>
    <s v="10GE45S61"/>
    <s v="NO2+NO3"/>
  </r>
  <r>
    <n v="2011"/>
    <s v="August   "/>
    <x v="54"/>
    <n v="131.4"/>
    <s v="11GE45S41"/>
    <s v="Chlor-a"/>
  </r>
  <r>
    <n v="2011"/>
    <s v="August   "/>
    <x v="54"/>
    <n v="131.4"/>
    <s v="11GE45S41"/>
    <s v="NO2+NO3"/>
  </r>
  <r>
    <n v="2012"/>
    <s v="August   "/>
    <x v="54"/>
    <n v="131.1"/>
    <s v="12GE57S81"/>
    <s v="Chlor-a"/>
  </r>
  <r>
    <n v="2012"/>
    <s v="August   "/>
    <x v="54"/>
    <n v="131.1"/>
    <s v="12GE57S81"/>
    <s v="NO2+NO3"/>
  </r>
  <r>
    <n v="2008"/>
    <s v="April    "/>
    <x v="55"/>
    <n v="50.1"/>
    <s v="08GE22S81"/>
    <s v="Chlor-a"/>
  </r>
  <r>
    <n v="2008"/>
    <s v="April    "/>
    <x v="55"/>
    <n v="50.1"/>
    <s v="08GE22S81"/>
    <s v="NO2+NO3"/>
  </r>
  <r>
    <n v="2009"/>
    <s v="April    "/>
    <x v="55"/>
    <n v="49.8"/>
    <s v="09GE22S81"/>
    <s v="Chlor-a"/>
  </r>
  <r>
    <n v="2009"/>
    <s v="April    "/>
    <x v="55"/>
    <n v="49.8"/>
    <s v="09GE22S81"/>
    <s v="NO2+NO3"/>
  </r>
  <r>
    <n v="2010"/>
    <s v="April    "/>
    <x v="55"/>
    <n v="49.5"/>
    <s v="10GE22S81"/>
    <s v="Chlor-a"/>
  </r>
  <r>
    <n v="2010"/>
    <s v="April    "/>
    <x v="55"/>
    <n v="49.5"/>
    <s v="10GE22S81"/>
    <s v="NO2+NO3"/>
  </r>
  <r>
    <n v="2011"/>
    <s v="April    "/>
    <x v="55"/>
    <n v="49.6"/>
    <s v="11GE22S81"/>
    <s v="Chlor-a"/>
  </r>
  <r>
    <n v="2011"/>
    <s v="April    "/>
    <x v="55"/>
    <n v="49.6"/>
    <s v="11GE22S81"/>
    <s v="NO2+NO3"/>
  </r>
  <r>
    <n v="2012"/>
    <s v="April    "/>
    <x v="55"/>
    <n v="49.6"/>
    <s v="12GE22S81"/>
    <s v="Chlor-a"/>
  </r>
  <r>
    <n v="2012"/>
    <s v="April    "/>
    <x v="55"/>
    <n v="49.6"/>
    <s v="12GE22S81"/>
    <s v="NO2+NO3"/>
  </r>
  <r>
    <n v="2008"/>
    <s v="August   "/>
    <x v="55"/>
    <n v="49.6"/>
    <s v="08GE45S81"/>
    <s v="Chlor-a"/>
  </r>
  <r>
    <n v="2008"/>
    <s v="August   "/>
    <x v="55"/>
    <n v="49.6"/>
    <s v="08GE45S81"/>
    <s v="NO2+NO3"/>
  </r>
  <r>
    <n v="2009"/>
    <s v="August   "/>
    <x v="55"/>
    <n v="48.6"/>
    <s v="09GE48S81"/>
    <s v="Chlor-a"/>
  </r>
  <r>
    <n v="2009"/>
    <s v="August   "/>
    <x v="55"/>
    <n v="48.6"/>
    <s v="09GE48S81"/>
    <s v="NO2+NO3"/>
  </r>
  <r>
    <n v="2010"/>
    <s v="August   "/>
    <x v="55"/>
    <n v="48.7"/>
    <s v="10GE45S81"/>
    <s v="Chlor-a"/>
  </r>
  <r>
    <n v="2010"/>
    <s v="August   "/>
    <x v="55"/>
    <n v="48.7"/>
    <s v="10GE45S81"/>
    <s v="NO2+NO3"/>
  </r>
  <r>
    <n v="2011"/>
    <s v="August   "/>
    <x v="55"/>
    <n v="48.7"/>
    <s v="11GE44S01"/>
    <s v="Chlor-a"/>
  </r>
  <r>
    <n v="2011"/>
    <s v="August   "/>
    <x v="55"/>
    <n v="48.7"/>
    <s v="11GE44S01"/>
    <s v="NO2+NO3"/>
  </r>
  <r>
    <n v="2012"/>
    <s v="August   "/>
    <x v="55"/>
    <n v="48.9"/>
    <s v="12GE56S41"/>
    <s v="Chlor-a"/>
  </r>
  <r>
    <n v="2012"/>
    <s v="August   "/>
    <x v="55"/>
    <n v="48.9"/>
    <s v="12GE56S41"/>
    <s v="NO2+NO3"/>
  </r>
  <r>
    <n v="2008"/>
    <s v="April    "/>
    <x v="56"/>
    <n v="196.6"/>
    <s v="08GE23S61"/>
    <s v="Chlor-a"/>
  </r>
  <r>
    <n v="2008"/>
    <s v="April    "/>
    <x v="56"/>
    <n v="196.6"/>
    <s v="08GE23S61"/>
    <s v="NO2+NO3"/>
  </r>
  <r>
    <n v="2009"/>
    <s v="April    "/>
    <x v="56"/>
    <n v="199.5"/>
    <s v="09GE23S41"/>
    <s v="Chlor-a"/>
  </r>
  <r>
    <n v="2009"/>
    <s v="April    "/>
    <x v="56"/>
    <n v="199.5"/>
    <s v="09GE23S41"/>
    <s v="NO2+NO3"/>
  </r>
  <r>
    <n v="2010"/>
    <s v="April    "/>
    <x v="56"/>
    <n v="197"/>
    <s v="10GE23S61"/>
    <s v="Chlor-a"/>
  </r>
  <r>
    <n v="2010"/>
    <s v="April    "/>
    <x v="56"/>
    <n v="197"/>
    <s v="10GE23S61"/>
    <s v="NO2+NO3"/>
  </r>
  <r>
    <n v="2011"/>
    <s v="April    "/>
    <x v="56"/>
    <n v="196.5"/>
    <s v="11GE23S41"/>
    <s v="Chlor-a"/>
  </r>
  <r>
    <n v="2011"/>
    <s v="April    "/>
    <x v="56"/>
    <n v="196.5"/>
    <s v="11GE23S41"/>
    <s v="NO2+NO3"/>
  </r>
  <r>
    <n v="2012"/>
    <s v="April    "/>
    <x v="56"/>
    <n v="195.6"/>
    <s v="12GE23S01"/>
    <s v="Chlor-a"/>
  </r>
  <r>
    <n v="2012"/>
    <s v="April    "/>
    <x v="56"/>
    <n v="195.6"/>
    <s v="12GE23S01"/>
    <s v="NO2+NO3"/>
  </r>
  <r>
    <n v="2008"/>
    <s v="August   "/>
    <x v="56"/>
    <n v="195.5"/>
    <s v="08GE46S61"/>
    <s v="Chlor-a"/>
  </r>
  <r>
    <n v="2008"/>
    <s v="August   "/>
    <x v="56"/>
    <n v="195.5"/>
    <s v="08GE46S61"/>
    <s v="NO2+NO3"/>
  </r>
  <r>
    <n v="2009"/>
    <s v="August   "/>
    <x v="56"/>
    <n v="195.5"/>
    <s v="09GE49S41"/>
    <s v="Chlor-a"/>
  </r>
  <r>
    <n v="2009"/>
    <s v="August   "/>
    <x v="56"/>
    <n v="195.5"/>
    <s v="09GE49S41"/>
    <s v="NO2+NO3"/>
  </r>
  <r>
    <n v="2010"/>
    <s v="August   "/>
    <x v="56"/>
    <n v="195.6"/>
    <s v="10GE46S61"/>
    <s v="Chlor-a"/>
  </r>
  <r>
    <n v="2010"/>
    <s v="August   "/>
    <x v="56"/>
    <n v="195.6"/>
    <s v="10GE46S61"/>
    <s v="NO2+NO3"/>
  </r>
  <r>
    <n v="2011"/>
    <s v="August   "/>
    <x v="56"/>
    <n v="195.6"/>
    <s v="11GE44S21"/>
    <s v="Chlor-a"/>
  </r>
  <r>
    <n v="2011"/>
    <s v="August   "/>
    <x v="56"/>
    <n v="195.6"/>
    <s v="11GE44S21"/>
    <s v="NO2+NO3"/>
  </r>
  <r>
    <n v="2012"/>
    <s v="August   "/>
    <x v="56"/>
    <n v="196.6"/>
    <s v="12GE56S61"/>
    <s v="Chlor-a"/>
  </r>
  <r>
    <n v="2012"/>
    <s v="August   "/>
    <x v="56"/>
    <n v="196.6"/>
    <s v="12GE56S61"/>
    <s v="NO2+NO3"/>
  </r>
  <r>
    <n v="2008"/>
    <s v="April    "/>
    <x v="57"/>
    <n v="155.69999999999999"/>
    <s v="08GE23S21"/>
    <s v="Chlor-a"/>
  </r>
  <r>
    <n v="2008"/>
    <s v="April    "/>
    <x v="57"/>
    <n v="155.69999999999999"/>
    <s v="08GE23S21"/>
    <s v="NO2+NO3"/>
  </r>
  <r>
    <n v="2009"/>
    <s v="April    "/>
    <x v="57"/>
    <n v="158.69999999999999"/>
    <s v="09GE23S21"/>
    <s v="Chlor-a"/>
  </r>
  <r>
    <n v="2009"/>
    <s v="April    "/>
    <x v="57"/>
    <n v="158.69999999999999"/>
    <s v="09GE23S21"/>
    <s v="NO2+NO3"/>
  </r>
  <r>
    <n v="2010"/>
    <s v="April    "/>
    <x v="57"/>
    <n v="155.19999999999999"/>
    <s v="10GE23S21"/>
    <s v="Chlor-a"/>
  </r>
  <r>
    <n v="2010"/>
    <s v="April    "/>
    <x v="57"/>
    <n v="155.19999999999999"/>
    <s v="10GE23S21"/>
    <s v="NO2+NO3"/>
  </r>
  <r>
    <n v="2011"/>
    <s v="April    "/>
    <x v="57"/>
    <n v="156.6"/>
    <s v="11GE23S21"/>
    <s v="Chlor-a"/>
  </r>
  <r>
    <n v="2011"/>
    <s v="April    "/>
    <x v="57"/>
    <n v="156.6"/>
    <s v="11GE23S21"/>
    <s v="NO2+NO3"/>
  </r>
  <r>
    <n v="2012"/>
    <s v="April    "/>
    <x v="57"/>
    <n v="155.69999999999999"/>
    <s v="12GE23S21"/>
    <s v="Chlor-a"/>
  </r>
  <r>
    <n v="2012"/>
    <s v="April    "/>
    <x v="57"/>
    <n v="155.69999999999999"/>
    <s v="12GE23S21"/>
    <s v="NO2+NO3"/>
  </r>
  <r>
    <n v="2008"/>
    <s v="August   "/>
    <x v="57"/>
    <n v="155.6"/>
    <s v="08GE46S21"/>
    <s v="Chlor-a"/>
  </r>
  <r>
    <n v="2008"/>
    <s v="August   "/>
    <x v="57"/>
    <n v="155.6"/>
    <s v="08GE46S21"/>
    <s v="NO2+NO3"/>
  </r>
  <r>
    <n v="2009"/>
    <s v="August   "/>
    <x v="57"/>
    <n v="153.69999999999999"/>
    <s v="09GE49S21"/>
    <s v="Chlor-a"/>
  </r>
  <r>
    <n v="2009"/>
    <s v="August   "/>
    <x v="57"/>
    <n v="153.69999999999999"/>
    <s v="09GE49S21"/>
    <s v="NO2+NO3"/>
  </r>
  <r>
    <n v="2010"/>
    <s v="August   "/>
    <x v="57"/>
    <n v="153.69999999999999"/>
    <s v="10GE46S21"/>
    <s v="Chlor-a"/>
  </r>
  <r>
    <n v="2010"/>
    <s v="August   "/>
    <x v="57"/>
    <n v="153.69999999999999"/>
    <s v="10GE46S21"/>
    <s v="NO2+NO3"/>
  </r>
  <r>
    <n v="2011"/>
    <s v="August   "/>
    <x v="57"/>
    <n v="153.69999999999999"/>
    <s v="11GE44S41"/>
    <s v="Chlor-a"/>
  </r>
  <r>
    <n v="2011"/>
    <s v="August   "/>
    <x v="57"/>
    <n v="153.69999999999999"/>
    <s v="11GE44S41"/>
    <s v="NO2+NO3"/>
  </r>
  <r>
    <n v="2012"/>
    <s v="August   "/>
    <x v="57"/>
    <n v="153.69999999999999"/>
    <s v="12GE57S01"/>
    <s v="Chlor-a"/>
  </r>
  <r>
    <n v="2012"/>
    <s v="August   "/>
    <x v="57"/>
    <n v="153.69999999999999"/>
    <s v="12GE57S01"/>
    <s v="NO2+NO3"/>
  </r>
  <r>
    <n v="2008"/>
    <s v="April    "/>
    <x v="58"/>
    <n v="89.5"/>
    <s v="08GE23S01"/>
    <s v="Chlor-a"/>
  </r>
  <r>
    <n v="2008"/>
    <s v="April    "/>
    <x v="58"/>
    <n v="89.5"/>
    <s v="08GE23S01"/>
    <s v="NO2+NO3"/>
  </r>
  <r>
    <n v="2009"/>
    <s v="April    "/>
    <x v="58"/>
    <n v="89.7"/>
    <s v="09GE23S01"/>
    <s v="Chlor-a"/>
  </r>
  <r>
    <n v="2009"/>
    <s v="April    "/>
    <x v="58"/>
    <n v="89.7"/>
    <s v="09GE23S01"/>
    <s v="NO2+NO3"/>
  </r>
  <r>
    <n v="2010"/>
    <s v="April    "/>
    <x v="58"/>
    <n v="88.5"/>
    <s v="10GE23S01"/>
    <s v="Chlor-a"/>
  </r>
  <r>
    <n v="2010"/>
    <s v="April    "/>
    <x v="58"/>
    <n v="88.5"/>
    <s v="10GE23S01"/>
    <s v="NO2+NO3"/>
  </r>
  <r>
    <n v="2011"/>
    <s v="April    "/>
    <x v="58"/>
    <n v="89.5"/>
    <s v="11GE23S01"/>
    <s v="Chlor-a"/>
  </r>
  <r>
    <n v="2011"/>
    <s v="April    "/>
    <x v="58"/>
    <n v="89.5"/>
    <s v="11GE23S01"/>
    <s v="NO2+NO3"/>
  </r>
  <r>
    <n v="2012"/>
    <s v="April    "/>
    <x v="58"/>
    <n v="88.5"/>
    <s v="12GE23S41"/>
    <s v="Chlor-a"/>
  </r>
  <r>
    <n v="2012"/>
    <s v="April    "/>
    <x v="58"/>
    <n v="88.5"/>
    <s v="12GE23S41"/>
    <s v="NO2+NO3"/>
  </r>
  <r>
    <n v="2008"/>
    <s v="August   "/>
    <x v="58"/>
    <n v="88.5"/>
    <s v="08GE46S01"/>
    <s v="Chlor-a"/>
  </r>
  <r>
    <n v="2008"/>
    <s v="August   "/>
    <x v="58"/>
    <n v="88.5"/>
    <s v="08GE46S01"/>
    <s v="NO2+NO3"/>
  </r>
  <r>
    <n v="2009"/>
    <s v="August   "/>
    <x v="58"/>
    <n v="88.5"/>
    <s v="09GE49S01"/>
    <s v="Chlor-a"/>
  </r>
  <r>
    <n v="2009"/>
    <s v="August   "/>
    <x v="58"/>
    <n v="88.5"/>
    <s v="09GE49S01"/>
    <s v="NO2+NO3"/>
  </r>
  <r>
    <n v="2010"/>
    <s v="August   "/>
    <x v="58"/>
    <n v="88.5"/>
    <s v="10GE46S01"/>
    <s v="Chlor-a"/>
  </r>
  <r>
    <n v="2010"/>
    <s v="August   "/>
    <x v="58"/>
    <n v="88.5"/>
    <s v="10GE46S01"/>
    <s v="NO2+NO3"/>
  </r>
  <r>
    <n v="2011"/>
    <s v="August   "/>
    <x v="58"/>
    <n v="86.6"/>
    <s v="11GE44S61"/>
    <s v="Chlor-a"/>
  </r>
  <r>
    <n v="2011"/>
    <s v="August   "/>
    <x v="58"/>
    <n v="86.6"/>
    <s v="11GE44S61"/>
    <s v="NO2+NO3"/>
  </r>
  <r>
    <n v="2012"/>
    <s v="August   "/>
    <x v="58"/>
    <n v="86.5"/>
    <s v="12GE56S81"/>
    <s v="Chlor-a"/>
  </r>
  <r>
    <n v="2012"/>
    <s v="August   "/>
    <x v="58"/>
    <n v="86.5"/>
    <s v="12GE56S81"/>
    <s v="NO2+NO3"/>
  </r>
  <r>
    <n v="2008"/>
    <s v="April    "/>
    <x v="59"/>
    <n v="46.7"/>
    <s v="08GE23S41"/>
    <s v="Chlor-a"/>
  </r>
  <r>
    <n v="2008"/>
    <s v="April    "/>
    <x v="59"/>
    <n v="46.7"/>
    <s v="08GE23S41"/>
    <s v="NO2+NO3"/>
  </r>
  <r>
    <n v="2010"/>
    <s v="April    "/>
    <x v="59"/>
    <n v="45.7"/>
    <s v="10GE23S41"/>
    <s v="Chlor-a"/>
  </r>
  <r>
    <n v="2010"/>
    <s v="April    "/>
    <x v="59"/>
    <n v="45.7"/>
    <s v="10GE23S41"/>
    <s v="NO2+NO3"/>
  </r>
  <r>
    <n v="2012"/>
    <s v="April    "/>
    <x v="59"/>
    <n v="46.7"/>
    <s v="12GE24S41"/>
    <s v="Chlor-a"/>
  </r>
  <r>
    <n v="2012"/>
    <s v="April    "/>
    <x v="59"/>
    <n v="46.7"/>
    <s v="12GE24S41"/>
    <s v="NO2+NO3"/>
  </r>
  <r>
    <n v="2008"/>
    <s v="August   "/>
    <x v="59"/>
    <n v="22.5"/>
    <s v="08GE46S41"/>
    <s v="Chlor-a"/>
  </r>
  <r>
    <n v="2008"/>
    <s v="August   "/>
    <x v="59"/>
    <n v="22.5"/>
    <s v="08GE46S41"/>
    <s v="NO2+NO3"/>
  </r>
  <r>
    <n v="2010"/>
    <s v="August   "/>
    <x v="59"/>
    <n v="45.7"/>
    <s v="10GE46S41"/>
    <s v="Chlor-a"/>
  </r>
  <r>
    <n v="2010"/>
    <s v="August   "/>
    <x v="59"/>
    <n v="45.7"/>
    <s v="10GE46S41"/>
    <s v="NO2+NO3"/>
  </r>
  <r>
    <n v="2012"/>
    <s v="August   "/>
    <x v="59"/>
    <n v="44.8"/>
    <s v="12GE58S01"/>
    <s v="Chlor-a"/>
  </r>
  <r>
    <n v="2012"/>
    <s v="August   "/>
    <x v="59"/>
    <n v="44.8"/>
    <s v="12GE58S01"/>
    <s v="NO2+NO3"/>
  </r>
  <r>
    <n v="2009"/>
    <s v="April    "/>
    <x v="60"/>
    <n v="84.3"/>
    <s v="09GE23S61"/>
    <s v="Chlor-a"/>
  </r>
  <r>
    <n v="2009"/>
    <s v="April    "/>
    <x v="60"/>
    <n v="84.3"/>
    <s v="09GE23S61"/>
    <s v="NO2+NO3"/>
  </r>
  <r>
    <n v="2009"/>
    <s v="August   "/>
    <x v="60"/>
    <n v="83.7"/>
    <s v="09GE49S61"/>
    <s v="Chlor-a"/>
  </r>
  <r>
    <n v="2009"/>
    <s v="August   "/>
    <x v="60"/>
    <n v="83.7"/>
    <s v="09GE49S61"/>
    <s v="NO2+NO3"/>
  </r>
  <r>
    <n v="2011"/>
    <s v="August   "/>
    <x v="60"/>
    <n v="82.7"/>
    <s v="11GE45S81"/>
    <s v="Chlor-a"/>
  </r>
  <r>
    <n v="2011"/>
    <s v="August   "/>
    <x v="60"/>
    <n v="82.7"/>
    <s v="11GE45S81"/>
    <s v="NO2+NO3"/>
  </r>
  <r>
    <n v="2008"/>
    <s v="April    "/>
    <x v="61"/>
    <n v="95.3"/>
    <s v="08GS24S01"/>
    <s v="Chlor-a"/>
  </r>
  <r>
    <n v="2008"/>
    <s v="April    "/>
    <x v="61"/>
    <n v="95.3"/>
    <s v="08GS24S01"/>
    <s v="NO2+NO3"/>
  </r>
  <r>
    <n v="2009"/>
    <s v="April    "/>
    <x v="61"/>
    <n v="95.3"/>
    <s v="09GS24S01"/>
    <s v="Chlor-a"/>
  </r>
  <r>
    <n v="2009"/>
    <s v="April    "/>
    <x v="61"/>
    <n v="95.3"/>
    <s v="09GS24S01"/>
    <s v="NO2+NO3"/>
  </r>
  <r>
    <n v="2010"/>
    <s v="April    "/>
    <x v="61"/>
    <n v="95.3"/>
    <s v="10GS24S01"/>
    <s v="Chlor-a"/>
  </r>
  <r>
    <n v="2010"/>
    <s v="April    "/>
    <x v="61"/>
    <n v="95.3"/>
    <s v="10GS24S01"/>
    <s v="NO2+NO3"/>
  </r>
  <r>
    <n v="2011"/>
    <s v="April    "/>
    <x v="61"/>
    <n v="97.3"/>
    <s v="11GS24S01"/>
    <s v="Chlor-a"/>
  </r>
  <r>
    <n v="2011"/>
    <s v="April    "/>
    <x v="61"/>
    <n v="97.3"/>
    <s v="11GS24S01"/>
    <s v="NO2+NO3"/>
  </r>
  <r>
    <n v="2012"/>
    <s v="April    "/>
    <x v="61"/>
    <n v="95.3"/>
    <s v="12GS25S81"/>
    <s v="Chlor-a"/>
  </r>
  <r>
    <n v="2012"/>
    <s v="April    "/>
    <x v="61"/>
    <n v="95.3"/>
    <s v="12GS25S81"/>
    <s v="NO2+NO3"/>
  </r>
  <r>
    <n v="2008"/>
    <s v="August   "/>
    <x v="61"/>
    <n v="95.3"/>
    <s v="08GS49S01"/>
    <s v="Chlor-a"/>
  </r>
  <r>
    <n v="2008"/>
    <s v="August   "/>
    <x v="61"/>
    <n v="95.3"/>
    <s v="08GS49S01"/>
    <s v="NO2+NO3"/>
  </r>
  <r>
    <n v="2009"/>
    <s v="August   "/>
    <x v="61"/>
    <n v="95.3"/>
    <s v="09GS52S01"/>
    <s v="Chlor-a"/>
  </r>
  <r>
    <n v="2009"/>
    <s v="August   "/>
    <x v="61"/>
    <n v="95.3"/>
    <s v="09GS52S01"/>
    <s v="NO2+NO3"/>
  </r>
  <r>
    <n v="2010"/>
    <s v="August   "/>
    <x v="61"/>
    <n v="95.4"/>
    <s v="10GS49S01"/>
    <s v="Chlor-a"/>
  </r>
  <r>
    <n v="2010"/>
    <s v="August   "/>
    <x v="61"/>
    <n v="95.4"/>
    <s v="10GS49S01"/>
    <s v="NO2+NO3"/>
  </r>
  <r>
    <n v="2011"/>
    <s v="August   "/>
    <x v="61"/>
    <n v="95.3"/>
    <s v="11GS47S01"/>
    <s v="Chlor-a"/>
  </r>
  <r>
    <n v="2011"/>
    <s v="August   "/>
    <x v="61"/>
    <n v="95.3"/>
    <s v="11GS47S01"/>
    <s v="NO2+NO3"/>
  </r>
  <r>
    <n v="2012"/>
    <s v="August   "/>
    <x v="61"/>
    <n v="95.3"/>
    <s v="12GS60S21"/>
    <s v="Chlor-a"/>
  </r>
  <r>
    <n v="2012"/>
    <s v="August   "/>
    <x v="61"/>
    <n v="95.3"/>
    <s v="12GS60S21"/>
    <s v="NO2+NO3"/>
  </r>
  <r>
    <n v="2008"/>
    <s v="April    "/>
    <x v="62"/>
    <n v="155.30000000000001"/>
    <s v="08GS24S21"/>
    <s v="Chlor-a"/>
  </r>
  <r>
    <n v="2008"/>
    <s v="April    "/>
    <x v="62"/>
    <n v="155.30000000000001"/>
    <s v="08GS24S21"/>
    <s v="NO2+NO3"/>
  </r>
  <r>
    <n v="2009"/>
    <s v="April    "/>
    <x v="62"/>
    <n v="155.19999999999999"/>
    <s v="09GS24S21"/>
    <s v="Chlor-a"/>
  </r>
  <r>
    <n v="2009"/>
    <s v="April    "/>
    <x v="62"/>
    <n v="155.19999999999999"/>
    <s v="09GS24S21"/>
    <s v="NO2+NO3"/>
  </r>
  <r>
    <n v="2010"/>
    <s v="April    "/>
    <x v="62"/>
    <n v="153.69999999999999"/>
    <s v="10GS24S21"/>
    <s v="Chlor-a"/>
  </r>
  <r>
    <n v="2010"/>
    <s v="April    "/>
    <x v="62"/>
    <n v="153.69999999999999"/>
    <s v="10GS24S21"/>
    <s v="NO2+NO3"/>
  </r>
  <r>
    <n v="2011"/>
    <s v="April    "/>
    <x v="62"/>
    <n v="153.69999999999999"/>
    <s v="11GS24S21"/>
    <s v="Chlor-a"/>
  </r>
  <r>
    <n v="2011"/>
    <s v="April    "/>
    <x v="62"/>
    <n v="153.69999999999999"/>
    <s v="11GS24S21"/>
    <s v="NO2+NO3"/>
  </r>
  <r>
    <n v="2012"/>
    <s v="April    "/>
    <x v="62"/>
    <n v="153.69999999999999"/>
    <s v="12GS26S01"/>
    <s v="Chlor-a"/>
  </r>
  <r>
    <n v="2012"/>
    <s v="April    "/>
    <x v="62"/>
    <n v="153.69999999999999"/>
    <s v="12GS26S01"/>
    <s v="NO2+NO3"/>
  </r>
  <r>
    <n v="2008"/>
    <s v="August   "/>
    <x v="62"/>
    <n v="153.80000000000001"/>
    <s v="08GS49S21"/>
    <s v="Chlor-a"/>
  </r>
  <r>
    <n v="2008"/>
    <s v="August   "/>
    <x v="62"/>
    <n v="153.80000000000001"/>
    <s v="08GS49S21"/>
    <s v="NO2+NO3"/>
  </r>
  <r>
    <n v="2009"/>
    <s v="August   "/>
    <x v="62"/>
    <n v="152.80000000000001"/>
    <s v="09GS52S21"/>
    <s v="Chlor-a"/>
  </r>
  <r>
    <n v="2009"/>
    <s v="August   "/>
    <x v="62"/>
    <n v="152.80000000000001"/>
    <s v="09GS52S21"/>
    <s v="NO2+NO3"/>
  </r>
  <r>
    <n v="2010"/>
    <s v="August   "/>
    <x v="62"/>
    <n v="152.80000000000001"/>
    <s v="10GS49S21"/>
    <s v="Chlor-a"/>
  </r>
  <r>
    <n v="2010"/>
    <s v="August   "/>
    <x v="62"/>
    <n v="152.80000000000001"/>
    <s v="10GS49S21"/>
    <s v="NO2+NO3"/>
  </r>
  <r>
    <n v="2011"/>
    <s v="August   "/>
    <x v="62"/>
    <n v="153.69999999999999"/>
    <s v="11GS47S21"/>
    <s v="Chlor-a"/>
  </r>
  <r>
    <n v="2011"/>
    <s v="August   "/>
    <x v="62"/>
    <n v="153.69999999999999"/>
    <s v="11GS47S21"/>
    <s v="NO2+NO3"/>
  </r>
  <r>
    <n v="2012"/>
    <s v="August   "/>
    <x v="62"/>
    <n v="153.69999999999999"/>
    <s v="12GS60S41"/>
    <s v="Chlor-a"/>
  </r>
  <r>
    <n v="2012"/>
    <s v="August   "/>
    <x v="62"/>
    <n v="153.69999999999999"/>
    <s v="12GS60S41"/>
    <s v="NO2+NO3"/>
  </r>
  <r>
    <n v="2009"/>
    <s v="April    "/>
    <x v="63"/>
    <n v="152.69999999999999"/>
    <s v="09GS27S81"/>
    <s v="Chlor-a"/>
  </r>
  <r>
    <n v="2009"/>
    <s v="April    "/>
    <x v="63"/>
    <n v="152.69999999999999"/>
    <s v="09GS27S81"/>
    <s v="NO2+NO3"/>
  </r>
  <r>
    <n v="2010"/>
    <s v="April    "/>
    <x v="63"/>
    <n v="146.5"/>
    <s v="10GS27S81"/>
    <s v="Chlor-a"/>
  </r>
  <r>
    <n v="2010"/>
    <s v="April    "/>
    <x v="63"/>
    <n v="146.5"/>
    <s v="10GS27S81"/>
    <s v="NO2+NO3"/>
  </r>
  <r>
    <n v="2011"/>
    <s v="April    "/>
    <x v="63"/>
    <n v="150.80000000000001"/>
    <s v="11GS27S81"/>
    <s v="Chlor-a"/>
  </r>
  <r>
    <n v="2011"/>
    <s v="April    "/>
    <x v="63"/>
    <n v="150.80000000000001"/>
    <s v="11GS27S81"/>
    <s v="NO2+NO3"/>
  </r>
  <r>
    <n v="2012"/>
    <s v="April    "/>
    <x v="63"/>
    <n v="150.80000000000001"/>
    <s v="12GS26S21"/>
    <s v="Chlor-a"/>
  </r>
  <r>
    <n v="2012"/>
    <s v="April    "/>
    <x v="63"/>
    <n v="150.80000000000001"/>
    <s v="12GS26S21"/>
    <s v="NO2+NO3"/>
  </r>
  <r>
    <n v="2008"/>
    <s v="August   "/>
    <x v="63"/>
    <n v="150.80000000000001"/>
    <s v="08GS52S81"/>
    <s v="Chlor-a"/>
  </r>
  <r>
    <n v="2008"/>
    <s v="August   "/>
    <x v="63"/>
    <n v="150.80000000000001"/>
    <s v="08GS52S81"/>
    <s v="NO2+NO3"/>
  </r>
  <r>
    <n v="2010"/>
    <s v="August   "/>
    <x v="63"/>
    <n v="149.80000000000001"/>
    <s v="10GS52S81"/>
    <s v="Chlor-a"/>
  </r>
  <r>
    <n v="2010"/>
    <s v="August   "/>
    <x v="63"/>
    <n v="149.80000000000001"/>
    <s v="10GS52S81"/>
    <s v="NO2+NO3"/>
  </r>
  <r>
    <n v="2011"/>
    <s v="August   "/>
    <x v="63"/>
    <n v="149.9"/>
    <s v="11GS47S41"/>
    <s v="Chlor-a"/>
  </r>
  <r>
    <n v="2011"/>
    <s v="August   "/>
    <x v="63"/>
    <n v="149.9"/>
    <s v="11GS47S41"/>
    <s v="NO2+NO3"/>
  </r>
  <r>
    <n v="2012"/>
    <s v="August   "/>
    <x v="63"/>
    <n v="149.80000000000001"/>
    <s v="12GS60S61"/>
    <s v="Chlor-a"/>
  </r>
  <r>
    <n v="2012"/>
    <s v="August   "/>
    <x v="63"/>
    <n v="149.80000000000001"/>
    <s v="12GS60S61"/>
    <s v="NO2+NO3"/>
  </r>
  <r>
    <n v="2008"/>
    <s v="May      "/>
    <x v="63"/>
    <n v="152.69999999999999"/>
    <s v="08GS27S81"/>
    <s v="Chlor-a"/>
  </r>
  <r>
    <n v="2008"/>
    <s v="May      "/>
    <x v="63"/>
    <n v="152.69999999999999"/>
    <s v="08GS27S81"/>
    <s v="NO2+NO3"/>
  </r>
  <r>
    <n v="2009"/>
    <s v="September"/>
    <x v="63"/>
    <n v="145.80000000000001"/>
    <s v="09GS55S81"/>
    <s v="Chlor-a"/>
  </r>
  <r>
    <n v="2009"/>
    <s v="September"/>
    <x v="63"/>
    <n v="145.80000000000001"/>
    <s v="09GS55S81"/>
    <s v="NO2+NO3"/>
  </r>
  <r>
    <n v="2008"/>
    <s v="April    "/>
    <x v="64"/>
    <n v="145.9"/>
    <s v="08GS24S41"/>
    <s v="Chlor-a"/>
  </r>
  <r>
    <n v="2008"/>
    <s v="April    "/>
    <x v="64"/>
    <n v="145.9"/>
    <s v="08GS24S41"/>
    <s v="NO2+NO3"/>
  </r>
  <r>
    <n v="2009"/>
    <s v="April    "/>
    <x v="64"/>
    <n v="149.9"/>
    <s v="09GS24S41"/>
    <s v="Chlor-a"/>
  </r>
  <r>
    <n v="2009"/>
    <s v="April    "/>
    <x v="64"/>
    <n v="149.9"/>
    <s v="09GS24S41"/>
    <s v="NO2+NO3"/>
  </r>
  <r>
    <n v="2010"/>
    <s v="April    "/>
    <x v="64"/>
    <n v="139.5"/>
    <s v="10GS24S41"/>
    <s v="Chlor-a"/>
  </r>
  <r>
    <n v="2010"/>
    <s v="April    "/>
    <x v="64"/>
    <n v="139.5"/>
    <s v="10GS24S41"/>
    <s v="NO2+NO3"/>
  </r>
  <r>
    <n v="2011"/>
    <s v="April    "/>
    <x v="64"/>
    <n v="146.9"/>
    <s v="11GS24S41"/>
    <s v="Chlor-a"/>
  </r>
  <r>
    <n v="2011"/>
    <s v="April    "/>
    <x v="64"/>
    <n v="146.9"/>
    <s v="11GS24S41"/>
    <s v="NO2+NO3"/>
  </r>
  <r>
    <n v="2012"/>
    <s v="April    "/>
    <x v="64"/>
    <n v="145.9"/>
    <s v="12GS26S41"/>
    <s v="Chlor-a"/>
  </r>
  <r>
    <n v="2012"/>
    <s v="April    "/>
    <x v="64"/>
    <n v="145.9"/>
    <s v="12GS26S41"/>
    <s v="NO2+NO3"/>
  </r>
  <r>
    <n v="2008"/>
    <s v="August   "/>
    <x v="64"/>
    <n v="145.9"/>
    <s v="08GS49S41"/>
    <s v="Chlor-a"/>
  </r>
  <r>
    <n v="2008"/>
    <s v="August   "/>
    <x v="64"/>
    <n v="145.9"/>
    <s v="08GS49S41"/>
    <s v="NO2+NO3"/>
  </r>
  <r>
    <n v="2009"/>
    <s v="August   "/>
    <x v="64"/>
    <n v="146"/>
    <s v="09GS52S41"/>
    <s v="Chlor-a"/>
  </r>
  <r>
    <n v="2009"/>
    <s v="August   "/>
    <x v="64"/>
    <n v="146"/>
    <s v="09GS52S41"/>
    <s v="NO2+NO3"/>
  </r>
  <r>
    <n v="2010"/>
    <s v="August   "/>
    <x v="64"/>
    <n v="146"/>
    <s v="10GS49S41"/>
    <s v="Chlor-a"/>
  </r>
  <r>
    <n v="2010"/>
    <s v="August   "/>
    <x v="64"/>
    <n v="146"/>
    <s v="10GS49S41"/>
    <s v="NO2+NO3"/>
  </r>
  <r>
    <n v="2011"/>
    <s v="August   "/>
    <x v="64"/>
    <n v="145.9"/>
    <s v="11GS47S61"/>
    <s v="Chlor-a"/>
  </r>
  <r>
    <n v="2011"/>
    <s v="August   "/>
    <x v="64"/>
    <n v="145.9"/>
    <s v="11GS47S61"/>
    <s v="NO2+NO3"/>
  </r>
  <r>
    <n v="2012"/>
    <s v="August   "/>
    <x v="64"/>
    <n v="144"/>
    <s v="12GS60S81"/>
    <s v="Chlor-a"/>
  </r>
  <r>
    <n v="2012"/>
    <s v="August   "/>
    <x v="64"/>
    <n v="144"/>
    <s v="12GS60S81"/>
    <s v="NO2+NO3"/>
  </r>
  <r>
    <n v="2009"/>
    <s v="April    "/>
    <x v="65"/>
    <n v="180"/>
    <s v="09GS27S61"/>
    <s v="Chlor-a"/>
  </r>
  <r>
    <n v="2009"/>
    <s v="April    "/>
    <x v="65"/>
    <n v="180"/>
    <s v="09GS27S61"/>
    <s v="NO2+NO3"/>
  </r>
  <r>
    <n v="2010"/>
    <s v="April    "/>
    <x v="65"/>
    <n v="157.6"/>
    <s v="10GS27S61"/>
    <s v="Chlor-a"/>
  </r>
  <r>
    <n v="2010"/>
    <s v="April    "/>
    <x v="65"/>
    <n v="157.6"/>
    <s v="10GS27S61"/>
    <s v="NO2+NO3"/>
  </r>
  <r>
    <n v="2011"/>
    <s v="April    "/>
    <x v="65"/>
    <n v="170.3"/>
    <s v="11GS27S61"/>
    <s v="Chlor-a"/>
  </r>
  <r>
    <n v="2011"/>
    <s v="April    "/>
    <x v="65"/>
    <n v="170.3"/>
    <s v="11GS27S61"/>
    <s v="NO2+NO3"/>
  </r>
  <r>
    <n v="2012"/>
    <s v="April    "/>
    <x v="65"/>
    <n v="169.3"/>
    <s v="12GS26S61"/>
    <s v="Chlor-a"/>
  </r>
  <r>
    <n v="2012"/>
    <s v="April    "/>
    <x v="65"/>
    <n v="169.3"/>
    <s v="12GS26S61"/>
    <s v="NO2+NO3"/>
  </r>
  <r>
    <n v="2008"/>
    <s v="August   "/>
    <x v="65"/>
    <n v="170.2"/>
    <s v="08GS52S61"/>
    <s v="Chlor-a"/>
  </r>
  <r>
    <n v="2008"/>
    <s v="August   "/>
    <x v="65"/>
    <n v="170.2"/>
    <s v="08GS52S61"/>
    <s v="NO2+NO3"/>
  </r>
  <r>
    <n v="2010"/>
    <s v="August   "/>
    <x v="65"/>
    <n v="152.6"/>
    <s v="10GS52S61"/>
    <s v="Chlor-a"/>
  </r>
  <r>
    <n v="2010"/>
    <s v="August   "/>
    <x v="65"/>
    <n v="152.6"/>
    <s v="10GS52S61"/>
    <s v="NO2+NO3"/>
  </r>
  <r>
    <n v="2011"/>
    <s v="August   "/>
    <x v="65"/>
    <n v="163.5"/>
    <s v="11GS47S81"/>
    <s v="Chlor-a"/>
  </r>
  <r>
    <n v="2011"/>
    <s v="August   "/>
    <x v="65"/>
    <n v="163.5"/>
    <s v="11GS47S81"/>
    <s v="NO2+NO3"/>
  </r>
  <r>
    <n v="2012"/>
    <s v="August   "/>
    <x v="65"/>
    <n v="175.1"/>
    <s v="12GS61S01"/>
    <s v="Chlor-a"/>
  </r>
  <r>
    <n v="2012"/>
    <s v="August   "/>
    <x v="65"/>
    <n v="175.1"/>
    <s v="12GS61S01"/>
    <s v="NO2+NO3"/>
  </r>
  <r>
    <n v="2008"/>
    <s v="May      "/>
    <x v="65"/>
    <n v="171.2"/>
    <s v="08GS27S61"/>
    <s v="Chlor-a"/>
  </r>
  <r>
    <n v="2008"/>
    <s v="May      "/>
    <x v="65"/>
    <n v="171.2"/>
    <s v="08GS27S61"/>
    <s v="NO2+NO3"/>
  </r>
  <r>
    <n v="2009"/>
    <s v="September"/>
    <x v="65"/>
    <n v="180"/>
    <s v="09GS55S61"/>
    <s v="Chlor-a"/>
  </r>
  <r>
    <n v="2009"/>
    <s v="September"/>
    <x v="65"/>
    <n v="180"/>
    <s v="09GS55S61"/>
    <s v="NO2+NO3"/>
  </r>
  <r>
    <n v="2008"/>
    <s v="April    "/>
    <x v="66"/>
    <n v="170.3"/>
    <s v="08GS25S01"/>
    <s v="Chlor-a"/>
  </r>
  <r>
    <n v="2008"/>
    <s v="April    "/>
    <x v="66"/>
    <n v="170.3"/>
    <s v="08GS25S01"/>
    <s v="NO2+NO3"/>
  </r>
  <r>
    <n v="2009"/>
    <s v="April    "/>
    <x v="66"/>
    <n v="164.4"/>
    <s v="09GS25S01"/>
    <s v="Chlor-a"/>
  </r>
  <r>
    <n v="2009"/>
    <s v="April    "/>
    <x v="66"/>
    <n v="164.4"/>
    <s v="09GS25S01"/>
    <s v="NO2+NO3"/>
  </r>
  <r>
    <n v="2010"/>
    <s v="April    "/>
    <x v="66"/>
    <n v="170.3"/>
    <s v="10GS25S01"/>
    <s v="Chlor-a"/>
  </r>
  <r>
    <n v="2010"/>
    <s v="April    "/>
    <x v="66"/>
    <n v="170.3"/>
    <s v="10GS25S01"/>
    <s v="NO2+NO3"/>
  </r>
  <r>
    <n v="2011"/>
    <s v="April    "/>
    <x v="66"/>
    <n v="170.3"/>
    <s v="11GS25S01"/>
    <s v="Chlor-a"/>
  </r>
  <r>
    <n v="2011"/>
    <s v="April    "/>
    <x v="66"/>
    <n v="170.3"/>
    <s v="11GS25S01"/>
    <s v="NO2+NO3"/>
  </r>
  <r>
    <n v="2012"/>
    <s v="April    "/>
    <x v="66"/>
    <n v="168.3"/>
    <s v="12GS26S81"/>
    <s v="Chlor-a"/>
  </r>
  <r>
    <n v="2012"/>
    <s v="April    "/>
    <x v="66"/>
    <n v="168.3"/>
    <s v="12GS26S81"/>
    <s v="NO2+NO3"/>
  </r>
  <r>
    <n v="2008"/>
    <s v="August   "/>
    <x v="66"/>
    <n v="168.3"/>
    <s v="08GS50S01"/>
    <s v="Chlor-a"/>
  </r>
  <r>
    <n v="2008"/>
    <s v="August   "/>
    <x v="66"/>
    <n v="168.3"/>
    <s v="08GS50S01"/>
    <s v="NO2+NO3"/>
  </r>
  <r>
    <n v="2009"/>
    <s v="August   "/>
    <x v="66"/>
    <n v="167.4"/>
    <s v="09GS53S01"/>
    <s v="Chlor-a"/>
  </r>
  <r>
    <n v="2009"/>
    <s v="August   "/>
    <x v="66"/>
    <n v="167.4"/>
    <s v="09GS53S01"/>
    <s v="NO2+NO3"/>
  </r>
  <r>
    <n v="2010"/>
    <s v="August   "/>
    <x v="66"/>
    <n v="168.3"/>
    <s v="10GS50S01"/>
    <s v="Chlor-a"/>
  </r>
  <r>
    <n v="2010"/>
    <s v="August   "/>
    <x v="66"/>
    <n v="168.3"/>
    <s v="10GS50S01"/>
    <s v="NO2+NO3"/>
  </r>
  <r>
    <n v="2011"/>
    <s v="August   "/>
    <x v="66"/>
    <n v="168.3"/>
    <s v="11GS48S01"/>
    <s v="Chlor-a"/>
  </r>
  <r>
    <n v="2011"/>
    <s v="August   "/>
    <x v="66"/>
    <n v="168.3"/>
    <s v="11GS48S01"/>
    <s v="NO2+NO3"/>
  </r>
  <r>
    <n v="2012"/>
    <s v="August   "/>
    <x v="66"/>
    <n v="167.4"/>
    <s v="12GS61S21"/>
    <s v="Chlor-a"/>
  </r>
  <r>
    <n v="2012"/>
    <s v="August   "/>
    <x v="66"/>
    <n v="167.4"/>
    <s v="12GS61S21"/>
    <s v="NO2+NO3"/>
  </r>
  <r>
    <n v="2008"/>
    <s v="April    "/>
    <x v="67"/>
    <n v="202.3"/>
    <s v="08GS24S81"/>
    <s v="Chlor-a"/>
  </r>
  <r>
    <n v="2008"/>
    <s v="April    "/>
    <x v="67"/>
    <n v="202.3"/>
    <s v="08GS24S81"/>
    <s v="NO2+NO3"/>
  </r>
  <r>
    <n v="2009"/>
    <s v="April    "/>
    <x v="67"/>
    <n v="201.4"/>
    <s v="09GS24S81"/>
    <s v="Chlor-a"/>
  </r>
  <r>
    <n v="2009"/>
    <s v="April    "/>
    <x v="67"/>
    <n v="201.4"/>
    <s v="09GS24S81"/>
    <s v="NO2+NO3"/>
  </r>
  <r>
    <n v="2010"/>
    <s v="April    "/>
    <x v="67"/>
    <n v="197.9"/>
    <s v="10GS24S81"/>
    <s v="Chlor-a"/>
  </r>
  <r>
    <n v="2010"/>
    <s v="April    "/>
    <x v="67"/>
    <n v="197.9"/>
    <s v="10GS24S81"/>
    <s v="NO2+NO3"/>
  </r>
  <r>
    <n v="2011"/>
    <s v="April    "/>
    <x v="67"/>
    <n v="202.4"/>
    <s v="11GS24S81"/>
    <s v="Chlor-a"/>
  </r>
  <r>
    <n v="2011"/>
    <s v="April    "/>
    <x v="67"/>
    <n v="202.4"/>
    <s v="11GS24S81"/>
    <s v="NO2+NO3"/>
  </r>
  <r>
    <n v="2012"/>
    <s v="April    "/>
    <x v="67"/>
    <n v="201.4"/>
    <s v="12GS27S01"/>
    <s v="Chlor-a"/>
  </r>
  <r>
    <n v="2012"/>
    <s v="April    "/>
    <x v="67"/>
    <n v="201.4"/>
    <s v="12GS27S01"/>
    <s v="NO2+NO3"/>
  </r>
  <r>
    <n v="2008"/>
    <s v="August   "/>
    <x v="67"/>
    <n v="202.3"/>
    <s v="08GS49S81"/>
    <s v="Chlor-a"/>
  </r>
  <r>
    <n v="2008"/>
    <s v="August   "/>
    <x v="67"/>
    <n v="202.3"/>
    <s v="08GS49S81"/>
    <s v="NO2+NO3"/>
  </r>
  <r>
    <n v="2009"/>
    <s v="August   "/>
    <x v="67"/>
    <n v="203.3"/>
    <s v="09GS52S81"/>
    <s v="Chlor-a"/>
  </r>
  <r>
    <n v="2009"/>
    <s v="August   "/>
    <x v="67"/>
    <n v="203.3"/>
    <s v="09GS52S81"/>
    <s v="NO2+NO3"/>
  </r>
  <r>
    <n v="2010"/>
    <s v="August   "/>
    <x v="67"/>
    <n v="201.4"/>
    <s v="10GS49S81"/>
    <s v="Chlor-a"/>
  </r>
  <r>
    <n v="2010"/>
    <s v="August   "/>
    <x v="67"/>
    <n v="201.4"/>
    <s v="10GS49S81"/>
    <s v="NO2+NO3"/>
  </r>
  <r>
    <n v="2011"/>
    <s v="August   "/>
    <x v="67"/>
    <n v="199.5"/>
    <s v="11GS48S21"/>
    <s v="Chlor-a"/>
  </r>
  <r>
    <n v="2011"/>
    <s v="August   "/>
    <x v="67"/>
    <n v="199.5"/>
    <s v="11GS48S21"/>
    <s v="NO2+NO3"/>
  </r>
  <r>
    <n v="2012"/>
    <s v="August   "/>
    <x v="67"/>
    <n v="201.4"/>
    <s v="12GS61S41"/>
    <s v="Chlor-a"/>
  </r>
  <r>
    <n v="2012"/>
    <s v="August   "/>
    <x v="67"/>
    <n v="201.4"/>
    <s v="12GS61S41"/>
    <s v="NO2+NO3"/>
  </r>
  <r>
    <n v="2008"/>
    <s v="April    "/>
    <x v="68"/>
    <n v="299.60000000000002"/>
    <s v="08GS24S61"/>
    <s v="Chlor-a"/>
  </r>
  <r>
    <n v="2008"/>
    <s v="April    "/>
    <x v="68"/>
    <n v="299.60000000000002"/>
    <s v="08GS24S61"/>
    <s v="NO2+NO3"/>
  </r>
  <r>
    <n v="2009"/>
    <s v="April    "/>
    <x v="68"/>
    <n v="297.7"/>
    <s v="09GS24S61"/>
    <s v="Chlor-a"/>
  </r>
  <r>
    <n v="2009"/>
    <s v="April    "/>
    <x v="68"/>
    <n v="297.7"/>
    <s v="09GS24S61"/>
    <s v="NO2+NO3"/>
  </r>
  <r>
    <n v="2010"/>
    <s v="April    "/>
    <x v="68"/>
    <n v="298.10000000000002"/>
    <s v="10GS24S61"/>
    <s v="Chlor-a"/>
  </r>
  <r>
    <n v="2010"/>
    <s v="April    "/>
    <x v="68"/>
    <n v="298.10000000000002"/>
    <s v="10GS24S61"/>
    <s v="NO2+NO3"/>
  </r>
  <r>
    <n v="2011"/>
    <s v="April    "/>
    <x v="68"/>
    <n v="297.7"/>
    <s v="11GS24S61"/>
    <s v="Chlor-a"/>
  </r>
  <r>
    <n v="2011"/>
    <s v="April    "/>
    <x v="68"/>
    <n v="297.7"/>
    <s v="11GS24S61"/>
    <s v="NO2+NO3"/>
  </r>
  <r>
    <n v="2012"/>
    <s v="April    "/>
    <x v="68"/>
    <n v="293.8"/>
    <s v="12GS27S21"/>
    <s v="Chlor-a"/>
  </r>
  <r>
    <n v="2012"/>
    <s v="April    "/>
    <x v="68"/>
    <n v="293.8"/>
    <s v="12GS27S21"/>
    <s v="NO2+NO3"/>
  </r>
  <r>
    <n v="2008"/>
    <s v="August   "/>
    <x v="68"/>
    <n v="299.60000000000002"/>
    <s v="08GS49S61"/>
    <s v="Chlor-a"/>
  </r>
  <r>
    <n v="2008"/>
    <s v="August   "/>
    <x v="68"/>
    <n v="299.60000000000002"/>
    <s v="08GS49S61"/>
    <s v="NO2+NO3"/>
  </r>
  <r>
    <n v="2009"/>
    <s v="August   "/>
    <x v="68"/>
    <n v="292.89999999999998"/>
    <s v="09GS52S61"/>
    <s v="Chlor-a"/>
  </r>
  <r>
    <n v="2009"/>
    <s v="August   "/>
    <x v="68"/>
    <n v="292.89999999999998"/>
    <s v="09GS52S61"/>
    <s v="NO2+NO3"/>
  </r>
  <r>
    <n v="2010"/>
    <s v="August   "/>
    <x v="68"/>
    <n v="297.7"/>
    <s v="10GS49S61"/>
    <s v="Chlor-a"/>
  </r>
  <r>
    <n v="2010"/>
    <s v="August   "/>
    <x v="68"/>
    <n v="297.7"/>
    <s v="10GS49S61"/>
    <s v="NO2+NO3"/>
  </r>
  <r>
    <n v="2011"/>
    <s v="August   "/>
    <x v="68"/>
    <n v="295.8"/>
    <s v="11GS48S41"/>
    <s v="Chlor-a"/>
  </r>
  <r>
    <n v="2011"/>
    <s v="August   "/>
    <x v="68"/>
    <n v="295.8"/>
    <s v="11GS48S41"/>
    <s v="NO2+NO3"/>
  </r>
  <r>
    <n v="2012"/>
    <s v="August   "/>
    <x v="68"/>
    <n v="298.7"/>
    <s v="12GS61S61"/>
    <s v="Chlor-a"/>
  </r>
  <r>
    <n v="2012"/>
    <s v="August   "/>
    <x v="68"/>
    <n v="298.7"/>
    <s v="12GS61S61"/>
    <s v="NO2+NO3"/>
  </r>
  <r>
    <n v="2009"/>
    <s v="April    "/>
    <x v="69"/>
    <n v="238.9"/>
    <s v="09GS25S21"/>
    <s v="Chlor-a"/>
  </r>
  <r>
    <n v="2009"/>
    <s v="April    "/>
    <x v="69"/>
    <n v="238.9"/>
    <s v="09GS25S21"/>
    <s v="NO2+NO3"/>
  </r>
  <r>
    <n v="2010"/>
    <s v="April    "/>
    <x v="69"/>
    <n v="240.3"/>
    <s v="10GS25S21"/>
    <s v="Chlor-a"/>
  </r>
  <r>
    <n v="2010"/>
    <s v="April    "/>
    <x v="69"/>
    <n v="240.3"/>
    <s v="10GS25S21"/>
    <s v="NO2+NO3"/>
  </r>
  <r>
    <n v="2011"/>
    <s v="April    "/>
    <x v="69"/>
    <n v="237.4"/>
    <s v="11GS25S21"/>
    <s v="Chlor-a"/>
  </r>
  <r>
    <n v="2011"/>
    <s v="April    "/>
    <x v="69"/>
    <n v="237.4"/>
    <s v="11GS25S21"/>
    <s v="NO2+NO3"/>
  </r>
  <r>
    <n v="2012"/>
    <s v="April    "/>
    <x v="69"/>
    <n v="239.4"/>
    <s v="12GS27S41"/>
    <s v="Chlor-a"/>
  </r>
  <r>
    <n v="2012"/>
    <s v="April    "/>
    <x v="69"/>
    <n v="239.4"/>
    <s v="12GS27S41"/>
    <s v="NO2+NO3"/>
  </r>
  <r>
    <n v="2008"/>
    <s v="August   "/>
    <x v="69"/>
    <n v="236.4"/>
    <s v="08GS50S21"/>
    <s v="Chlor-a"/>
  </r>
  <r>
    <n v="2008"/>
    <s v="August   "/>
    <x v="69"/>
    <n v="236.4"/>
    <s v="08GS50S21"/>
    <s v="NO2+NO3"/>
  </r>
  <r>
    <n v="2009"/>
    <s v="August   "/>
    <x v="69"/>
    <n v="238.4"/>
    <s v="09GS53S21"/>
    <s v="Chlor-a"/>
  </r>
  <r>
    <n v="2009"/>
    <s v="August   "/>
    <x v="69"/>
    <n v="238.4"/>
    <s v="09GS53S21"/>
    <s v="NO2+NO3"/>
  </r>
  <r>
    <n v="2010"/>
    <s v="August   "/>
    <x v="69"/>
    <n v="234.5"/>
    <s v="10GS50S21"/>
    <s v="Chlor-a"/>
  </r>
  <r>
    <n v="2010"/>
    <s v="August   "/>
    <x v="69"/>
    <n v="234.5"/>
    <s v="10GS50S21"/>
    <s v="NO2+NO3"/>
  </r>
  <r>
    <n v="2011"/>
    <s v="August   "/>
    <x v="69"/>
    <n v="237.4"/>
    <s v="11GS48S61"/>
    <s v="Chlor-a"/>
  </r>
  <r>
    <n v="2011"/>
    <s v="August   "/>
    <x v="69"/>
    <n v="237.4"/>
    <s v="11GS48S61"/>
    <s v="NO2+NO3"/>
  </r>
  <r>
    <n v="2012"/>
    <s v="August   "/>
    <x v="69"/>
    <n v="236.4"/>
    <s v="12GS61S81"/>
    <s v="Chlor-a"/>
  </r>
  <r>
    <n v="2012"/>
    <s v="August   "/>
    <x v="69"/>
    <n v="236.4"/>
    <s v="12GS61S81"/>
    <s v="NO2+NO3"/>
  </r>
  <r>
    <n v="2008"/>
    <s v="May      "/>
    <x v="69"/>
    <n v="238.3"/>
    <s v="08GS25S21"/>
    <s v="Chlor-a"/>
  </r>
  <r>
    <n v="2008"/>
    <s v="May      "/>
    <x v="69"/>
    <n v="238.3"/>
    <s v="08GS25S21"/>
    <s v="NO2+NO3"/>
  </r>
  <r>
    <n v="2009"/>
    <s v="April    "/>
    <x v="70"/>
    <n v="155.19999999999999"/>
    <s v="09GS27S21"/>
    <s v="Chlor-a"/>
  </r>
  <r>
    <n v="2009"/>
    <s v="April    "/>
    <x v="70"/>
    <n v="155.19999999999999"/>
    <s v="09GS27S21"/>
    <s v="NO2+NO3"/>
  </r>
  <r>
    <n v="2010"/>
    <s v="April    "/>
    <x v="70"/>
    <n v="154.69999999999999"/>
    <s v="10GS27S41"/>
    <s v="Chlor-a"/>
  </r>
  <r>
    <n v="2010"/>
    <s v="April    "/>
    <x v="70"/>
    <n v="154.69999999999999"/>
    <s v="10GS27S41"/>
    <s v="NO2+NO3"/>
  </r>
  <r>
    <n v="2011"/>
    <s v="April    "/>
    <x v="70"/>
    <n v="156.69999999999999"/>
    <s v="11GS27S21"/>
    <s v="Chlor-a"/>
  </r>
  <r>
    <n v="2011"/>
    <s v="April    "/>
    <x v="70"/>
    <n v="156.69999999999999"/>
    <s v="11GS27S21"/>
    <s v="NO2+NO3"/>
  </r>
  <r>
    <n v="2012"/>
    <s v="April    "/>
    <x v="70"/>
    <n v="156.69999999999999"/>
    <s v="12GS27S61"/>
    <s v="Chlor-a"/>
  </r>
  <r>
    <n v="2012"/>
    <s v="April    "/>
    <x v="70"/>
    <n v="156.69999999999999"/>
    <s v="12GS27S61"/>
    <s v="NO2+NO3"/>
  </r>
  <r>
    <n v="2008"/>
    <s v="August   "/>
    <x v="70"/>
    <n v="153.69999999999999"/>
    <s v="08GS52S41"/>
    <s v="Chlor-a"/>
  </r>
  <r>
    <n v="2008"/>
    <s v="August   "/>
    <x v="70"/>
    <n v="153.69999999999999"/>
    <s v="08GS52S41"/>
    <s v="NO2+NO3"/>
  </r>
  <r>
    <n v="2010"/>
    <s v="August   "/>
    <x v="70"/>
    <n v="152.80000000000001"/>
    <s v="10GS52S41"/>
    <s v="Chlor-a"/>
  </r>
  <r>
    <n v="2010"/>
    <s v="August   "/>
    <x v="70"/>
    <n v="152.80000000000001"/>
    <s v="10GS52S41"/>
    <s v="NO2+NO3"/>
  </r>
  <r>
    <n v="2011"/>
    <s v="August   "/>
    <x v="70"/>
    <n v="148.69999999999999"/>
    <s v="11GS48S81"/>
    <s v="Chlor-a"/>
  </r>
  <r>
    <n v="2011"/>
    <s v="August   "/>
    <x v="70"/>
    <n v="148.69999999999999"/>
    <s v="11GS48S81"/>
    <s v="NO2+NO3"/>
  </r>
  <r>
    <n v="2012"/>
    <s v="August   "/>
    <x v="70"/>
    <n v="153.69999999999999"/>
    <s v="12GS62S01"/>
    <s v="Chlor-a"/>
  </r>
  <r>
    <n v="2012"/>
    <s v="August   "/>
    <x v="70"/>
    <n v="153.69999999999999"/>
    <s v="12GS62S01"/>
    <s v="NO2+NO3"/>
  </r>
  <r>
    <n v="2008"/>
    <s v="May      "/>
    <x v="70"/>
    <n v="155.6"/>
    <s v="08GS27S41"/>
    <s v="Chlor-a"/>
  </r>
  <r>
    <n v="2008"/>
    <s v="May      "/>
    <x v="70"/>
    <n v="155.6"/>
    <s v="08GS27S41"/>
    <s v="NO2+NO3"/>
  </r>
  <r>
    <n v="2009"/>
    <s v="September"/>
    <x v="70"/>
    <n v="153.69999999999999"/>
    <s v="09GS55S21"/>
    <s v="Chlor-a"/>
  </r>
  <r>
    <n v="2009"/>
    <s v="September"/>
    <x v="70"/>
    <n v="153.69999999999999"/>
    <s v="09GS55S21"/>
    <s v="NO2+NO3"/>
  </r>
  <r>
    <n v="2009"/>
    <s v="April    "/>
    <x v="71"/>
    <n v="228.7"/>
    <s v="09GS25S41"/>
    <s v="Chlor-a"/>
  </r>
  <r>
    <n v="2009"/>
    <s v="April    "/>
    <x v="71"/>
    <n v="228.7"/>
    <s v="09GS25S41"/>
    <s v="NO2+NO3"/>
  </r>
  <r>
    <n v="2010"/>
    <s v="April    "/>
    <x v="71"/>
    <n v="227.6"/>
    <s v="10GS25S41"/>
    <s v="Chlor-a"/>
  </r>
  <r>
    <n v="2010"/>
    <s v="April    "/>
    <x v="71"/>
    <n v="227.6"/>
    <s v="10GS25S41"/>
    <s v="NO2+NO3"/>
  </r>
  <r>
    <n v="2011"/>
    <s v="April    "/>
    <x v="71"/>
    <n v="226.7"/>
    <s v="11GS25S41"/>
    <s v="Chlor-a"/>
  </r>
  <r>
    <n v="2011"/>
    <s v="April    "/>
    <x v="71"/>
    <n v="226.7"/>
    <s v="11GS25S41"/>
    <s v="NO2+NO3"/>
  </r>
  <r>
    <n v="2012"/>
    <s v="April    "/>
    <x v="71"/>
    <n v="230.6"/>
    <s v="12GS27S81"/>
    <s v="Chlor-a"/>
  </r>
  <r>
    <n v="2012"/>
    <s v="April    "/>
    <x v="71"/>
    <n v="230.6"/>
    <s v="12GS27S81"/>
    <s v="NO2+NO3"/>
  </r>
  <r>
    <n v="2008"/>
    <s v="August   "/>
    <x v="71"/>
    <n v="227.6"/>
    <s v="08GS50S41"/>
    <s v="Chlor-a"/>
  </r>
  <r>
    <n v="2008"/>
    <s v="August   "/>
    <x v="71"/>
    <n v="227.6"/>
    <s v="08GS50S41"/>
    <s v="NO2+NO3"/>
  </r>
  <r>
    <n v="2009"/>
    <s v="August   "/>
    <x v="71"/>
    <n v="229.6"/>
    <s v="09GS53S41"/>
    <s v="Chlor-a"/>
  </r>
  <r>
    <n v="2009"/>
    <s v="August   "/>
    <x v="71"/>
    <n v="229.6"/>
    <s v="09GS53S41"/>
    <s v="NO2+NO3"/>
  </r>
  <r>
    <n v="2010"/>
    <s v="August   "/>
    <x v="71"/>
    <n v="226.7"/>
    <s v="10GS50S41"/>
    <s v="Chlor-a"/>
  </r>
  <r>
    <n v="2010"/>
    <s v="August   "/>
    <x v="71"/>
    <n v="226.7"/>
    <s v="10GS50S41"/>
    <s v="NO2+NO3"/>
  </r>
  <r>
    <n v="2011"/>
    <s v="August   "/>
    <x v="71"/>
    <n v="224.8"/>
    <s v="11GS49S01"/>
    <s v="Chlor-a"/>
  </r>
  <r>
    <n v="2011"/>
    <s v="August   "/>
    <x v="71"/>
    <n v="224.8"/>
    <s v="11GS49S01"/>
    <s v="NO2+NO3"/>
  </r>
  <r>
    <n v="2012"/>
    <s v="August   "/>
    <x v="71"/>
    <n v="225.7"/>
    <s v="12GS62S21"/>
    <s v="Chlor-a"/>
  </r>
  <r>
    <n v="2012"/>
    <s v="August   "/>
    <x v="71"/>
    <n v="225.7"/>
    <s v="12GS62S21"/>
    <s v="NO2+NO3"/>
  </r>
  <r>
    <n v="2008"/>
    <s v="May      "/>
    <x v="71"/>
    <n v="229.6"/>
    <s v="08GS25S41"/>
    <s v="Chlor-a"/>
  </r>
  <r>
    <n v="2008"/>
    <s v="May      "/>
    <x v="71"/>
    <n v="229.6"/>
    <s v="08GS25S41"/>
    <s v="NO2+NO3"/>
  </r>
  <r>
    <n v="2009"/>
    <s v="April    "/>
    <x v="72"/>
    <n v="237.5"/>
    <s v="09GS27S01"/>
    <s v="Chlor-a"/>
  </r>
  <r>
    <n v="2009"/>
    <s v="April    "/>
    <x v="72"/>
    <n v="237.5"/>
    <s v="09GS27S01"/>
    <s v="NO2+NO3"/>
  </r>
  <r>
    <n v="2010"/>
    <s v="April    "/>
    <x v="72"/>
    <n v="238.4"/>
    <s v="10GS27S21"/>
    <s v="Chlor-a"/>
  </r>
  <r>
    <n v="2010"/>
    <s v="April    "/>
    <x v="72"/>
    <n v="238.4"/>
    <s v="10GS27S21"/>
    <s v="NO2+NO3"/>
  </r>
  <r>
    <n v="2011"/>
    <s v="April    "/>
    <x v="72"/>
    <n v="237.4"/>
    <s v="11GS27S01"/>
    <s v="Chlor-a"/>
  </r>
  <r>
    <n v="2011"/>
    <s v="April    "/>
    <x v="72"/>
    <n v="237.4"/>
    <s v="11GS27S01"/>
    <s v="NO2+NO3"/>
  </r>
  <r>
    <n v="2012"/>
    <s v="April    "/>
    <x v="72"/>
    <n v="236.4"/>
    <s v="12GS28S01"/>
    <s v="Chlor-a"/>
  </r>
  <r>
    <n v="2012"/>
    <s v="April    "/>
    <x v="72"/>
    <n v="236.4"/>
    <s v="12GS28S01"/>
    <s v="NO2+NO3"/>
  </r>
  <r>
    <n v="2008"/>
    <s v="August   "/>
    <x v="72"/>
    <n v="236.4"/>
    <s v="08GS52S21"/>
    <s v="Chlor-a"/>
  </r>
  <r>
    <n v="2008"/>
    <s v="August   "/>
    <x v="72"/>
    <n v="236.4"/>
    <s v="08GS52S21"/>
    <s v="NO2+NO3"/>
  </r>
  <r>
    <n v="2010"/>
    <s v="August   "/>
    <x v="72"/>
    <n v="236.4"/>
    <s v="10GS52S21"/>
    <s v="Chlor-a"/>
  </r>
  <r>
    <n v="2010"/>
    <s v="August   "/>
    <x v="72"/>
    <n v="236.4"/>
    <s v="10GS52S21"/>
    <s v="NO2+NO3"/>
  </r>
  <r>
    <n v="2011"/>
    <s v="August   "/>
    <x v="72"/>
    <n v="236.4"/>
    <s v="11GS49S21"/>
    <s v="Chlor-a"/>
  </r>
  <r>
    <n v="2011"/>
    <s v="August   "/>
    <x v="72"/>
    <n v="236.4"/>
    <s v="11GS49S21"/>
    <s v="NO2+NO3"/>
  </r>
  <r>
    <n v="2012"/>
    <s v="August   "/>
    <x v="72"/>
    <n v="236.4"/>
    <s v="12GS62S41"/>
    <s v="Chlor-a"/>
  </r>
  <r>
    <n v="2012"/>
    <s v="August   "/>
    <x v="72"/>
    <n v="236.4"/>
    <s v="12GS62S41"/>
    <s v="NO2+NO3"/>
  </r>
  <r>
    <n v="2008"/>
    <s v="May      "/>
    <x v="72"/>
    <n v="237.4"/>
    <s v="08GS27S21"/>
    <s v="Chlor-a"/>
  </r>
  <r>
    <n v="2008"/>
    <s v="May      "/>
    <x v="72"/>
    <n v="237.4"/>
    <s v="08GS27S21"/>
    <s v="NO2+NO3"/>
  </r>
  <r>
    <n v="2009"/>
    <s v="September"/>
    <x v="72"/>
    <n v="228.7"/>
    <s v="09GS55S01"/>
    <s v="Chlor-a"/>
  </r>
  <r>
    <n v="2009"/>
    <s v="September"/>
    <x v="72"/>
    <n v="228.7"/>
    <s v="09GS55S01"/>
    <s v="NO2+NO3"/>
  </r>
  <r>
    <n v="2009"/>
    <s v="April    "/>
    <x v="73"/>
    <n v="149.9"/>
    <s v="09GS25S61"/>
    <s v="Chlor-a"/>
  </r>
  <r>
    <n v="2009"/>
    <s v="April    "/>
    <x v="73"/>
    <n v="149.9"/>
    <s v="09GS25S61"/>
    <s v="NO2+NO3"/>
  </r>
  <r>
    <n v="2010"/>
    <s v="April    "/>
    <x v="73"/>
    <n v="148.5"/>
    <s v="10GS25S61"/>
    <s v="Chlor-a"/>
  </r>
  <r>
    <n v="2010"/>
    <s v="April    "/>
    <x v="73"/>
    <n v="148.5"/>
    <s v="10GS25S61"/>
    <s v="NO2+NO3"/>
  </r>
  <r>
    <n v="2011"/>
    <s v="April    "/>
    <x v="73"/>
    <n v="231.6"/>
    <s v="11GS25S61"/>
    <s v="Chlor-a"/>
  </r>
  <r>
    <n v="2011"/>
    <s v="April    "/>
    <x v="73"/>
    <n v="231.6"/>
    <s v="11GS25S61"/>
    <s v="NO2+NO3"/>
  </r>
  <r>
    <n v="2012"/>
    <s v="April    "/>
    <x v="73"/>
    <n v="145.9"/>
    <s v="12GS28S21"/>
    <s v="Chlor-a"/>
  </r>
  <r>
    <n v="2012"/>
    <s v="April    "/>
    <x v="73"/>
    <n v="145.9"/>
    <s v="12GS28S21"/>
    <s v="NO2+NO3"/>
  </r>
  <r>
    <n v="2008"/>
    <s v="August   "/>
    <x v="73"/>
    <n v="148.80000000000001"/>
    <s v="08GS50S61"/>
    <s v="Chlor-a"/>
  </r>
  <r>
    <n v="2008"/>
    <s v="August   "/>
    <x v="73"/>
    <n v="148.80000000000001"/>
    <s v="08GS50S61"/>
    <s v="NO2+NO3"/>
  </r>
  <r>
    <n v="2009"/>
    <s v="August   "/>
    <x v="73"/>
    <n v="148.80000000000001"/>
    <s v="09GS53S61"/>
    <s v="Chlor-a"/>
  </r>
  <r>
    <n v="2009"/>
    <s v="August   "/>
    <x v="73"/>
    <n v="148.80000000000001"/>
    <s v="09GS53S61"/>
    <s v="NO2+NO3"/>
  </r>
  <r>
    <n v="2010"/>
    <s v="August   "/>
    <x v="73"/>
    <n v="146.9"/>
    <s v="10GS50S61"/>
    <s v="Chlor-a"/>
  </r>
  <r>
    <n v="2010"/>
    <s v="August   "/>
    <x v="73"/>
    <n v="146.9"/>
    <s v="10GS50S61"/>
    <s v="NO2+NO3"/>
  </r>
  <r>
    <n v="2011"/>
    <s v="August   "/>
    <x v="73"/>
    <n v="146.9"/>
    <s v="11GS49S41"/>
    <s v="Chlor-a"/>
  </r>
  <r>
    <n v="2011"/>
    <s v="August   "/>
    <x v="73"/>
    <n v="146.9"/>
    <s v="11GS49S41"/>
    <s v="NO2+NO3"/>
  </r>
  <r>
    <n v="2012"/>
    <s v="August   "/>
    <x v="73"/>
    <n v="146.9"/>
    <s v="12GS62S61"/>
    <s v="Chlor-a"/>
  </r>
  <r>
    <n v="2012"/>
    <s v="August   "/>
    <x v="73"/>
    <n v="146.9"/>
    <s v="12GS62S61"/>
    <s v="NO2+NO3"/>
  </r>
  <r>
    <n v="2008"/>
    <s v="May      "/>
    <x v="73"/>
    <n v="149.80000000000001"/>
    <s v="08GS25S61"/>
    <s v="Chlor-a"/>
  </r>
  <r>
    <n v="2008"/>
    <s v="May      "/>
    <x v="73"/>
    <n v="149.80000000000001"/>
    <s v="08GS25S61"/>
    <s v="NO2+NO3"/>
  </r>
  <r>
    <n v="2009"/>
    <s v="April    "/>
    <x v="74"/>
    <n v="238.4"/>
    <s v="09GS26S81"/>
    <s v="Chlor-a"/>
  </r>
  <r>
    <n v="2009"/>
    <s v="April    "/>
    <x v="74"/>
    <n v="238.4"/>
    <s v="09GS26S81"/>
    <s v="NO2+NO3"/>
  </r>
  <r>
    <n v="2010"/>
    <s v="April    "/>
    <x v="74"/>
    <n v="231.3"/>
    <s v="10GS27S01"/>
    <s v="Chlor-a"/>
  </r>
  <r>
    <n v="2010"/>
    <s v="April    "/>
    <x v="74"/>
    <n v="231.3"/>
    <s v="10GS27S01"/>
    <s v="NO2+NO3"/>
  </r>
  <r>
    <n v="2011"/>
    <s v="April    "/>
    <x v="74"/>
    <n v="240.3"/>
    <s v="11GS26S81"/>
    <s v="Chlor-a"/>
  </r>
  <r>
    <n v="2011"/>
    <s v="April    "/>
    <x v="74"/>
    <n v="240.3"/>
    <s v="11GS26S81"/>
    <s v="NO2+NO3"/>
  </r>
  <r>
    <n v="2012"/>
    <s v="April    "/>
    <x v="74"/>
    <n v="238.7"/>
    <s v="12GS28S41"/>
    <s v="Chlor-a"/>
  </r>
  <r>
    <n v="2012"/>
    <s v="April    "/>
    <x v="74"/>
    <n v="238.7"/>
    <s v="12GS28S41"/>
    <s v="NO2+NO3"/>
  </r>
  <r>
    <n v="2008"/>
    <s v="August   "/>
    <x v="74"/>
    <n v="238.4"/>
    <s v="08GS52S01"/>
    <s v="Chlor-a"/>
  </r>
  <r>
    <n v="2008"/>
    <s v="August   "/>
    <x v="74"/>
    <n v="238.4"/>
    <s v="08GS52S01"/>
    <s v="NO2+NO3"/>
  </r>
  <r>
    <n v="2010"/>
    <s v="August   "/>
    <x v="74"/>
    <n v="237.4"/>
    <s v="10GS52S01"/>
    <s v="Chlor-a"/>
  </r>
  <r>
    <n v="2010"/>
    <s v="August   "/>
    <x v="74"/>
    <n v="237.4"/>
    <s v="10GS52S01"/>
    <s v="NO2+NO3"/>
  </r>
  <r>
    <n v="2011"/>
    <s v="August   "/>
    <x v="74"/>
    <n v="237.4"/>
    <s v="11GS49S61"/>
    <s v="Chlor-a"/>
  </r>
  <r>
    <n v="2011"/>
    <s v="August   "/>
    <x v="74"/>
    <n v="237.4"/>
    <s v="11GS49S61"/>
    <s v="NO2+NO3"/>
  </r>
  <r>
    <n v="2012"/>
    <s v="August   "/>
    <x v="74"/>
    <n v="237.4"/>
    <s v="12GS62S81"/>
    <s v="Chlor-a"/>
  </r>
  <r>
    <n v="2012"/>
    <s v="August   "/>
    <x v="74"/>
    <n v="237.4"/>
    <s v="12GS62S81"/>
    <s v="NO2+NO3"/>
  </r>
  <r>
    <n v="2008"/>
    <s v="May      "/>
    <x v="74"/>
    <n v="240.3"/>
    <s v="08GS27S01"/>
    <s v="Chlor-a"/>
  </r>
  <r>
    <n v="2008"/>
    <s v="May      "/>
    <x v="74"/>
    <n v="240.3"/>
    <s v="08GS27S01"/>
    <s v="NO2+NO3"/>
  </r>
  <r>
    <n v="2009"/>
    <s v="September"/>
    <x v="74"/>
    <n v="238.4"/>
    <s v="09GS54S81"/>
    <s v="Chlor-a"/>
  </r>
  <r>
    <n v="2009"/>
    <s v="September"/>
    <x v="74"/>
    <n v="238.4"/>
    <s v="09GS54S81"/>
    <s v="NO2+NO3"/>
  </r>
  <r>
    <n v="2009"/>
    <s v="April    "/>
    <x v="75"/>
    <n v="233.5"/>
    <s v="09GS25S81"/>
    <s v="Chlor-a"/>
  </r>
  <r>
    <n v="2009"/>
    <s v="April    "/>
    <x v="75"/>
    <n v="233.5"/>
    <s v="09GS25S81"/>
    <s v="NO2+NO3"/>
  </r>
  <r>
    <n v="2010"/>
    <s v="April    "/>
    <x v="75"/>
    <n v="233.5"/>
    <s v="10GS25S81"/>
    <s v="Chlor-a"/>
  </r>
  <r>
    <n v="2010"/>
    <s v="April    "/>
    <x v="75"/>
    <n v="233.5"/>
    <s v="10GS25S81"/>
    <s v="NO2+NO3"/>
  </r>
  <r>
    <n v="2011"/>
    <s v="April    "/>
    <x v="75"/>
    <n v="232.5"/>
    <s v="11GS25S81"/>
    <s v="Chlor-a"/>
  </r>
  <r>
    <n v="2011"/>
    <s v="April    "/>
    <x v="75"/>
    <n v="232.5"/>
    <s v="11GS25S81"/>
    <s v="NO2+NO3"/>
  </r>
  <r>
    <n v="2012"/>
    <s v="April    "/>
    <x v="75"/>
    <n v="233.5"/>
    <s v="12GS28S61"/>
    <s v="Chlor-a"/>
  </r>
  <r>
    <n v="2012"/>
    <s v="April    "/>
    <x v="75"/>
    <n v="233.5"/>
    <s v="12GS28S61"/>
    <s v="NO2+NO3"/>
  </r>
  <r>
    <n v="2008"/>
    <s v="August   "/>
    <x v="75"/>
    <n v="229.6"/>
    <s v="08GS50S81"/>
    <s v="Chlor-a"/>
  </r>
  <r>
    <n v="2008"/>
    <s v="August   "/>
    <x v="75"/>
    <n v="229.6"/>
    <s v="08GS50S81"/>
    <s v="NO2+NO3"/>
  </r>
  <r>
    <n v="2009"/>
    <s v="August   "/>
    <x v="75"/>
    <n v="230.1"/>
    <s v="09GS53S81"/>
    <s v="Chlor-a"/>
  </r>
  <r>
    <n v="2009"/>
    <s v="August   "/>
    <x v="75"/>
    <n v="230.1"/>
    <s v="09GS53S81"/>
    <s v="NO2+NO3"/>
  </r>
  <r>
    <n v="2010"/>
    <s v="August   "/>
    <x v="75"/>
    <n v="232.5"/>
    <s v="10GS50S81"/>
    <s v="Chlor-a"/>
  </r>
  <r>
    <n v="2010"/>
    <s v="August   "/>
    <x v="75"/>
    <n v="232.5"/>
    <s v="10GS50S81"/>
    <s v="NO2+NO3"/>
  </r>
  <r>
    <n v="2011"/>
    <s v="August   "/>
    <x v="75"/>
    <n v="230.6"/>
    <s v="11GS49S81"/>
    <s v="Chlor-a"/>
  </r>
  <r>
    <n v="2011"/>
    <s v="August   "/>
    <x v="75"/>
    <n v="230.6"/>
    <s v="11GS49S81"/>
    <s v="NO2+NO3"/>
  </r>
  <r>
    <n v="2012"/>
    <s v="August   "/>
    <x v="75"/>
    <n v="230.6"/>
    <s v="12GS63S01"/>
    <s v="Chlor-a"/>
  </r>
  <r>
    <n v="2012"/>
    <s v="August   "/>
    <x v="75"/>
    <n v="230.6"/>
    <s v="12GS63S01"/>
    <s v="NO2+NO3"/>
  </r>
  <r>
    <n v="2008"/>
    <s v="May      "/>
    <x v="75"/>
    <n v="233.5"/>
    <s v="08GS25S81"/>
    <s v="Chlor-a"/>
  </r>
  <r>
    <n v="2008"/>
    <s v="May      "/>
    <x v="75"/>
    <n v="233.5"/>
    <s v="08GS25S81"/>
    <s v="NO2+NO3"/>
  </r>
  <r>
    <n v="2009"/>
    <s v="April    "/>
    <x v="76"/>
    <n v="183"/>
    <s v="09GS26S01"/>
    <s v="Chlor-a"/>
  </r>
  <r>
    <n v="2009"/>
    <s v="April    "/>
    <x v="76"/>
    <n v="183"/>
    <s v="09GS26S01"/>
    <s v="NO2+NO3"/>
  </r>
  <r>
    <n v="2010"/>
    <s v="April    "/>
    <x v="76"/>
    <n v="180"/>
    <s v="10GS26S01"/>
    <s v="Chlor-a"/>
  </r>
  <r>
    <n v="2010"/>
    <s v="April    "/>
    <x v="76"/>
    <n v="180"/>
    <s v="10GS26S01"/>
    <s v="NO2+NO3"/>
  </r>
  <r>
    <n v="2011"/>
    <s v="April    "/>
    <x v="76"/>
    <n v="180"/>
    <s v="11GS26S01"/>
    <s v="Chlor-a"/>
  </r>
  <r>
    <n v="2011"/>
    <s v="April    "/>
    <x v="76"/>
    <n v="180"/>
    <s v="11GS26S01"/>
    <s v="NO2+NO3"/>
  </r>
  <r>
    <n v="2012"/>
    <s v="April    "/>
    <x v="76"/>
    <n v="180"/>
    <s v="12GS28S81"/>
    <s v="Chlor-a"/>
  </r>
  <r>
    <n v="2012"/>
    <s v="April    "/>
    <x v="76"/>
    <n v="180"/>
    <s v="12GS28S81"/>
    <s v="NO2+NO3"/>
  </r>
  <r>
    <n v="2008"/>
    <s v="August   "/>
    <x v="76"/>
    <n v="178"/>
    <s v="08GS51S01"/>
    <s v="Chlor-a"/>
  </r>
  <r>
    <n v="2008"/>
    <s v="August   "/>
    <x v="76"/>
    <n v="178"/>
    <s v="08GS51S01"/>
    <s v="NO2+NO3"/>
  </r>
  <r>
    <n v="2010"/>
    <s v="August   "/>
    <x v="76"/>
    <n v="178.1"/>
    <s v="10GS51S01"/>
    <s v="Chlor-a"/>
  </r>
  <r>
    <n v="2010"/>
    <s v="August   "/>
    <x v="76"/>
    <n v="178.1"/>
    <s v="10GS51S01"/>
    <s v="NO2+NO3"/>
  </r>
  <r>
    <n v="2011"/>
    <s v="August   "/>
    <x v="76"/>
    <n v="177.1"/>
    <s v="11GS50S01"/>
    <s v="Chlor-a"/>
  </r>
  <r>
    <n v="2011"/>
    <s v="August   "/>
    <x v="76"/>
    <n v="177.1"/>
    <s v="11GS50S01"/>
    <s v="NO2+NO3"/>
  </r>
  <r>
    <n v="2012"/>
    <s v="August   "/>
    <x v="76"/>
    <n v="178.1"/>
    <s v="12GS63S21"/>
    <s v="Chlor-a"/>
  </r>
  <r>
    <n v="2012"/>
    <s v="August   "/>
    <x v="76"/>
    <n v="178.1"/>
    <s v="12GS63S21"/>
    <s v="NO2+NO3"/>
  </r>
  <r>
    <n v="2008"/>
    <s v="May      "/>
    <x v="76"/>
    <n v="180"/>
    <s v="08GS26S01"/>
    <s v="Chlor-a"/>
  </r>
  <r>
    <n v="2008"/>
    <s v="May      "/>
    <x v="76"/>
    <n v="180"/>
    <s v="08GS26S01"/>
    <s v="NO2+NO3"/>
  </r>
  <r>
    <n v="2009"/>
    <s v="September"/>
    <x v="76"/>
    <n v="180"/>
    <s v="09GS54S01"/>
    <s v="Chlor-a"/>
  </r>
  <r>
    <n v="2009"/>
    <s v="September"/>
    <x v="76"/>
    <n v="180"/>
    <s v="09GS54S01"/>
    <s v="NO2+NO3"/>
  </r>
  <r>
    <n v="2009"/>
    <s v="April    "/>
    <x v="77"/>
    <n v="209.1"/>
    <s v="09GS26S61"/>
    <s v="Chlor-a"/>
  </r>
  <r>
    <n v="2009"/>
    <s v="April    "/>
    <x v="77"/>
    <n v="209.1"/>
    <s v="09GS26S61"/>
    <s v="NO2+NO3"/>
  </r>
  <r>
    <n v="2010"/>
    <s v="April    "/>
    <x v="77"/>
    <n v="202.3"/>
    <s v="10GS26S81"/>
    <s v="Chlor-a"/>
  </r>
  <r>
    <n v="2010"/>
    <s v="April    "/>
    <x v="77"/>
    <n v="202.3"/>
    <s v="10GS26S81"/>
    <s v="NO2+NO3"/>
  </r>
  <r>
    <n v="2011"/>
    <s v="April    "/>
    <x v="77"/>
    <n v="203.4"/>
    <s v="11GS26S61"/>
    <s v="Chlor-a"/>
  </r>
  <r>
    <n v="2011"/>
    <s v="April    "/>
    <x v="77"/>
    <n v="203.4"/>
    <s v="11GS26S61"/>
    <s v="NO2+NO3"/>
  </r>
  <r>
    <n v="2012"/>
    <s v="April    "/>
    <x v="77"/>
    <n v="202.4"/>
    <s v="12GS29S01"/>
    <s v="Chlor-a"/>
  </r>
  <r>
    <n v="2012"/>
    <s v="April    "/>
    <x v="77"/>
    <n v="202.4"/>
    <s v="12GS29S01"/>
    <s v="NO2+NO3"/>
  </r>
  <r>
    <n v="2008"/>
    <s v="August   "/>
    <x v="77"/>
    <n v="201.4"/>
    <s v="08GS51S81"/>
    <s v="Chlor-a"/>
  </r>
  <r>
    <n v="2008"/>
    <s v="August   "/>
    <x v="77"/>
    <n v="201.4"/>
    <s v="08GS51S81"/>
    <s v="NO2+NO3"/>
  </r>
  <r>
    <n v="2010"/>
    <s v="August   "/>
    <x v="77"/>
    <n v="201.4"/>
    <s v="10GS51S81"/>
    <s v="Chlor-a"/>
  </r>
  <r>
    <n v="2010"/>
    <s v="August   "/>
    <x v="77"/>
    <n v="201.4"/>
    <s v="10GS51S81"/>
    <s v="NO2+NO3"/>
  </r>
  <r>
    <n v="2011"/>
    <s v="August   "/>
    <x v="77"/>
    <n v="203.4"/>
    <s v="11GS50S21"/>
    <s v="Chlor-a"/>
  </r>
  <r>
    <n v="2011"/>
    <s v="August   "/>
    <x v="77"/>
    <n v="203.4"/>
    <s v="11GS50S21"/>
    <s v="NO2+NO3"/>
  </r>
  <r>
    <n v="2012"/>
    <s v="August   "/>
    <x v="77"/>
    <n v="201.4"/>
    <s v="12GS63S41"/>
    <s v="Chlor-a"/>
  </r>
  <r>
    <n v="2012"/>
    <s v="August   "/>
    <x v="77"/>
    <n v="201.4"/>
    <s v="12GS63S41"/>
    <s v="NO2+NO3"/>
  </r>
  <r>
    <n v="2008"/>
    <s v="May      "/>
    <x v="77"/>
    <n v="203.4"/>
    <s v="08GS26S81"/>
    <s v="Chlor-a"/>
  </r>
  <r>
    <n v="2008"/>
    <s v="May      "/>
    <x v="77"/>
    <n v="203.4"/>
    <s v="08GS26S81"/>
    <s v="NO2+NO3"/>
  </r>
  <r>
    <n v="2009"/>
    <s v="September"/>
    <x v="77"/>
    <n v="201.4"/>
    <s v="09GS54S61"/>
    <s v="Chlor-a"/>
  </r>
  <r>
    <n v="2009"/>
    <s v="September"/>
    <x v="77"/>
    <n v="201.4"/>
    <s v="09GS54S61"/>
    <s v="NO2+NO3"/>
  </r>
  <r>
    <n v="2009"/>
    <s v="April    "/>
    <x v="78"/>
    <n v="156.5"/>
    <s v="09GS26S21"/>
    <s v="Chlor-a"/>
  </r>
  <r>
    <n v="2009"/>
    <s v="April    "/>
    <x v="78"/>
    <n v="156.5"/>
    <s v="09GS26S21"/>
    <s v="NO2+NO3"/>
  </r>
  <r>
    <n v="2010"/>
    <s v="April    "/>
    <x v="78"/>
    <n v="156.6"/>
    <s v="10GS26S21"/>
    <s v="Chlor-a"/>
  </r>
  <r>
    <n v="2010"/>
    <s v="April    "/>
    <x v="78"/>
    <n v="156.6"/>
    <s v="10GS26S21"/>
    <s v="NO2+NO3"/>
  </r>
  <r>
    <n v="2011"/>
    <s v="April    "/>
    <x v="78"/>
    <n v="155.69999999999999"/>
    <s v="11GS26S21"/>
    <s v="Chlor-a"/>
  </r>
  <r>
    <n v="2011"/>
    <s v="April    "/>
    <x v="78"/>
    <n v="155.69999999999999"/>
    <s v="11GS26S21"/>
    <s v="NO2+NO3"/>
  </r>
  <r>
    <n v="2012"/>
    <s v="April    "/>
    <x v="78"/>
    <n v="155.69999999999999"/>
    <s v="12GS29S21"/>
    <s v="Chlor-a"/>
  </r>
  <r>
    <n v="2012"/>
    <s v="April    "/>
    <x v="78"/>
    <n v="155.69999999999999"/>
    <s v="12GS29S21"/>
    <s v="NO2+NO3"/>
  </r>
  <r>
    <n v="2008"/>
    <s v="August   "/>
    <x v="78"/>
    <n v="155.6"/>
    <s v="08GS51S21"/>
    <s v="Chlor-a"/>
  </r>
  <r>
    <n v="2008"/>
    <s v="August   "/>
    <x v="78"/>
    <n v="155.6"/>
    <s v="08GS51S21"/>
    <s v="NO2+NO3"/>
  </r>
  <r>
    <n v="2009"/>
    <s v="August   "/>
    <x v="78"/>
    <n v="155.69999999999999"/>
    <s v="09GS54S21"/>
    <s v="Chlor-a"/>
  </r>
  <r>
    <n v="2009"/>
    <s v="August   "/>
    <x v="78"/>
    <n v="155.69999999999999"/>
    <s v="09GS54S21"/>
    <s v="NO2+NO3"/>
  </r>
  <r>
    <n v="2010"/>
    <s v="August   "/>
    <x v="78"/>
    <n v="155.69999999999999"/>
    <s v="10GS51S21"/>
    <s v="Chlor-a"/>
  </r>
  <r>
    <n v="2010"/>
    <s v="August   "/>
    <x v="78"/>
    <n v="155.69999999999999"/>
    <s v="10GS51S21"/>
    <s v="NO2+NO3"/>
  </r>
  <r>
    <n v="2011"/>
    <s v="August   "/>
    <x v="78"/>
    <n v="153.69999999999999"/>
    <s v="11GS50S41"/>
    <s v="Chlor-a"/>
  </r>
  <r>
    <n v="2011"/>
    <s v="August   "/>
    <x v="78"/>
    <n v="153.69999999999999"/>
    <s v="11GS50S41"/>
    <s v="NO2+NO3"/>
  </r>
  <r>
    <n v="2012"/>
    <s v="August   "/>
    <x v="78"/>
    <n v="155.69999999999999"/>
    <s v="12GS63S61"/>
    <s v="Chlor-a"/>
  </r>
  <r>
    <n v="2012"/>
    <s v="August   "/>
    <x v="78"/>
    <n v="155.69999999999999"/>
    <s v="12GS63S61"/>
    <s v="NO2+NO3"/>
  </r>
  <r>
    <n v="2008"/>
    <s v="May      "/>
    <x v="78"/>
    <n v="156.6"/>
    <s v="08GS26S21"/>
    <s v="Chlor-a"/>
  </r>
  <r>
    <n v="2008"/>
    <s v="May      "/>
    <x v="78"/>
    <n v="156.6"/>
    <s v="08GS26S21"/>
    <s v="NO2+NO3"/>
  </r>
  <r>
    <n v="2009"/>
    <s v="April    "/>
    <x v="79"/>
    <n v="187.6"/>
    <s v="09GS26S41"/>
    <s v="Chlor-a"/>
  </r>
  <r>
    <n v="2009"/>
    <s v="April    "/>
    <x v="79"/>
    <n v="187.6"/>
    <s v="09GS26S41"/>
    <s v="NO2+NO3"/>
  </r>
  <r>
    <n v="2010"/>
    <s v="April    "/>
    <x v="79"/>
    <n v="187.7"/>
    <s v="10GS26S41"/>
    <s v="Chlor-a"/>
  </r>
  <r>
    <n v="2010"/>
    <s v="April    "/>
    <x v="79"/>
    <n v="187.7"/>
    <s v="10GS26S41"/>
    <s v="NO2+NO3"/>
  </r>
  <r>
    <n v="2011"/>
    <s v="April    "/>
    <x v="79"/>
    <n v="187.8"/>
    <s v="11GS26S41"/>
    <s v="Chlor-a"/>
  </r>
  <r>
    <n v="2011"/>
    <s v="April    "/>
    <x v="79"/>
    <n v="187.8"/>
    <s v="11GS26S41"/>
    <s v="NO2+NO3"/>
  </r>
  <r>
    <n v="2012"/>
    <s v="April    "/>
    <x v="79"/>
    <n v="186.8"/>
    <s v="12GS29S41"/>
    <s v="Chlor-a"/>
  </r>
  <r>
    <n v="2012"/>
    <s v="April    "/>
    <x v="79"/>
    <n v="186.8"/>
    <s v="12GS29S41"/>
    <s v="NO2+NO3"/>
  </r>
  <r>
    <n v="2008"/>
    <s v="August   "/>
    <x v="79"/>
    <n v="185.8"/>
    <s v="08GS51S41"/>
    <s v="Chlor-a"/>
  </r>
  <r>
    <n v="2008"/>
    <s v="August   "/>
    <x v="79"/>
    <n v="185.8"/>
    <s v="08GS51S41"/>
    <s v="NO2+NO3"/>
  </r>
  <r>
    <n v="2009"/>
    <s v="August   "/>
    <x v="79"/>
    <n v="185.8"/>
    <s v="09GS54S41"/>
    <s v="Chlor-a"/>
  </r>
  <r>
    <n v="2009"/>
    <s v="August   "/>
    <x v="79"/>
    <n v="185.8"/>
    <s v="09GS54S41"/>
    <s v="NO2+NO3"/>
  </r>
  <r>
    <n v="2010"/>
    <s v="August   "/>
    <x v="79"/>
    <n v="185.8"/>
    <s v="10GS51S41"/>
    <s v="Chlor-a"/>
  </r>
  <r>
    <n v="2010"/>
    <s v="August   "/>
    <x v="79"/>
    <n v="185.8"/>
    <s v="10GS51S41"/>
    <s v="NO2+NO3"/>
  </r>
  <r>
    <n v="2011"/>
    <s v="August   "/>
    <x v="79"/>
    <n v="185.8"/>
    <s v="11GS50S61"/>
    <s v="Chlor-a"/>
  </r>
  <r>
    <n v="2011"/>
    <s v="August   "/>
    <x v="79"/>
    <n v="185.8"/>
    <s v="11GS50S61"/>
    <s v="NO2+NO3"/>
  </r>
  <r>
    <n v="2012"/>
    <s v="August   "/>
    <x v="79"/>
    <n v="185.8"/>
    <s v="12GS63S81"/>
    <s v="Chlor-a"/>
  </r>
  <r>
    <n v="2012"/>
    <s v="August   "/>
    <x v="79"/>
    <n v="185.8"/>
    <s v="12GS63S81"/>
    <s v="NO2+NO3"/>
  </r>
  <r>
    <n v="2008"/>
    <s v="May      "/>
    <x v="79"/>
    <n v="187.7"/>
    <s v="08GS26S41"/>
    <s v="Chlor-a"/>
  </r>
  <r>
    <n v="2008"/>
    <s v="May      "/>
    <x v="79"/>
    <n v="187.7"/>
    <s v="08GS26S41"/>
    <s v="NO2+NO3"/>
  </r>
  <r>
    <n v="2010"/>
    <s v="April    "/>
    <x v="80"/>
    <n v="14.5"/>
    <s v="10GS26S61"/>
    <s v="Chlor-a"/>
  </r>
  <r>
    <n v="2010"/>
    <s v="April    "/>
    <x v="80"/>
    <n v="14.5"/>
    <s v="10GS26S61"/>
    <s v="NO2+NO3"/>
  </r>
  <r>
    <n v="2012"/>
    <s v="April    "/>
    <x v="80"/>
    <n v="13.7"/>
    <s v="12GS29S61"/>
    <s v="Chlor-a"/>
  </r>
  <r>
    <n v="2012"/>
    <s v="April    "/>
    <x v="80"/>
    <n v="13.7"/>
    <s v="12GS29S61"/>
    <s v="NO2+NO3"/>
  </r>
  <r>
    <n v="2008"/>
    <s v="August   "/>
    <x v="80"/>
    <n v="13.7"/>
    <s v="08GS51S61"/>
    <s v="Chlor-a"/>
  </r>
  <r>
    <n v="2008"/>
    <s v="August   "/>
    <x v="80"/>
    <n v="13.7"/>
    <s v="08GS51S61"/>
    <s v="NO2+NO3"/>
  </r>
  <r>
    <n v="2010"/>
    <s v="August   "/>
    <x v="80"/>
    <n v="13.2"/>
    <s v="10GS51S61"/>
    <s v="Chlor-a"/>
  </r>
  <r>
    <n v="2010"/>
    <s v="August   "/>
    <x v="80"/>
    <n v="13.2"/>
    <s v="10GS51S61"/>
    <s v="NO2+NO3"/>
  </r>
  <r>
    <n v="2012"/>
    <s v="August   "/>
    <x v="80"/>
    <n v="112.9"/>
    <s v="12GS64S01"/>
    <s v="Chlor-a"/>
  </r>
  <r>
    <n v="2012"/>
    <s v="August   "/>
    <x v="80"/>
    <n v="112.9"/>
    <s v="12GS64S01"/>
    <s v="NO2+NO3"/>
  </r>
  <r>
    <n v="2008"/>
    <s v="May      "/>
    <x v="80"/>
    <n v="13.8"/>
    <s v="08GS26S61"/>
    <s v="Chlor-a"/>
  </r>
  <r>
    <n v="2008"/>
    <s v="May      "/>
    <x v="80"/>
    <n v="13.8"/>
    <s v="08GS26S61"/>
    <s v="NO2+NO3"/>
  </r>
  <r>
    <n v="2009"/>
    <s v="April    "/>
    <x v="81"/>
    <n v="37.799999999999997"/>
    <s v="09GS27S41"/>
    <s v="Chlor-a"/>
  </r>
  <r>
    <n v="2009"/>
    <s v="April    "/>
    <x v="81"/>
    <n v="37.799999999999997"/>
    <s v="09GS27S41"/>
    <s v="NO2+NO3"/>
  </r>
  <r>
    <n v="2011"/>
    <s v="April    "/>
    <x v="81"/>
    <n v="69"/>
    <s v="11GS27S41"/>
    <s v="Chlor-a"/>
  </r>
  <r>
    <n v="2011"/>
    <s v="April    "/>
    <x v="81"/>
    <n v="69"/>
    <s v="11GS27S41"/>
    <s v="NO2+NO3"/>
  </r>
  <r>
    <n v="2011"/>
    <s v="August   "/>
    <x v="81"/>
    <n v="109"/>
    <s v="11GS51S01"/>
    <s v="Chlor-a"/>
  </r>
  <r>
    <n v="2011"/>
    <s v="August   "/>
    <x v="81"/>
    <n v="109"/>
    <s v="11GS51S01"/>
    <s v="NO2+NO3"/>
  </r>
  <r>
    <n v="2009"/>
    <s v="September"/>
    <x v="81"/>
    <n v="36"/>
    <s v="09GS55S41"/>
    <s v="Chlor-a"/>
  </r>
  <r>
    <n v="2009"/>
    <s v="September"/>
    <x v="81"/>
    <n v="36"/>
    <s v="09GS55S41"/>
    <s v="NO2+NO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compact="0" outline="1" outlineData="1" compactData="0" multipleFieldFilters="0">
  <location ref="R4:U88" firstHeaderRow="1" firstDataRow="2" firstDataCol="1"/>
  <pivotFields count="6">
    <pivotField compact="0" showAll="0"/>
    <pivotField compact="0" showAll="0"/>
    <pivotField axis="axisRow" compact="0" showAll="0">
      <items count="86">
        <item sd="0" x="0"/>
        <item sd="0" x="1"/>
        <item sd="0" x="2"/>
        <item sd="0" x="3"/>
        <item sd="0" x="4"/>
        <item sd="0" x="5"/>
        <item sd="0" x="6"/>
        <item sd="0"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m="1" x="83"/>
        <item x="24"/>
        <item x="25"/>
        <item m="1" x="84"/>
        <item x="26"/>
        <item x="27"/>
        <item x="28"/>
        <item x="29"/>
        <item x="30"/>
        <item m="1" x="82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dataField="1" compact="0" showAll="0"/>
    <pivotField compact="0" showAll="0"/>
    <pivotField compact="0" showAll="0"/>
  </pivotFields>
  <rowFields count="1">
    <field x="2"/>
  </rowFields>
  <rowItems count="8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8"/>
    </i>
    <i>
      <x v="29"/>
    </i>
    <i>
      <x v="30"/>
    </i>
    <i>
      <x v="31"/>
    </i>
    <i>
      <x v="32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TN_DEPTH_m" fld="3" subtotal="average" baseField="0" baseItem="0"/>
    <dataField name="StdDev of STN_DEPTH_m" fld="3" subtotal="stdDev" baseField="0" baseItem="0"/>
    <dataField name="Count of STN_DEPTH_m" fld="3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5"/>
  <dimension ref="B5:AI60"/>
  <sheetViews>
    <sheetView topLeftCell="M1" workbookViewId="0">
      <selection activeCell="W20" sqref="W20:Y20"/>
    </sheetView>
  </sheetViews>
  <sheetFormatPr defaultRowHeight="12.75" x14ac:dyDescent="0.2"/>
  <cols>
    <col min="1" max="1" width="8.85546875" customWidth="1"/>
    <col min="2" max="2" width="11.42578125" customWidth="1"/>
    <col min="3" max="5" width="11.140625" bestFit="1" customWidth="1"/>
    <col min="6" max="7" width="11.140625" customWidth="1"/>
    <col min="8" max="8" width="10.5703125" customWidth="1"/>
    <col min="11" max="12" width="11.5703125" customWidth="1"/>
    <col min="15" max="15" width="11.140625" customWidth="1"/>
    <col min="16" max="16" width="11.5703125" customWidth="1"/>
    <col min="20" max="20" width="11.85546875" customWidth="1"/>
    <col min="24" max="24" width="10.85546875" customWidth="1"/>
    <col min="25" max="25" width="11.5703125" customWidth="1"/>
  </cols>
  <sheetData>
    <row r="5" spans="2:35" x14ac:dyDescent="0.2">
      <c r="F5" t="s">
        <v>1032</v>
      </c>
      <c r="L5" t="s">
        <v>1052</v>
      </c>
      <c r="P5" t="s">
        <v>1052</v>
      </c>
      <c r="T5" t="s">
        <v>1052</v>
      </c>
      <c r="Y5" t="s">
        <v>1052</v>
      </c>
      <c r="AD5" t="s">
        <v>1052</v>
      </c>
      <c r="AI5" t="s">
        <v>1052</v>
      </c>
    </row>
    <row r="6" spans="2:35" x14ac:dyDescent="0.2">
      <c r="B6" s="15" t="s">
        <v>15</v>
      </c>
      <c r="C6" s="15" t="s">
        <v>12</v>
      </c>
      <c r="D6" s="15" t="s">
        <v>7</v>
      </c>
      <c r="E6" s="15" t="s">
        <v>96</v>
      </c>
      <c r="F6" s="12" t="s">
        <v>12</v>
      </c>
      <c r="G6" s="12" t="s">
        <v>7</v>
      </c>
      <c r="I6" s="6" t="s">
        <v>15</v>
      </c>
      <c r="J6" t="s">
        <v>48</v>
      </c>
      <c r="K6" t="s">
        <v>2</v>
      </c>
      <c r="L6" t="s">
        <v>1067</v>
      </c>
      <c r="M6" s="7" t="s">
        <v>12</v>
      </c>
      <c r="N6" t="s">
        <v>50</v>
      </c>
      <c r="O6" t="s">
        <v>119</v>
      </c>
      <c r="P6" t="s">
        <v>1068</v>
      </c>
      <c r="Q6" s="8" t="s">
        <v>7</v>
      </c>
      <c r="R6" t="s">
        <v>47</v>
      </c>
      <c r="S6" t="s">
        <v>4</v>
      </c>
      <c r="T6" t="s">
        <v>1069</v>
      </c>
      <c r="V6" s="9" t="s">
        <v>96</v>
      </c>
      <c r="W6" t="s">
        <v>49</v>
      </c>
      <c r="X6" t="s">
        <v>2</v>
      </c>
      <c r="Y6" t="s">
        <v>1070</v>
      </c>
      <c r="AA6" s="42" t="s">
        <v>1032</v>
      </c>
      <c r="AB6" t="s">
        <v>66</v>
      </c>
      <c r="AC6" t="s">
        <v>118</v>
      </c>
      <c r="AD6" t="s">
        <v>1071</v>
      </c>
      <c r="AF6" s="42" t="s">
        <v>1032</v>
      </c>
      <c r="AG6" t="s">
        <v>65</v>
      </c>
      <c r="AH6" t="s">
        <v>118</v>
      </c>
      <c r="AI6" t="s">
        <v>1072</v>
      </c>
    </row>
    <row r="7" spans="2:35" x14ac:dyDescent="0.2">
      <c r="B7" s="16" t="s">
        <v>2</v>
      </c>
      <c r="C7" s="16" t="s">
        <v>119</v>
      </c>
      <c r="D7" s="16" t="s">
        <v>4</v>
      </c>
      <c r="E7" s="16" t="s">
        <v>2</v>
      </c>
      <c r="F7" s="2" t="s">
        <v>118</v>
      </c>
      <c r="G7" s="2" t="s">
        <v>118</v>
      </c>
      <c r="J7" t="s">
        <v>56</v>
      </c>
      <c r="K7" t="s">
        <v>2</v>
      </c>
      <c r="L7" t="s">
        <v>1073</v>
      </c>
      <c r="N7" t="s">
        <v>57</v>
      </c>
      <c r="O7" t="s">
        <v>6</v>
      </c>
      <c r="P7" t="s">
        <v>1074</v>
      </c>
      <c r="R7" t="s">
        <v>56</v>
      </c>
      <c r="S7" t="s">
        <v>6</v>
      </c>
      <c r="T7" t="s">
        <v>1075</v>
      </c>
      <c r="W7" s="2" t="s">
        <v>55</v>
      </c>
      <c r="X7" s="2" t="s">
        <v>119</v>
      </c>
      <c r="Y7" s="2" t="s">
        <v>1076</v>
      </c>
      <c r="AA7" s="7" t="s">
        <v>12</v>
      </c>
      <c r="AB7" t="s">
        <v>66</v>
      </c>
      <c r="AC7" t="s">
        <v>118</v>
      </c>
      <c r="AD7" t="s">
        <v>1077</v>
      </c>
      <c r="AF7" s="8" t="s">
        <v>7</v>
      </c>
      <c r="AG7" t="s">
        <v>65</v>
      </c>
      <c r="AH7" t="s">
        <v>118</v>
      </c>
      <c r="AI7" t="s">
        <v>1078</v>
      </c>
    </row>
    <row r="8" spans="2:35" x14ac:dyDescent="0.2">
      <c r="B8" s="16" t="s">
        <v>48</v>
      </c>
      <c r="C8" s="16" t="s">
        <v>50</v>
      </c>
      <c r="D8" s="16" t="s">
        <v>47</v>
      </c>
      <c r="E8" s="16" t="s">
        <v>49</v>
      </c>
      <c r="F8" s="2" t="s">
        <v>66</v>
      </c>
      <c r="G8" s="2" t="s">
        <v>65</v>
      </c>
      <c r="J8" t="s">
        <v>64</v>
      </c>
      <c r="K8" t="s">
        <v>2</v>
      </c>
      <c r="L8" t="s">
        <v>1079</v>
      </c>
      <c r="N8" t="s">
        <v>66</v>
      </c>
      <c r="O8" t="s">
        <v>119</v>
      </c>
      <c r="P8" t="s">
        <v>1080</v>
      </c>
      <c r="R8" t="s">
        <v>63</v>
      </c>
      <c r="S8" t="s">
        <v>2</v>
      </c>
      <c r="T8" t="s">
        <v>1081</v>
      </c>
      <c r="W8" s="2" t="s">
        <v>63</v>
      </c>
      <c r="X8" s="2" t="s">
        <v>6</v>
      </c>
      <c r="Y8" s="2" t="s">
        <v>1082</v>
      </c>
      <c r="AD8" t="s">
        <v>1083</v>
      </c>
      <c r="AI8" t="s">
        <v>1084</v>
      </c>
    </row>
    <row r="9" spans="2:35" x14ac:dyDescent="0.2">
      <c r="B9" s="16" t="s">
        <v>1067</v>
      </c>
      <c r="C9" s="16" t="s">
        <v>1068</v>
      </c>
      <c r="D9" s="16" t="s">
        <v>1069</v>
      </c>
      <c r="E9" s="16" t="s">
        <v>1070</v>
      </c>
      <c r="F9" s="2" t="s">
        <v>1071</v>
      </c>
      <c r="G9" s="2" t="s">
        <v>1072</v>
      </c>
      <c r="J9" t="s">
        <v>51</v>
      </c>
      <c r="K9" t="s">
        <v>2</v>
      </c>
      <c r="L9" t="s">
        <v>1063</v>
      </c>
      <c r="N9" t="s">
        <v>58</v>
      </c>
      <c r="O9" t="s">
        <v>2</v>
      </c>
      <c r="P9" t="s">
        <v>1064</v>
      </c>
      <c r="R9" t="s">
        <v>57</v>
      </c>
      <c r="S9" t="s">
        <v>1050</v>
      </c>
      <c r="T9" t="s">
        <v>1065</v>
      </c>
      <c r="W9" s="2" t="s">
        <v>34</v>
      </c>
      <c r="X9" s="2" t="s">
        <v>119</v>
      </c>
      <c r="Y9" s="2" t="s">
        <v>1088</v>
      </c>
    </row>
    <row r="10" spans="2:35" x14ac:dyDescent="0.2">
      <c r="B10" s="16" t="s">
        <v>2</v>
      </c>
      <c r="C10" s="16" t="s">
        <v>6</v>
      </c>
      <c r="D10" s="16" t="s">
        <v>6</v>
      </c>
      <c r="E10" s="16" t="s">
        <v>119</v>
      </c>
      <c r="F10" s="2"/>
      <c r="G10" s="2"/>
      <c r="J10" t="s">
        <v>33</v>
      </c>
      <c r="K10" t="s">
        <v>2</v>
      </c>
      <c r="L10" t="s">
        <v>1085</v>
      </c>
      <c r="N10" t="s">
        <v>32</v>
      </c>
      <c r="O10" t="s">
        <v>119</v>
      </c>
      <c r="P10" t="s">
        <v>1086</v>
      </c>
      <c r="R10" t="s">
        <v>36</v>
      </c>
      <c r="S10" t="s">
        <v>5</v>
      </c>
      <c r="T10" t="s">
        <v>1087</v>
      </c>
      <c r="W10" t="s">
        <v>39</v>
      </c>
      <c r="X10" t="s">
        <v>5</v>
      </c>
      <c r="Y10" t="s">
        <v>1092</v>
      </c>
    </row>
    <row r="11" spans="2:35" x14ac:dyDescent="0.2">
      <c r="B11" s="16" t="s">
        <v>56</v>
      </c>
      <c r="C11" s="16" t="s">
        <v>57</v>
      </c>
      <c r="D11" s="16" t="s">
        <v>56</v>
      </c>
      <c r="E11" s="16" t="s">
        <v>55</v>
      </c>
      <c r="F11" s="2"/>
      <c r="G11" s="2"/>
      <c r="J11" t="s">
        <v>39</v>
      </c>
      <c r="K11" t="s">
        <v>2</v>
      </c>
      <c r="L11" t="s">
        <v>1089</v>
      </c>
      <c r="N11" t="s">
        <v>40</v>
      </c>
      <c r="O11" t="s">
        <v>119</v>
      </c>
      <c r="P11" t="s">
        <v>1090</v>
      </c>
      <c r="R11" t="s">
        <v>40</v>
      </c>
      <c r="S11" t="s">
        <v>2</v>
      </c>
      <c r="T11" t="s">
        <v>1091</v>
      </c>
      <c r="W11" t="s">
        <v>41</v>
      </c>
      <c r="X11" t="s">
        <v>120</v>
      </c>
      <c r="Y11" t="s">
        <v>1096</v>
      </c>
    </row>
    <row r="12" spans="2:35" x14ac:dyDescent="0.2">
      <c r="B12" s="16" t="s">
        <v>1073</v>
      </c>
      <c r="C12" s="16" t="s">
        <v>1074</v>
      </c>
      <c r="D12" s="16" t="s">
        <v>1075</v>
      </c>
      <c r="E12" s="16" t="s">
        <v>1076</v>
      </c>
      <c r="F12" s="2"/>
      <c r="G12" s="2"/>
      <c r="J12" t="s">
        <v>44</v>
      </c>
      <c r="K12" t="s">
        <v>2</v>
      </c>
      <c r="L12" t="s">
        <v>1093</v>
      </c>
      <c r="N12" t="s">
        <v>43</v>
      </c>
      <c r="O12" t="s">
        <v>2</v>
      </c>
      <c r="P12" t="s">
        <v>1094</v>
      </c>
      <c r="R12" t="s">
        <v>43</v>
      </c>
      <c r="S12" t="s">
        <v>5</v>
      </c>
      <c r="T12" t="s">
        <v>1095</v>
      </c>
      <c r="W12" t="s">
        <v>13</v>
      </c>
      <c r="X12" t="s">
        <v>17</v>
      </c>
      <c r="Y12" t="s">
        <v>1100</v>
      </c>
    </row>
    <row r="13" spans="2:35" x14ac:dyDescent="0.2">
      <c r="B13" s="16" t="s">
        <v>2</v>
      </c>
      <c r="C13" s="16" t="s">
        <v>119</v>
      </c>
      <c r="D13" s="16" t="s">
        <v>2</v>
      </c>
      <c r="E13" s="16" t="s">
        <v>6</v>
      </c>
      <c r="F13" s="2"/>
      <c r="G13" s="2"/>
      <c r="J13" t="s">
        <v>11</v>
      </c>
      <c r="K13" t="s">
        <v>2</v>
      </c>
      <c r="L13" t="s">
        <v>1097</v>
      </c>
      <c r="N13" t="s">
        <v>21</v>
      </c>
      <c r="O13" t="s">
        <v>119</v>
      </c>
      <c r="P13" t="s">
        <v>1098</v>
      </c>
      <c r="R13" t="s">
        <v>1</v>
      </c>
      <c r="S13" t="s">
        <v>2</v>
      </c>
      <c r="T13" t="s">
        <v>1099</v>
      </c>
      <c r="W13" t="s">
        <v>24</v>
      </c>
      <c r="X13" t="s">
        <v>2</v>
      </c>
      <c r="Y13" t="s">
        <v>1104</v>
      </c>
    </row>
    <row r="14" spans="2:35" x14ac:dyDescent="0.2">
      <c r="B14" s="16" t="s">
        <v>64</v>
      </c>
      <c r="C14" s="16" t="s">
        <v>66</v>
      </c>
      <c r="D14" s="16" t="s">
        <v>63</v>
      </c>
      <c r="E14" s="16" t="s">
        <v>63</v>
      </c>
      <c r="F14" s="2"/>
      <c r="G14" s="2"/>
      <c r="J14" t="s">
        <v>26</v>
      </c>
      <c r="K14" t="s">
        <v>2</v>
      </c>
      <c r="L14" t="s">
        <v>1101</v>
      </c>
      <c r="N14" t="s">
        <v>25</v>
      </c>
      <c r="O14" t="s">
        <v>119</v>
      </c>
      <c r="P14" t="s">
        <v>1102</v>
      </c>
      <c r="R14" t="s">
        <v>26</v>
      </c>
      <c r="S14" t="s">
        <v>119</v>
      </c>
      <c r="T14" t="s">
        <v>1103</v>
      </c>
      <c r="W14" t="s">
        <v>28</v>
      </c>
      <c r="X14" t="s">
        <v>6</v>
      </c>
      <c r="Y14" t="s">
        <v>1108</v>
      </c>
    </row>
    <row r="15" spans="2:35" x14ac:dyDescent="0.2">
      <c r="B15" s="16" t="s">
        <v>1079</v>
      </c>
      <c r="C15" s="16" t="s">
        <v>1080</v>
      </c>
      <c r="D15" s="16" t="s">
        <v>1081</v>
      </c>
      <c r="E15" s="16" t="s">
        <v>1082</v>
      </c>
      <c r="F15" s="2"/>
      <c r="G15" s="2"/>
      <c r="J15" t="s">
        <v>28</v>
      </c>
      <c r="K15" t="s">
        <v>2</v>
      </c>
      <c r="L15" t="s">
        <v>1105</v>
      </c>
      <c r="N15" t="s">
        <v>29</v>
      </c>
      <c r="O15" t="s">
        <v>18</v>
      </c>
      <c r="P15" t="s">
        <v>1106</v>
      </c>
      <c r="R15" t="s">
        <v>31</v>
      </c>
      <c r="S15" t="s">
        <v>5</v>
      </c>
      <c r="T15" t="s">
        <v>1107</v>
      </c>
      <c r="W15" t="s">
        <v>71</v>
      </c>
      <c r="X15" t="s">
        <v>6</v>
      </c>
      <c r="Y15" t="s">
        <v>1112</v>
      </c>
    </row>
    <row r="16" spans="2:35" x14ac:dyDescent="0.2">
      <c r="B16" s="16" t="s">
        <v>2</v>
      </c>
      <c r="C16" s="16" t="s">
        <v>2</v>
      </c>
      <c r="D16" s="16" t="s">
        <v>1050</v>
      </c>
      <c r="E16" s="16" t="s">
        <v>119</v>
      </c>
      <c r="F16" s="2"/>
      <c r="G16" s="2"/>
      <c r="J16" t="s">
        <v>70</v>
      </c>
      <c r="K16" t="s">
        <v>2</v>
      </c>
      <c r="L16" t="s">
        <v>1109</v>
      </c>
      <c r="N16" t="s">
        <v>68</v>
      </c>
      <c r="O16" t="s">
        <v>5</v>
      </c>
      <c r="P16" t="s">
        <v>1110</v>
      </c>
      <c r="R16" t="s">
        <v>69</v>
      </c>
      <c r="S16" t="s">
        <v>2</v>
      </c>
      <c r="T16" t="s">
        <v>1111</v>
      </c>
      <c r="W16" t="s">
        <v>75</v>
      </c>
      <c r="X16" t="s">
        <v>119</v>
      </c>
      <c r="Y16" t="s">
        <v>1116</v>
      </c>
    </row>
    <row r="17" spans="2:25" x14ac:dyDescent="0.2">
      <c r="B17" s="16" t="s">
        <v>51</v>
      </c>
      <c r="C17" s="16" t="s">
        <v>58</v>
      </c>
      <c r="D17" s="16" t="s">
        <v>57</v>
      </c>
      <c r="E17" s="16" t="s">
        <v>54</v>
      </c>
      <c r="F17" s="2"/>
      <c r="G17" s="2"/>
      <c r="J17" t="s">
        <v>73</v>
      </c>
      <c r="K17" t="s">
        <v>2</v>
      </c>
      <c r="L17" t="s">
        <v>1113</v>
      </c>
      <c r="N17" t="s">
        <v>74</v>
      </c>
      <c r="O17" t="s">
        <v>6</v>
      </c>
      <c r="P17" t="s">
        <v>1114</v>
      </c>
      <c r="R17" t="s">
        <v>72</v>
      </c>
      <c r="S17" t="s">
        <v>5</v>
      </c>
      <c r="T17" t="s">
        <v>1115</v>
      </c>
      <c r="W17" t="s">
        <v>76</v>
      </c>
      <c r="X17" t="s">
        <v>4</v>
      </c>
      <c r="Y17" t="s">
        <v>1120</v>
      </c>
    </row>
    <row r="18" spans="2:25" x14ac:dyDescent="0.2">
      <c r="B18" s="16" t="s">
        <v>1063</v>
      </c>
      <c r="C18" s="16" t="s">
        <v>1064</v>
      </c>
      <c r="D18" s="16" t="s">
        <v>1065</v>
      </c>
      <c r="E18" s="16" t="s">
        <v>1066</v>
      </c>
      <c r="F18" s="2"/>
      <c r="G18" s="2"/>
      <c r="J18" t="s">
        <v>78</v>
      </c>
      <c r="K18" t="s">
        <v>2</v>
      </c>
      <c r="L18" t="s">
        <v>1117</v>
      </c>
      <c r="N18" t="s">
        <v>76</v>
      </c>
      <c r="O18" t="s">
        <v>16</v>
      </c>
      <c r="P18" t="s">
        <v>1118</v>
      </c>
      <c r="R18" t="s">
        <v>79</v>
      </c>
      <c r="S18" t="s">
        <v>5</v>
      </c>
      <c r="T18" t="s">
        <v>1119</v>
      </c>
      <c r="W18" t="s">
        <v>86</v>
      </c>
      <c r="X18" t="s">
        <v>6</v>
      </c>
      <c r="Y18" t="s">
        <v>1124</v>
      </c>
    </row>
    <row r="19" spans="2:25" x14ac:dyDescent="0.2">
      <c r="B19" s="16" t="s">
        <v>2</v>
      </c>
      <c r="C19" s="16" t="s">
        <v>119</v>
      </c>
      <c r="D19" s="16" t="s">
        <v>5</v>
      </c>
      <c r="E19" s="16" t="s">
        <v>119</v>
      </c>
      <c r="F19" s="2"/>
      <c r="G19" s="2"/>
      <c r="J19" t="s">
        <v>82</v>
      </c>
      <c r="K19" t="s">
        <v>2</v>
      </c>
      <c r="L19" t="s">
        <v>1121</v>
      </c>
      <c r="N19" t="s">
        <v>84</v>
      </c>
      <c r="O19" t="s">
        <v>6</v>
      </c>
      <c r="P19" t="s">
        <v>1122</v>
      </c>
      <c r="R19" t="s">
        <v>87</v>
      </c>
      <c r="S19" t="s">
        <v>5</v>
      </c>
      <c r="T19" t="s">
        <v>1123</v>
      </c>
      <c r="W19" t="s">
        <v>94</v>
      </c>
      <c r="X19" t="s">
        <v>2</v>
      </c>
      <c r="Y19" t="s">
        <v>1128</v>
      </c>
    </row>
    <row r="20" spans="2:25" x14ac:dyDescent="0.2">
      <c r="B20" s="16" t="s">
        <v>33</v>
      </c>
      <c r="C20" s="16" t="s">
        <v>32</v>
      </c>
      <c r="D20" s="16" t="s">
        <v>36</v>
      </c>
      <c r="E20" s="16" t="s">
        <v>34</v>
      </c>
      <c r="F20" s="2"/>
      <c r="G20" s="2"/>
      <c r="J20" t="s">
        <v>90</v>
      </c>
      <c r="K20" t="s">
        <v>2</v>
      </c>
      <c r="L20" t="s">
        <v>1125</v>
      </c>
      <c r="N20" t="s">
        <v>91</v>
      </c>
      <c r="O20" t="s">
        <v>6</v>
      </c>
      <c r="P20" t="s">
        <v>1126</v>
      </c>
      <c r="R20" t="s">
        <v>92</v>
      </c>
      <c r="S20" t="s">
        <v>16</v>
      </c>
      <c r="T20" t="s">
        <v>1127</v>
      </c>
    </row>
    <row r="21" spans="2:25" x14ac:dyDescent="0.2">
      <c r="B21" s="16" t="s">
        <v>1085</v>
      </c>
      <c r="C21" s="16" t="s">
        <v>1086</v>
      </c>
      <c r="D21" s="16" t="s">
        <v>1087</v>
      </c>
      <c r="E21" s="16" t="s">
        <v>1088</v>
      </c>
      <c r="F21" s="2"/>
      <c r="G21" s="2"/>
    </row>
    <row r="22" spans="2:25" x14ac:dyDescent="0.2">
      <c r="B22" s="16" t="s">
        <v>2</v>
      </c>
      <c r="C22" s="16" t="s">
        <v>119</v>
      </c>
      <c r="D22" s="16" t="s">
        <v>2</v>
      </c>
      <c r="E22" s="16" t="s">
        <v>5</v>
      </c>
      <c r="F22" s="2"/>
      <c r="G22" s="2"/>
    </row>
    <row r="23" spans="2:25" x14ac:dyDescent="0.2">
      <c r="B23" s="16" t="s">
        <v>39</v>
      </c>
      <c r="C23" s="16" t="s">
        <v>40</v>
      </c>
      <c r="D23" s="16" t="s">
        <v>40</v>
      </c>
      <c r="E23" s="16" t="s">
        <v>39</v>
      </c>
      <c r="F23" s="2"/>
      <c r="G23" s="2"/>
    </row>
    <row r="24" spans="2:25" x14ac:dyDescent="0.2">
      <c r="B24" s="16" t="s">
        <v>1089</v>
      </c>
      <c r="C24" s="16" t="s">
        <v>1090</v>
      </c>
      <c r="D24" s="16" t="s">
        <v>1091</v>
      </c>
      <c r="E24" s="16" t="s">
        <v>1092</v>
      </c>
      <c r="F24" s="21"/>
      <c r="G24" s="21"/>
      <c r="H24" s="20"/>
    </row>
    <row r="25" spans="2:25" x14ac:dyDescent="0.2">
      <c r="B25" s="16" t="s">
        <v>2</v>
      </c>
      <c r="C25" s="16" t="s">
        <v>2</v>
      </c>
      <c r="D25" s="16" t="s">
        <v>5</v>
      </c>
      <c r="E25" s="16" t="s">
        <v>120</v>
      </c>
      <c r="F25" s="21"/>
      <c r="G25" s="21"/>
      <c r="H25" s="21"/>
    </row>
    <row r="26" spans="2:25" x14ac:dyDescent="0.2">
      <c r="B26" s="16" t="s">
        <v>44</v>
      </c>
      <c r="C26" s="16" t="s">
        <v>43</v>
      </c>
      <c r="D26" s="16" t="s">
        <v>43</v>
      </c>
      <c r="E26" s="16" t="s">
        <v>41</v>
      </c>
      <c r="F26" s="21"/>
      <c r="G26" s="21"/>
      <c r="H26" s="21"/>
    </row>
    <row r="27" spans="2:25" x14ac:dyDescent="0.2">
      <c r="B27" s="16" t="s">
        <v>1093</v>
      </c>
      <c r="C27" s="16" t="s">
        <v>1094</v>
      </c>
      <c r="D27" s="16" t="s">
        <v>1095</v>
      </c>
      <c r="E27" s="16" t="s">
        <v>1096</v>
      </c>
      <c r="F27" s="21"/>
      <c r="G27" s="21"/>
      <c r="H27" s="20"/>
    </row>
    <row r="28" spans="2:25" x14ac:dyDescent="0.2">
      <c r="B28" s="16" t="s">
        <v>2</v>
      </c>
      <c r="C28" s="16" t="s">
        <v>119</v>
      </c>
      <c r="D28" s="16" t="s">
        <v>2</v>
      </c>
      <c r="E28" s="16" t="s">
        <v>17</v>
      </c>
      <c r="F28" s="21"/>
      <c r="G28" s="21"/>
      <c r="H28" s="21"/>
    </row>
    <row r="29" spans="2:25" x14ac:dyDescent="0.2">
      <c r="B29" s="16" t="s">
        <v>11</v>
      </c>
      <c r="C29" s="16" t="s">
        <v>21</v>
      </c>
      <c r="D29" s="16" t="s">
        <v>1</v>
      </c>
      <c r="E29" s="16" t="s">
        <v>13</v>
      </c>
      <c r="F29" s="21"/>
      <c r="G29" s="21"/>
      <c r="H29" s="21"/>
    </row>
    <row r="30" spans="2:25" x14ac:dyDescent="0.2">
      <c r="B30" s="16" t="s">
        <v>1097</v>
      </c>
      <c r="C30" s="16" t="s">
        <v>1098</v>
      </c>
      <c r="D30" s="16" t="s">
        <v>1099</v>
      </c>
      <c r="E30" s="16" t="s">
        <v>1100</v>
      </c>
      <c r="F30" s="21"/>
      <c r="G30" s="21"/>
      <c r="H30" s="20"/>
    </row>
    <row r="31" spans="2:25" x14ac:dyDescent="0.2">
      <c r="B31" s="16" t="s">
        <v>2</v>
      </c>
      <c r="C31" s="16" t="s">
        <v>119</v>
      </c>
      <c r="D31" s="16" t="s">
        <v>119</v>
      </c>
      <c r="E31" s="16" t="s">
        <v>2</v>
      </c>
      <c r="F31" s="21"/>
      <c r="G31" s="21"/>
      <c r="H31" s="21"/>
    </row>
    <row r="32" spans="2:25" x14ac:dyDescent="0.2">
      <c r="B32" s="16" t="s">
        <v>26</v>
      </c>
      <c r="C32" s="16" t="s">
        <v>25</v>
      </c>
      <c r="D32" s="16" t="s">
        <v>26</v>
      </c>
      <c r="E32" s="16" t="s">
        <v>24</v>
      </c>
      <c r="F32" s="21"/>
      <c r="G32" s="21"/>
      <c r="H32" s="21"/>
    </row>
    <row r="33" spans="2:26" x14ac:dyDescent="0.2">
      <c r="B33" s="16" t="s">
        <v>1101</v>
      </c>
      <c r="C33" s="16" t="s">
        <v>1102</v>
      </c>
      <c r="D33" s="16" t="s">
        <v>1103</v>
      </c>
      <c r="E33" s="16" t="s">
        <v>1104</v>
      </c>
      <c r="F33" s="2"/>
      <c r="G33" s="2"/>
      <c r="T33" s="2"/>
      <c r="U33" s="2"/>
      <c r="V33" s="2"/>
    </row>
    <row r="34" spans="2:26" x14ac:dyDescent="0.2">
      <c r="B34" s="16" t="s">
        <v>2</v>
      </c>
      <c r="C34" s="16" t="s">
        <v>18</v>
      </c>
      <c r="D34" s="16" t="s">
        <v>5</v>
      </c>
      <c r="E34" s="16" t="s">
        <v>6</v>
      </c>
      <c r="F34" s="2"/>
      <c r="G34" s="2"/>
      <c r="T34" s="2"/>
      <c r="U34" s="2"/>
      <c r="V34" s="2"/>
    </row>
    <row r="35" spans="2:26" x14ac:dyDescent="0.2">
      <c r="B35" s="16" t="s">
        <v>28</v>
      </c>
      <c r="C35" s="16" t="s">
        <v>29</v>
      </c>
      <c r="D35" s="16" t="s">
        <v>31</v>
      </c>
      <c r="E35" s="16" t="s">
        <v>28</v>
      </c>
      <c r="F35" s="2"/>
      <c r="G35" s="2"/>
    </row>
    <row r="36" spans="2:26" x14ac:dyDescent="0.2">
      <c r="B36" s="16" t="s">
        <v>1105</v>
      </c>
      <c r="C36" s="16" t="s">
        <v>1106</v>
      </c>
      <c r="D36" s="16" t="s">
        <v>1107</v>
      </c>
      <c r="E36" s="16" t="s">
        <v>1108</v>
      </c>
      <c r="F36" s="2"/>
      <c r="G36" s="2"/>
      <c r="W36" t="s">
        <v>54</v>
      </c>
      <c r="X36" t="s">
        <v>1556</v>
      </c>
      <c r="Y36" t="s">
        <v>119</v>
      </c>
      <c r="Z36" t="s">
        <v>3</v>
      </c>
    </row>
    <row r="37" spans="2:26" x14ac:dyDescent="0.2">
      <c r="B37" s="16" t="s">
        <v>2</v>
      </c>
      <c r="C37" s="16" t="s">
        <v>5</v>
      </c>
      <c r="D37" s="16" t="s">
        <v>2</v>
      </c>
      <c r="E37" s="16" t="s">
        <v>6</v>
      </c>
      <c r="F37" s="2"/>
      <c r="G37" s="2"/>
      <c r="W37" s="2"/>
      <c r="X37" s="2"/>
    </row>
    <row r="38" spans="2:26" x14ac:dyDescent="0.2">
      <c r="B38" s="16" t="s">
        <v>70</v>
      </c>
      <c r="C38" s="16" t="s">
        <v>68</v>
      </c>
      <c r="D38" s="16" t="s">
        <v>69</v>
      </c>
      <c r="E38" s="16" t="s">
        <v>71</v>
      </c>
      <c r="F38" s="2"/>
      <c r="G38" s="2"/>
      <c r="T38" s="2"/>
      <c r="U38" s="2"/>
      <c r="V38" s="2"/>
    </row>
    <row r="39" spans="2:26" x14ac:dyDescent="0.2">
      <c r="B39" s="16" t="s">
        <v>1109</v>
      </c>
      <c r="C39" s="16" t="s">
        <v>1110</v>
      </c>
      <c r="D39" s="16" t="s">
        <v>1111</v>
      </c>
      <c r="E39" s="16" t="s">
        <v>1112</v>
      </c>
      <c r="F39" s="2"/>
      <c r="G39" s="2"/>
      <c r="R39" t="s">
        <v>49</v>
      </c>
      <c r="S39" t="s">
        <v>2</v>
      </c>
      <c r="T39" t="s">
        <v>1070</v>
      </c>
      <c r="U39" s="2"/>
      <c r="V39" s="2"/>
      <c r="W39" t="s">
        <v>49</v>
      </c>
      <c r="X39" t="s">
        <v>1070</v>
      </c>
      <c r="Y39" t="s">
        <v>2</v>
      </c>
    </row>
    <row r="40" spans="2:26" x14ac:dyDescent="0.2">
      <c r="B40" s="16" t="s">
        <v>2</v>
      </c>
      <c r="C40" s="16" t="s">
        <v>6</v>
      </c>
      <c r="D40" s="16" t="s">
        <v>5</v>
      </c>
      <c r="E40" s="16" t="s">
        <v>119</v>
      </c>
      <c r="F40" s="2"/>
      <c r="G40" s="2"/>
      <c r="R40" s="2" t="s">
        <v>55</v>
      </c>
      <c r="S40" s="2" t="s">
        <v>119</v>
      </c>
      <c r="T40" s="2" t="s">
        <v>1076</v>
      </c>
      <c r="W40" t="s">
        <v>55</v>
      </c>
      <c r="X40" t="s">
        <v>1076</v>
      </c>
      <c r="Y40" t="s">
        <v>119</v>
      </c>
    </row>
    <row r="41" spans="2:26" x14ac:dyDescent="0.2">
      <c r="B41" s="16" t="s">
        <v>73</v>
      </c>
      <c r="C41" s="16" t="s">
        <v>74</v>
      </c>
      <c r="D41" s="16" t="s">
        <v>72</v>
      </c>
      <c r="E41" s="16" t="s">
        <v>75</v>
      </c>
      <c r="F41" s="2"/>
      <c r="G41" s="2"/>
      <c r="R41" s="2" t="s">
        <v>63</v>
      </c>
      <c r="S41" s="2" t="s">
        <v>6</v>
      </c>
      <c r="T41" s="2" t="s">
        <v>1082</v>
      </c>
      <c r="W41" t="s">
        <v>63</v>
      </c>
      <c r="X41" t="s">
        <v>1082</v>
      </c>
      <c r="Y41" t="s">
        <v>6</v>
      </c>
    </row>
    <row r="42" spans="2:26" x14ac:dyDescent="0.2">
      <c r="B42" s="16" t="s">
        <v>1113</v>
      </c>
      <c r="C42" s="16" t="s">
        <v>1114</v>
      </c>
      <c r="D42" s="16" t="s">
        <v>1115</v>
      </c>
      <c r="E42" s="16" t="s">
        <v>1116</v>
      </c>
      <c r="F42" s="2"/>
      <c r="G42" s="2"/>
      <c r="R42" s="2" t="s">
        <v>34</v>
      </c>
      <c r="S42" s="2" t="s">
        <v>119</v>
      </c>
      <c r="T42" s="2" t="s">
        <v>1088</v>
      </c>
      <c r="W42" t="s">
        <v>34</v>
      </c>
      <c r="X42" t="s">
        <v>1088</v>
      </c>
      <c r="Y42" t="s">
        <v>119</v>
      </c>
    </row>
    <row r="43" spans="2:26" x14ac:dyDescent="0.2">
      <c r="B43" s="16" t="s">
        <v>2</v>
      </c>
      <c r="C43" s="16" t="s">
        <v>16</v>
      </c>
      <c r="D43" s="16" t="s">
        <v>5</v>
      </c>
      <c r="E43" s="16" t="s">
        <v>4</v>
      </c>
      <c r="F43" s="2"/>
      <c r="G43" s="2"/>
      <c r="R43" t="s">
        <v>39</v>
      </c>
      <c r="S43" t="s">
        <v>5</v>
      </c>
      <c r="T43" t="s">
        <v>1092</v>
      </c>
      <c r="W43" t="s">
        <v>39</v>
      </c>
      <c r="X43" t="s">
        <v>1092</v>
      </c>
      <c r="Y43" t="s">
        <v>5</v>
      </c>
    </row>
    <row r="44" spans="2:26" x14ac:dyDescent="0.2">
      <c r="B44" s="16" t="s">
        <v>78</v>
      </c>
      <c r="C44" s="16" t="s">
        <v>76</v>
      </c>
      <c r="D44" s="16" t="s">
        <v>79</v>
      </c>
      <c r="E44" s="16" t="s">
        <v>76</v>
      </c>
      <c r="F44" s="2"/>
      <c r="G44" s="2"/>
      <c r="R44" t="s">
        <v>41</v>
      </c>
      <c r="S44" t="s">
        <v>120</v>
      </c>
      <c r="T44" t="s">
        <v>1096</v>
      </c>
      <c r="W44" t="s">
        <v>41</v>
      </c>
      <c r="X44" t="s">
        <v>1096</v>
      </c>
      <c r="Y44" t="s">
        <v>120</v>
      </c>
    </row>
    <row r="45" spans="2:26" x14ac:dyDescent="0.2">
      <c r="B45" s="16" t="s">
        <v>1117</v>
      </c>
      <c r="C45" s="16" t="s">
        <v>1118</v>
      </c>
      <c r="D45" s="16" t="s">
        <v>1119</v>
      </c>
      <c r="E45" s="16" t="s">
        <v>1120</v>
      </c>
      <c r="F45" s="2"/>
      <c r="G45" s="2"/>
      <c r="R45" t="s">
        <v>13</v>
      </c>
      <c r="S45" t="s">
        <v>17</v>
      </c>
      <c r="T45" t="s">
        <v>1100</v>
      </c>
      <c r="W45" t="s">
        <v>13</v>
      </c>
      <c r="X45" t="s">
        <v>1100</v>
      </c>
      <c r="Y45" t="s">
        <v>17</v>
      </c>
    </row>
    <row r="46" spans="2:26" x14ac:dyDescent="0.2">
      <c r="B46" s="16" t="s">
        <v>2</v>
      </c>
      <c r="C46" s="16" t="s">
        <v>6</v>
      </c>
      <c r="D46" s="16" t="s">
        <v>5</v>
      </c>
      <c r="E46" s="16" t="s">
        <v>6</v>
      </c>
      <c r="F46" s="2"/>
      <c r="G46" s="2"/>
      <c r="J46" s="38"/>
      <c r="K46" s="38"/>
      <c r="R46" t="s">
        <v>24</v>
      </c>
      <c r="S46" t="s">
        <v>2</v>
      </c>
      <c r="T46" t="s">
        <v>1104</v>
      </c>
      <c r="W46" t="s">
        <v>24</v>
      </c>
      <c r="X46" t="s">
        <v>1104</v>
      </c>
      <c r="Y46" t="s">
        <v>2</v>
      </c>
    </row>
    <row r="47" spans="2:26" x14ac:dyDescent="0.2">
      <c r="B47" s="16" t="s">
        <v>82</v>
      </c>
      <c r="C47" s="16" t="s">
        <v>84</v>
      </c>
      <c r="D47" s="16" t="s">
        <v>87</v>
      </c>
      <c r="E47" s="16" t="s">
        <v>86</v>
      </c>
      <c r="F47" s="2"/>
      <c r="G47" s="2"/>
      <c r="J47" s="38"/>
      <c r="K47" s="38"/>
      <c r="R47" t="s">
        <v>28</v>
      </c>
      <c r="S47" t="s">
        <v>6</v>
      </c>
      <c r="T47" t="s">
        <v>1108</v>
      </c>
      <c r="W47" t="s">
        <v>28</v>
      </c>
      <c r="X47" t="s">
        <v>1108</v>
      </c>
      <c r="Y47" t="s">
        <v>6</v>
      </c>
    </row>
    <row r="48" spans="2:26" x14ac:dyDescent="0.2">
      <c r="B48" s="16" t="s">
        <v>1121</v>
      </c>
      <c r="C48" s="16" t="s">
        <v>1122</v>
      </c>
      <c r="D48" s="16" t="s">
        <v>1123</v>
      </c>
      <c r="E48" s="16" t="s">
        <v>1124</v>
      </c>
      <c r="F48" s="2"/>
      <c r="G48" s="2"/>
      <c r="J48" s="39"/>
      <c r="K48" s="39"/>
      <c r="R48" t="s">
        <v>71</v>
      </c>
      <c r="S48" t="s">
        <v>6</v>
      </c>
      <c r="T48" t="s">
        <v>1112</v>
      </c>
      <c r="W48" t="s">
        <v>71</v>
      </c>
      <c r="X48" t="s">
        <v>1112</v>
      </c>
      <c r="Y48" t="s">
        <v>6</v>
      </c>
    </row>
    <row r="49" spans="2:25" x14ac:dyDescent="0.2">
      <c r="B49" s="16" t="s">
        <v>2</v>
      </c>
      <c r="C49" s="16" t="s">
        <v>6</v>
      </c>
      <c r="D49" s="16" t="s">
        <v>16</v>
      </c>
      <c r="E49" s="16" t="s">
        <v>2</v>
      </c>
      <c r="F49" s="2"/>
      <c r="G49" s="2"/>
      <c r="J49" s="39"/>
      <c r="K49" s="39"/>
      <c r="R49" t="s">
        <v>75</v>
      </c>
      <c r="S49" t="s">
        <v>119</v>
      </c>
      <c r="T49" t="s">
        <v>1116</v>
      </c>
      <c r="W49" t="s">
        <v>75</v>
      </c>
      <c r="X49" t="s">
        <v>1116</v>
      </c>
      <c r="Y49" t="s">
        <v>119</v>
      </c>
    </row>
    <row r="50" spans="2:25" x14ac:dyDescent="0.2">
      <c r="B50" s="16" t="s">
        <v>90</v>
      </c>
      <c r="C50" s="16" t="s">
        <v>91</v>
      </c>
      <c r="D50" s="16" t="s">
        <v>92</v>
      </c>
      <c r="E50" s="16" t="s">
        <v>94</v>
      </c>
      <c r="F50" s="2"/>
      <c r="G50" s="2"/>
      <c r="J50" s="39"/>
      <c r="K50" s="39"/>
      <c r="R50" t="s">
        <v>76</v>
      </c>
      <c r="S50" t="s">
        <v>4</v>
      </c>
      <c r="T50" t="s">
        <v>1120</v>
      </c>
      <c r="W50" t="s">
        <v>76</v>
      </c>
      <c r="X50" t="s">
        <v>1120</v>
      </c>
      <c r="Y50" t="s">
        <v>4</v>
      </c>
    </row>
    <row r="51" spans="2:25" x14ac:dyDescent="0.2">
      <c r="B51" s="22" t="s">
        <v>1125</v>
      </c>
      <c r="C51" s="22" t="s">
        <v>1126</v>
      </c>
      <c r="D51" s="22" t="s">
        <v>1127</v>
      </c>
      <c r="E51" s="22" t="s">
        <v>1128</v>
      </c>
      <c r="F51" s="2"/>
      <c r="G51" s="2"/>
      <c r="J51" s="39"/>
      <c r="K51" s="39"/>
      <c r="R51" t="s">
        <v>86</v>
      </c>
      <c r="S51" t="s">
        <v>6</v>
      </c>
      <c r="T51" t="s">
        <v>1124</v>
      </c>
      <c r="W51" t="s">
        <v>86</v>
      </c>
      <c r="X51" t="s">
        <v>1124</v>
      </c>
      <c r="Y51" t="s">
        <v>6</v>
      </c>
    </row>
    <row r="52" spans="2:25" x14ac:dyDescent="0.2">
      <c r="J52" s="39"/>
      <c r="K52" s="39"/>
      <c r="R52" t="s">
        <v>94</v>
      </c>
      <c r="S52" t="s">
        <v>2</v>
      </c>
      <c r="T52" t="s">
        <v>1128</v>
      </c>
      <c r="W52" t="s">
        <v>94</v>
      </c>
      <c r="X52" t="s">
        <v>1128</v>
      </c>
      <c r="Y52" t="s">
        <v>2</v>
      </c>
    </row>
    <row r="53" spans="2:25" x14ac:dyDescent="0.2">
      <c r="J53" s="39"/>
      <c r="K53" s="39"/>
    </row>
    <row r="54" spans="2:25" x14ac:dyDescent="0.2">
      <c r="J54" s="39"/>
      <c r="K54" s="39"/>
    </row>
    <row r="55" spans="2:25" x14ac:dyDescent="0.2">
      <c r="J55" s="39"/>
      <c r="K55" s="39"/>
    </row>
    <row r="56" spans="2:25" x14ac:dyDescent="0.2">
      <c r="J56" s="39"/>
      <c r="K56" s="39"/>
    </row>
    <row r="57" spans="2:25" x14ac:dyDescent="0.2">
      <c r="J57" s="39"/>
      <c r="K57" s="39"/>
    </row>
    <row r="58" spans="2:25" x14ac:dyDescent="0.2">
      <c r="J58" s="39"/>
      <c r="K58" s="39"/>
    </row>
    <row r="59" spans="2:25" x14ac:dyDescent="0.2">
      <c r="J59" s="39"/>
      <c r="K59" s="39"/>
    </row>
    <row r="60" spans="2:25" x14ac:dyDescent="0.2">
      <c r="J60" s="40"/>
      <c r="K60" s="40"/>
    </row>
  </sheetData>
  <autoFilter ref="B5:E51" xr:uid="{00000000-0009-0000-0000-000000000000}"/>
  <sortState xmlns:xlrd2="http://schemas.microsoft.com/office/spreadsheetml/2017/richdata2" ref="R39:T52">
    <sortCondition ref="T39:T5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U1540"/>
  <sheetViews>
    <sheetView workbookViewId="0">
      <pane ySplit="2" topLeftCell="A3" activePane="bottomLeft" state="frozen"/>
      <selection pane="bottomLeft" activeCell="I50" sqref="I50"/>
    </sheetView>
  </sheetViews>
  <sheetFormatPr defaultRowHeight="12.75" x14ac:dyDescent="0.2"/>
  <cols>
    <col min="1" max="4" width="13.140625" customWidth="1"/>
    <col min="5" max="5" width="9.42578125" style="23" customWidth="1"/>
    <col min="6" max="6" width="9.85546875" style="23" customWidth="1"/>
    <col min="8" max="10" width="11" style="23" customWidth="1"/>
    <col min="11" max="16" width="12.42578125" customWidth="1"/>
    <col min="18" max="18" width="14.42578125" customWidth="1"/>
    <col min="19" max="19" width="25.5703125" customWidth="1"/>
    <col min="20" max="20" width="24.42578125" customWidth="1"/>
    <col min="21" max="22" width="23.140625" customWidth="1"/>
  </cols>
  <sheetData>
    <row r="1" spans="1:21" x14ac:dyDescent="0.2">
      <c r="A1" s="3"/>
      <c r="B1" s="3"/>
      <c r="C1" s="3"/>
      <c r="D1" s="3"/>
      <c r="E1" s="56" t="s">
        <v>213</v>
      </c>
      <c r="F1" s="56"/>
      <c r="G1" s="56"/>
      <c r="H1" s="56"/>
    </row>
    <row r="2" spans="1:21" ht="38.25" x14ac:dyDescent="0.2">
      <c r="A2" s="12" t="s">
        <v>214</v>
      </c>
      <c r="B2" s="12" t="s">
        <v>1011</v>
      </c>
      <c r="C2" s="12" t="s">
        <v>1010</v>
      </c>
      <c r="D2" s="12" t="s">
        <v>1009</v>
      </c>
      <c r="E2" s="24" t="s">
        <v>215</v>
      </c>
      <c r="F2" s="24" t="s">
        <v>216</v>
      </c>
      <c r="G2" s="12" t="s">
        <v>27</v>
      </c>
      <c r="H2" s="24" t="s">
        <v>217</v>
      </c>
      <c r="K2" t="s">
        <v>218</v>
      </c>
      <c r="L2" t="s">
        <v>219</v>
      </c>
      <c r="M2" t="s">
        <v>214</v>
      </c>
      <c r="N2" t="s">
        <v>220</v>
      </c>
      <c r="O2" t="s">
        <v>221</v>
      </c>
      <c r="P2" t="s">
        <v>222</v>
      </c>
    </row>
    <row r="3" spans="1:21" x14ac:dyDescent="0.2">
      <c r="A3" t="s">
        <v>49</v>
      </c>
      <c r="B3" t="s">
        <v>119</v>
      </c>
      <c r="C3">
        <f>ROUND(D3,-1)</f>
        <v>20</v>
      </c>
      <c r="D3">
        <f t="shared" ref="D3:D38" si="0">E3/2</f>
        <v>24.815000000000008</v>
      </c>
      <c r="E3" s="23">
        <v>49.630000000000017</v>
      </c>
      <c r="F3" s="23">
        <v>1.2986227522379679</v>
      </c>
      <c r="G3">
        <v>20</v>
      </c>
      <c r="H3" s="23">
        <f t="shared" ref="H3:H38" si="1">2*(F3/SQRT(G3))</f>
        <v>0.58076175022639265</v>
      </c>
      <c r="I3" s="25"/>
      <c r="J3" s="25"/>
      <c r="K3">
        <v>2008</v>
      </c>
      <c r="L3" t="s">
        <v>223</v>
      </c>
      <c r="M3" t="s">
        <v>165</v>
      </c>
      <c r="N3">
        <v>50.6</v>
      </c>
      <c r="O3" t="s">
        <v>224</v>
      </c>
      <c r="P3" t="s">
        <v>225</v>
      </c>
    </row>
    <row r="4" spans="1:21" x14ac:dyDescent="0.2">
      <c r="A4" t="s">
        <v>50</v>
      </c>
      <c r="B4" t="s">
        <v>119</v>
      </c>
      <c r="C4">
        <f t="shared" ref="C4:C38" si="2">ROUND(D4,-1)</f>
        <v>20</v>
      </c>
      <c r="D4">
        <f t="shared" si="0"/>
        <v>16.810000000000002</v>
      </c>
      <c r="E4" s="23">
        <v>33.620000000000005</v>
      </c>
      <c r="F4" s="23">
        <v>1.2853834160730364</v>
      </c>
      <c r="G4">
        <v>20</v>
      </c>
      <c r="H4" s="23">
        <f t="shared" si="1"/>
        <v>0.57484093909804101</v>
      </c>
      <c r="K4">
        <v>2008</v>
      </c>
      <c r="L4" t="s">
        <v>223</v>
      </c>
      <c r="M4" t="s">
        <v>165</v>
      </c>
      <c r="N4">
        <v>50.6</v>
      </c>
      <c r="O4" t="s">
        <v>224</v>
      </c>
      <c r="P4" t="s">
        <v>226</v>
      </c>
      <c r="S4" s="50" t="s">
        <v>227</v>
      </c>
    </row>
    <row r="5" spans="1:21" x14ac:dyDescent="0.2">
      <c r="A5" t="s">
        <v>47</v>
      </c>
      <c r="B5" t="s">
        <v>120</v>
      </c>
      <c r="C5">
        <f t="shared" si="2"/>
        <v>30</v>
      </c>
      <c r="D5">
        <f t="shared" si="0"/>
        <v>30.960000000000015</v>
      </c>
      <c r="E5" s="23">
        <v>61.92000000000003</v>
      </c>
      <c r="F5" s="23">
        <v>5.277120426899037</v>
      </c>
      <c r="G5">
        <v>20</v>
      </c>
      <c r="H5" s="23">
        <f t="shared" si="1"/>
        <v>2.3599999999997912</v>
      </c>
      <c r="K5">
        <v>2009</v>
      </c>
      <c r="L5" t="s">
        <v>223</v>
      </c>
      <c r="M5" t="s">
        <v>165</v>
      </c>
      <c r="N5">
        <v>52.6</v>
      </c>
      <c r="O5" t="s">
        <v>228</v>
      </c>
      <c r="P5" t="s">
        <v>225</v>
      </c>
      <c r="R5" s="50" t="s">
        <v>214</v>
      </c>
      <c r="S5" t="s">
        <v>229</v>
      </c>
      <c r="T5" t="s">
        <v>230</v>
      </c>
      <c r="U5" t="s">
        <v>231</v>
      </c>
    </row>
    <row r="6" spans="1:21" x14ac:dyDescent="0.2">
      <c r="A6" t="s">
        <v>58</v>
      </c>
      <c r="B6" t="s">
        <v>119</v>
      </c>
      <c r="C6">
        <f t="shared" si="2"/>
        <v>10</v>
      </c>
      <c r="D6">
        <f t="shared" si="0"/>
        <v>10.64</v>
      </c>
      <c r="E6" s="23">
        <v>21.28</v>
      </c>
      <c r="F6" s="23">
        <v>1.1989469063351457</v>
      </c>
      <c r="G6">
        <v>20</v>
      </c>
      <c r="H6" s="23">
        <f t="shared" si="1"/>
        <v>0.53618535679569179</v>
      </c>
      <c r="K6">
        <v>2009</v>
      </c>
      <c r="L6" t="s">
        <v>223</v>
      </c>
      <c r="M6" t="s">
        <v>165</v>
      </c>
      <c r="N6">
        <v>52.6</v>
      </c>
      <c r="O6" t="s">
        <v>228</v>
      </c>
      <c r="P6" t="s">
        <v>226</v>
      </c>
      <c r="R6" t="s">
        <v>165</v>
      </c>
      <c r="S6">
        <v>49.630000000000017</v>
      </c>
      <c r="T6">
        <v>1.2986227522379679</v>
      </c>
      <c r="U6">
        <v>20</v>
      </c>
    </row>
    <row r="7" spans="1:21" x14ac:dyDescent="0.2">
      <c r="A7" t="s">
        <v>59</v>
      </c>
      <c r="B7" t="s">
        <v>119</v>
      </c>
      <c r="C7">
        <f t="shared" si="2"/>
        <v>10</v>
      </c>
      <c r="D7">
        <f t="shared" si="0"/>
        <v>11.119999999999997</v>
      </c>
      <c r="E7" s="23">
        <v>22.239999999999995</v>
      </c>
      <c r="F7" s="23">
        <v>0.51544564264977444</v>
      </c>
      <c r="G7">
        <v>20</v>
      </c>
      <c r="H7" s="23">
        <f t="shared" si="1"/>
        <v>0.23051429913419208</v>
      </c>
      <c r="K7">
        <v>2010</v>
      </c>
      <c r="L7" t="s">
        <v>223</v>
      </c>
      <c r="M7" t="s">
        <v>165</v>
      </c>
      <c r="N7">
        <v>50.1</v>
      </c>
      <c r="O7" t="s">
        <v>232</v>
      </c>
      <c r="P7" t="s">
        <v>225</v>
      </c>
      <c r="R7" t="s">
        <v>166</v>
      </c>
      <c r="S7">
        <v>33.620000000000005</v>
      </c>
      <c r="T7">
        <v>1.2853834160730364</v>
      </c>
      <c r="U7">
        <v>20</v>
      </c>
    </row>
    <row r="8" spans="1:21" x14ac:dyDescent="0.2">
      <c r="A8" t="s">
        <v>60</v>
      </c>
      <c r="B8" t="s">
        <v>119</v>
      </c>
      <c r="C8">
        <f t="shared" si="2"/>
        <v>10</v>
      </c>
      <c r="D8">
        <f t="shared" si="0"/>
        <v>11.285</v>
      </c>
      <c r="E8" s="23">
        <v>22.57</v>
      </c>
      <c r="F8" s="23">
        <v>0.44497190922577678</v>
      </c>
      <c r="G8">
        <v>20</v>
      </c>
      <c r="H8" s="23">
        <f t="shared" si="1"/>
        <v>0.19899748742134052</v>
      </c>
      <c r="K8">
        <v>2010</v>
      </c>
      <c r="L8" t="s">
        <v>223</v>
      </c>
      <c r="M8" t="s">
        <v>165</v>
      </c>
      <c r="N8">
        <v>50.1</v>
      </c>
      <c r="O8" t="s">
        <v>232</v>
      </c>
      <c r="P8" t="s">
        <v>226</v>
      </c>
      <c r="R8" t="s">
        <v>163</v>
      </c>
      <c r="S8">
        <v>61.92000000000003</v>
      </c>
      <c r="T8">
        <v>5.277120426899037</v>
      </c>
      <c r="U8">
        <v>20</v>
      </c>
    </row>
    <row r="9" spans="1:21" x14ac:dyDescent="0.2">
      <c r="A9" t="s">
        <v>54</v>
      </c>
      <c r="B9" t="s">
        <v>119</v>
      </c>
      <c r="C9">
        <f t="shared" si="2"/>
        <v>10</v>
      </c>
      <c r="D9">
        <f t="shared" si="0"/>
        <v>11.675000000000002</v>
      </c>
      <c r="E9" s="23">
        <v>23.350000000000005</v>
      </c>
      <c r="F9" s="23">
        <v>0.47517309865339968</v>
      </c>
      <c r="G9">
        <v>20</v>
      </c>
      <c r="H9" s="23">
        <f t="shared" si="1"/>
        <v>0.21250386993364309</v>
      </c>
      <c r="K9">
        <v>2011</v>
      </c>
      <c r="L9" t="s">
        <v>223</v>
      </c>
      <c r="M9" t="s">
        <v>165</v>
      </c>
      <c r="N9">
        <v>49.2</v>
      </c>
      <c r="O9" t="s">
        <v>233</v>
      </c>
      <c r="P9" t="s">
        <v>225</v>
      </c>
      <c r="R9" t="s">
        <v>162</v>
      </c>
      <c r="S9">
        <v>21.28</v>
      </c>
      <c r="T9">
        <v>1.1989469063351457</v>
      </c>
      <c r="U9">
        <v>20</v>
      </c>
    </row>
    <row r="10" spans="1:21" x14ac:dyDescent="0.2">
      <c r="A10" t="s">
        <v>55</v>
      </c>
      <c r="B10" t="s">
        <v>119</v>
      </c>
      <c r="C10">
        <f t="shared" si="2"/>
        <v>10</v>
      </c>
      <c r="D10">
        <f t="shared" si="0"/>
        <v>12.275</v>
      </c>
      <c r="E10" s="23">
        <v>24.55</v>
      </c>
      <c r="F10" s="23">
        <v>1.2054699891481633</v>
      </c>
      <c r="G10">
        <v>20</v>
      </c>
      <c r="H10" s="23">
        <f t="shared" si="1"/>
        <v>0.5391025681142454</v>
      </c>
      <c r="K10">
        <v>2011</v>
      </c>
      <c r="L10" t="s">
        <v>223</v>
      </c>
      <c r="M10" t="s">
        <v>165</v>
      </c>
      <c r="N10">
        <v>49.2</v>
      </c>
      <c r="O10" t="s">
        <v>233</v>
      </c>
      <c r="P10" t="s">
        <v>226</v>
      </c>
      <c r="R10" t="s">
        <v>157</v>
      </c>
      <c r="S10">
        <v>22.239999999999995</v>
      </c>
      <c r="T10">
        <v>0.51544564264977444</v>
      </c>
      <c r="U10">
        <v>20</v>
      </c>
    </row>
    <row r="11" spans="1:21" x14ac:dyDescent="0.2">
      <c r="A11" t="s">
        <v>56</v>
      </c>
      <c r="B11" t="s">
        <v>119</v>
      </c>
      <c r="C11">
        <f t="shared" si="2"/>
        <v>10</v>
      </c>
      <c r="D11">
        <f t="shared" si="0"/>
        <v>11.23</v>
      </c>
      <c r="E11" s="23">
        <v>22.46</v>
      </c>
      <c r="F11" s="23">
        <v>1.1080566202519981</v>
      </c>
      <c r="G11">
        <v>20</v>
      </c>
      <c r="H11" s="23">
        <f t="shared" si="1"/>
        <v>0.49553798516042757</v>
      </c>
      <c r="K11">
        <v>2012</v>
      </c>
      <c r="L11" t="s">
        <v>223</v>
      </c>
      <c r="M11" t="s">
        <v>165</v>
      </c>
      <c r="N11">
        <v>50.6</v>
      </c>
      <c r="O11" t="s">
        <v>234</v>
      </c>
      <c r="P11" t="s">
        <v>225</v>
      </c>
      <c r="R11" t="s">
        <v>161</v>
      </c>
      <c r="S11">
        <v>22.57</v>
      </c>
      <c r="T11">
        <v>0.44497190922577678</v>
      </c>
      <c r="U11">
        <v>20</v>
      </c>
    </row>
    <row r="12" spans="1:21" x14ac:dyDescent="0.2">
      <c r="A12" t="s">
        <v>51</v>
      </c>
      <c r="B12" t="s">
        <v>119</v>
      </c>
      <c r="C12">
        <f t="shared" si="2"/>
        <v>10</v>
      </c>
      <c r="D12">
        <f t="shared" si="0"/>
        <v>11.2</v>
      </c>
      <c r="E12" s="23">
        <v>22.4</v>
      </c>
      <c r="F12" s="23">
        <v>0.49417661449704281</v>
      </c>
      <c r="G12">
        <v>20</v>
      </c>
      <c r="H12" s="23">
        <f t="shared" si="1"/>
        <v>0.22100250058121915</v>
      </c>
      <c r="K12">
        <v>2012</v>
      </c>
      <c r="L12" t="s">
        <v>223</v>
      </c>
      <c r="M12" t="s">
        <v>165</v>
      </c>
      <c r="N12">
        <v>50.6</v>
      </c>
      <c r="O12" t="s">
        <v>234</v>
      </c>
      <c r="P12" t="s">
        <v>226</v>
      </c>
      <c r="R12" t="s">
        <v>156</v>
      </c>
      <c r="S12">
        <v>23.350000000000005</v>
      </c>
      <c r="T12">
        <v>0.47517309865339968</v>
      </c>
      <c r="U12">
        <v>20</v>
      </c>
    </row>
    <row r="13" spans="1:21" x14ac:dyDescent="0.2">
      <c r="A13" t="s">
        <v>52</v>
      </c>
      <c r="B13" t="s">
        <v>119</v>
      </c>
      <c r="C13">
        <f t="shared" si="2"/>
        <v>10</v>
      </c>
      <c r="D13">
        <f t="shared" si="0"/>
        <v>11.099999999999998</v>
      </c>
      <c r="E13" s="23">
        <v>22.199999999999996</v>
      </c>
      <c r="F13" s="23">
        <v>0.6472614374586998</v>
      </c>
      <c r="G13">
        <v>20</v>
      </c>
      <c r="H13" s="23">
        <f t="shared" si="1"/>
        <v>0.28946411467437627</v>
      </c>
      <c r="K13">
        <v>2008</v>
      </c>
      <c r="L13" t="s">
        <v>235</v>
      </c>
      <c r="M13" t="s">
        <v>165</v>
      </c>
      <c r="N13">
        <v>48.6</v>
      </c>
      <c r="O13" t="s">
        <v>236</v>
      </c>
      <c r="P13" t="s">
        <v>225</v>
      </c>
      <c r="R13" t="s">
        <v>158</v>
      </c>
      <c r="S13">
        <v>24.55</v>
      </c>
      <c r="T13">
        <v>1.2054699891481633</v>
      </c>
      <c r="U13">
        <v>20</v>
      </c>
    </row>
    <row r="14" spans="1:21" x14ac:dyDescent="0.2">
      <c r="A14" t="s">
        <v>62</v>
      </c>
      <c r="B14" t="s">
        <v>119</v>
      </c>
      <c r="C14">
        <f t="shared" si="2"/>
        <v>0</v>
      </c>
      <c r="D14">
        <f t="shared" si="0"/>
        <v>4.879999999999999</v>
      </c>
      <c r="E14" s="23">
        <v>9.759999999999998</v>
      </c>
      <c r="F14" s="23">
        <v>1.053515418416896</v>
      </c>
      <c r="G14">
        <v>20</v>
      </c>
      <c r="H14" s="23">
        <f t="shared" si="1"/>
        <v>0.47114641818486264</v>
      </c>
      <c r="K14">
        <v>2008</v>
      </c>
      <c r="L14" t="s">
        <v>235</v>
      </c>
      <c r="M14" t="s">
        <v>165</v>
      </c>
      <c r="N14">
        <v>48.6</v>
      </c>
      <c r="O14" t="s">
        <v>236</v>
      </c>
      <c r="P14" t="s">
        <v>226</v>
      </c>
      <c r="R14" t="s">
        <v>159</v>
      </c>
      <c r="S14">
        <v>22.46</v>
      </c>
      <c r="T14">
        <v>1.1080566202519981</v>
      </c>
      <c r="U14">
        <v>20</v>
      </c>
    </row>
    <row r="15" spans="1:21" x14ac:dyDescent="0.2">
      <c r="A15" t="s">
        <v>63</v>
      </c>
      <c r="B15" t="s">
        <v>119</v>
      </c>
      <c r="C15">
        <f t="shared" si="2"/>
        <v>0</v>
      </c>
      <c r="D15">
        <f t="shared" si="0"/>
        <v>4.0250000000000004</v>
      </c>
      <c r="E15" s="23">
        <v>8.0500000000000007</v>
      </c>
      <c r="F15" s="23">
        <v>0.17917941611106292</v>
      </c>
      <c r="G15">
        <v>20</v>
      </c>
      <c r="H15" s="23">
        <f t="shared" si="1"/>
        <v>8.013147091861153E-2</v>
      </c>
      <c r="K15">
        <v>2009</v>
      </c>
      <c r="L15" t="s">
        <v>235</v>
      </c>
      <c r="M15" t="s">
        <v>165</v>
      </c>
      <c r="N15">
        <v>48.6</v>
      </c>
      <c r="O15" t="s">
        <v>237</v>
      </c>
      <c r="P15" t="s">
        <v>225</v>
      </c>
      <c r="R15" t="s">
        <v>154</v>
      </c>
      <c r="S15">
        <v>22.4</v>
      </c>
      <c r="T15">
        <v>0.49417661449704281</v>
      </c>
      <c r="U15">
        <v>20</v>
      </c>
    </row>
    <row r="16" spans="1:21" x14ac:dyDescent="0.2">
      <c r="A16" t="s">
        <v>64</v>
      </c>
      <c r="B16" t="s">
        <v>119</v>
      </c>
      <c r="C16">
        <f t="shared" si="2"/>
        <v>0</v>
      </c>
      <c r="D16">
        <f t="shared" si="0"/>
        <v>4.17</v>
      </c>
      <c r="E16" s="23">
        <v>8.34</v>
      </c>
      <c r="F16" s="23">
        <v>0.17888543819997543</v>
      </c>
      <c r="G16">
        <v>20</v>
      </c>
      <c r="H16" s="23">
        <f t="shared" si="1"/>
        <v>7.9999999999996532E-2</v>
      </c>
      <c r="K16">
        <v>2009</v>
      </c>
      <c r="L16" t="s">
        <v>235</v>
      </c>
      <c r="M16" t="s">
        <v>165</v>
      </c>
      <c r="N16">
        <v>48.6</v>
      </c>
      <c r="O16" t="s">
        <v>237</v>
      </c>
      <c r="P16" t="s">
        <v>226</v>
      </c>
      <c r="R16" t="s">
        <v>153</v>
      </c>
      <c r="S16">
        <v>22.199999999999996</v>
      </c>
      <c r="T16">
        <v>0.6472614374586998</v>
      </c>
      <c r="U16">
        <v>20</v>
      </c>
    </row>
    <row r="17" spans="1:21" x14ac:dyDescent="0.2">
      <c r="A17" t="s">
        <v>65</v>
      </c>
      <c r="B17" t="s">
        <v>119</v>
      </c>
      <c r="C17">
        <f t="shared" si="2"/>
        <v>0</v>
      </c>
      <c r="D17">
        <f t="shared" si="0"/>
        <v>4.5399999999999983</v>
      </c>
      <c r="E17" s="23">
        <v>9.0799999999999965</v>
      </c>
      <c r="F17" s="23">
        <v>0.29307803882612621</v>
      </c>
      <c r="G17">
        <v>20</v>
      </c>
      <c r="H17" s="23">
        <f t="shared" si="1"/>
        <v>0.13106848350550818</v>
      </c>
      <c r="K17">
        <v>2010</v>
      </c>
      <c r="L17" t="s">
        <v>235</v>
      </c>
      <c r="M17" t="s">
        <v>165</v>
      </c>
      <c r="N17">
        <v>48.6</v>
      </c>
      <c r="O17" t="s">
        <v>238</v>
      </c>
      <c r="P17" t="s">
        <v>225</v>
      </c>
      <c r="R17" t="s">
        <v>148</v>
      </c>
      <c r="S17">
        <v>9.759999999999998</v>
      </c>
      <c r="T17">
        <v>1.053515418416896</v>
      </c>
      <c r="U17">
        <v>20</v>
      </c>
    </row>
    <row r="18" spans="1:21" x14ac:dyDescent="0.2">
      <c r="A18" t="s">
        <v>48</v>
      </c>
      <c r="B18" t="s">
        <v>119</v>
      </c>
      <c r="C18">
        <f t="shared" si="2"/>
        <v>20</v>
      </c>
      <c r="D18">
        <f t="shared" si="0"/>
        <v>22.805000000000007</v>
      </c>
      <c r="E18" s="23">
        <v>45.610000000000014</v>
      </c>
      <c r="F18" s="23">
        <v>2.7828232540275879</v>
      </c>
      <c r="G18">
        <v>20</v>
      </c>
      <c r="H18" s="23">
        <f t="shared" si="1"/>
        <v>1.2445163930745704</v>
      </c>
      <c r="K18">
        <v>2010</v>
      </c>
      <c r="L18" t="s">
        <v>235</v>
      </c>
      <c r="M18" t="s">
        <v>165</v>
      </c>
      <c r="N18">
        <v>48.6</v>
      </c>
      <c r="O18" t="s">
        <v>238</v>
      </c>
      <c r="P18" t="s">
        <v>226</v>
      </c>
      <c r="R18" t="s">
        <v>150</v>
      </c>
      <c r="S18">
        <v>8.0500000000000007</v>
      </c>
      <c r="T18">
        <v>0.17917941611106292</v>
      </c>
      <c r="U18">
        <v>20</v>
      </c>
    </row>
    <row r="19" spans="1:21" x14ac:dyDescent="0.2">
      <c r="A19" t="s">
        <v>53</v>
      </c>
      <c r="B19" t="s">
        <v>119</v>
      </c>
      <c r="C19">
        <f t="shared" si="2"/>
        <v>10</v>
      </c>
      <c r="D19">
        <f t="shared" si="0"/>
        <v>12.185</v>
      </c>
      <c r="E19" s="23">
        <v>24.37</v>
      </c>
      <c r="F19" s="23">
        <v>0.54492877371363269</v>
      </c>
      <c r="G19">
        <v>20</v>
      </c>
      <c r="H19" s="23">
        <f t="shared" si="1"/>
        <v>0.24369955618385664</v>
      </c>
      <c r="K19">
        <v>2011</v>
      </c>
      <c r="L19" t="s">
        <v>235</v>
      </c>
      <c r="M19" t="s">
        <v>165</v>
      </c>
      <c r="N19">
        <v>48.7</v>
      </c>
      <c r="O19" t="s">
        <v>239</v>
      </c>
      <c r="P19" t="s">
        <v>225</v>
      </c>
      <c r="R19" t="s">
        <v>147</v>
      </c>
      <c r="S19">
        <v>8.34</v>
      </c>
      <c r="T19">
        <v>0.17888543819997543</v>
      </c>
      <c r="U19">
        <v>20</v>
      </c>
    </row>
    <row r="20" spans="1:21" x14ac:dyDescent="0.2">
      <c r="A20" t="s">
        <v>57</v>
      </c>
      <c r="B20" t="s">
        <v>4</v>
      </c>
      <c r="C20">
        <f t="shared" si="2"/>
        <v>10</v>
      </c>
      <c r="D20">
        <f t="shared" si="0"/>
        <v>11.56</v>
      </c>
      <c r="E20" s="23">
        <v>23.12</v>
      </c>
      <c r="F20" s="23">
        <v>0.4674679837051734</v>
      </c>
      <c r="G20">
        <v>20</v>
      </c>
      <c r="H20" s="23">
        <f t="shared" si="1"/>
        <v>0.20905803777390633</v>
      </c>
      <c r="K20">
        <v>2011</v>
      </c>
      <c r="L20" t="s">
        <v>235</v>
      </c>
      <c r="M20" t="s">
        <v>165</v>
      </c>
      <c r="N20">
        <v>48.7</v>
      </c>
      <c r="O20" t="s">
        <v>239</v>
      </c>
      <c r="P20" t="s">
        <v>226</v>
      </c>
      <c r="R20" t="s">
        <v>149</v>
      </c>
      <c r="S20">
        <v>9.0799999999999965</v>
      </c>
      <c r="T20">
        <v>0.29307803882612621</v>
      </c>
      <c r="U20">
        <v>20</v>
      </c>
    </row>
    <row r="21" spans="1:21" x14ac:dyDescent="0.2">
      <c r="A21" t="s">
        <v>66</v>
      </c>
      <c r="B21" t="s">
        <v>119</v>
      </c>
      <c r="C21">
        <f>ROUND(D21,-1)</f>
        <v>10</v>
      </c>
      <c r="D21">
        <f t="shared" si="0"/>
        <v>5.1199999999999992</v>
      </c>
      <c r="E21" s="23">
        <v>10.239999999999998</v>
      </c>
      <c r="F21" s="23">
        <v>0.26437612759500023</v>
      </c>
      <c r="G21">
        <v>20</v>
      </c>
      <c r="H21" s="23">
        <f t="shared" si="1"/>
        <v>0.11823259858611569</v>
      </c>
      <c r="K21">
        <v>2012</v>
      </c>
      <c r="L21" t="s">
        <v>235</v>
      </c>
      <c r="M21" t="s">
        <v>165</v>
      </c>
      <c r="N21">
        <v>48.7</v>
      </c>
      <c r="O21" t="s">
        <v>240</v>
      </c>
      <c r="P21" t="s">
        <v>225</v>
      </c>
      <c r="R21" t="s">
        <v>164</v>
      </c>
      <c r="S21">
        <v>45.610000000000014</v>
      </c>
      <c r="T21">
        <v>2.7828232540275879</v>
      </c>
      <c r="U21">
        <v>20</v>
      </c>
    </row>
    <row r="22" spans="1:21" x14ac:dyDescent="0.2">
      <c r="A22" t="s">
        <v>67</v>
      </c>
      <c r="B22" t="s">
        <v>119</v>
      </c>
      <c r="C22">
        <f t="shared" si="2"/>
        <v>10</v>
      </c>
      <c r="D22">
        <f t="shared" si="0"/>
        <v>5.6399999999999988</v>
      </c>
      <c r="E22" s="23">
        <v>11.279999999999998</v>
      </c>
      <c r="F22" s="23">
        <v>1.0855995190628487</v>
      </c>
      <c r="G22">
        <v>20</v>
      </c>
      <c r="H22" s="23">
        <f t="shared" si="1"/>
        <v>0.48549486419312166</v>
      </c>
      <c r="K22">
        <v>2012</v>
      </c>
      <c r="L22" t="s">
        <v>235</v>
      </c>
      <c r="M22" t="s">
        <v>165</v>
      </c>
      <c r="N22">
        <v>48.7</v>
      </c>
      <c r="O22" t="s">
        <v>240</v>
      </c>
      <c r="P22" t="s">
        <v>226</v>
      </c>
      <c r="R22" t="s">
        <v>155</v>
      </c>
      <c r="S22">
        <v>24.37</v>
      </c>
      <c r="T22">
        <v>0.54492877371363269</v>
      </c>
      <c r="U22">
        <v>20</v>
      </c>
    </row>
    <row r="23" spans="1:21" x14ac:dyDescent="0.2">
      <c r="A23" t="s">
        <v>202</v>
      </c>
      <c r="B23" t="s">
        <v>119</v>
      </c>
      <c r="C23">
        <f t="shared" si="2"/>
        <v>0</v>
      </c>
      <c r="D23">
        <f t="shared" si="0"/>
        <v>3.6333333333333333</v>
      </c>
      <c r="E23" s="23">
        <v>7.2666666666666666</v>
      </c>
      <c r="F23" s="23">
        <v>0.16696942198736128</v>
      </c>
      <c r="G23">
        <v>12</v>
      </c>
      <c r="H23" s="23">
        <f t="shared" si="1"/>
        <v>9.6399840730839265E-2</v>
      </c>
      <c r="K23">
        <v>2008</v>
      </c>
      <c r="L23" t="s">
        <v>223</v>
      </c>
      <c r="M23" t="s">
        <v>166</v>
      </c>
      <c r="N23">
        <v>34.1</v>
      </c>
      <c r="O23" t="s">
        <v>241</v>
      </c>
      <c r="P23" t="s">
        <v>225</v>
      </c>
      <c r="R23" t="s">
        <v>160</v>
      </c>
      <c r="S23">
        <v>23.12</v>
      </c>
      <c r="T23">
        <v>0.4674679837051734</v>
      </c>
      <c r="U23">
        <v>20</v>
      </c>
    </row>
    <row r="24" spans="1:21" x14ac:dyDescent="0.2">
      <c r="A24" t="s">
        <v>1012</v>
      </c>
      <c r="B24" t="s">
        <v>119</v>
      </c>
      <c r="C24">
        <f t="shared" si="2"/>
        <v>20</v>
      </c>
      <c r="D24">
        <f t="shared" si="0"/>
        <v>15.837499999999999</v>
      </c>
      <c r="E24" s="23">
        <v>31.674999999999997</v>
      </c>
      <c r="F24" s="23">
        <v>0.62507142449043274</v>
      </c>
      <c r="G24">
        <v>8</v>
      </c>
      <c r="H24" s="23">
        <f t="shared" si="1"/>
        <v>0.44199224298311995</v>
      </c>
      <c r="K24">
        <v>2008</v>
      </c>
      <c r="L24" t="s">
        <v>223</v>
      </c>
      <c r="M24" t="s">
        <v>166</v>
      </c>
      <c r="N24">
        <v>34.1</v>
      </c>
      <c r="O24" t="s">
        <v>241</v>
      </c>
      <c r="P24" t="s">
        <v>226</v>
      </c>
      <c r="R24" t="s">
        <v>151</v>
      </c>
      <c r="S24">
        <v>10.239999999999998</v>
      </c>
      <c r="T24">
        <v>0.26437612759500023</v>
      </c>
      <c r="U24">
        <v>20</v>
      </c>
    </row>
    <row r="25" spans="1:21" x14ac:dyDescent="0.2">
      <c r="A25" t="s">
        <v>32</v>
      </c>
      <c r="B25" t="s">
        <v>119</v>
      </c>
      <c r="C25">
        <f t="shared" si="2"/>
        <v>30</v>
      </c>
      <c r="D25">
        <f t="shared" si="0"/>
        <v>25.785000000000007</v>
      </c>
      <c r="E25" s="23">
        <v>51.570000000000014</v>
      </c>
      <c r="F25" s="23">
        <v>1.0964536133891372</v>
      </c>
      <c r="G25">
        <v>20</v>
      </c>
      <c r="H25" s="23">
        <f t="shared" si="1"/>
        <v>0.49034896274267681</v>
      </c>
      <c r="K25">
        <v>2009</v>
      </c>
      <c r="L25" t="s">
        <v>223</v>
      </c>
      <c r="M25" t="s">
        <v>166</v>
      </c>
      <c r="N25">
        <v>37</v>
      </c>
      <c r="O25" t="s">
        <v>243</v>
      </c>
      <c r="P25" t="s">
        <v>225</v>
      </c>
      <c r="R25" t="s">
        <v>152</v>
      </c>
      <c r="S25">
        <v>11.279999999999998</v>
      </c>
      <c r="T25">
        <v>1.0855995190628487</v>
      </c>
      <c r="U25">
        <v>20</v>
      </c>
    </row>
    <row r="26" spans="1:21" x14ac:dyDescent="0.2">
      <c r="A26" t="s">
        <v>33</v>
      </c>
      <c r="B26" t="s">
        <v>119</v>
      </c>
      <c r="C26">
        <f t="shared" si="2"/>
        <v>30</v>
      </c>
      <c r="D26">
        <f t="shared" si="0"/>
        <v>29.945</v>
      </c>
      <c r="E26" s="23">
        <v>59.89</v>
      </c>
      <c r="F26" s="23">
        <v>0.49086390009934544</v>
      </c>
      <c r="G26">
        <v>20</v>
      </c>
      <c r="H26" s="23">
        <f t="shared" si="1"/>
        <v>0.21952100966456042</v>
      </c>
      <c r="K26">
        <v>2009</v>
      </c>
      <c r="L26" t="s">
        <v>223</v>
      </c>
      <c r="M26" t="s">
        <v>166</v>
      </c>
      <c r="N26">
        <v>37</v>
      </c>
      <c r="O26" t="s">
        <v>243</v>
      </c>
      <c r="P26" t="s">
        <v>226</v>
      </c>
      <c r="R26" t="s">
        <v>208</v>
      </c>
      <c r="S26">
        <v>7.2666666666666666</v>
      </c>
      <c r="T26">
        <v>0.16696942198736128</v>
      </c>
      <c r="U26">
        <v>12</v>
      </c>
    </row>
    <row r="27" spans="1:21" x14ac:dyDescent="0.2">
      <c r="A27" t="s">
        <v>34</v>
      </c>
      <c r="B27" t="s">
        <v>119</v>
      </c>
      <c r="C27">
        <f t="shared" si="2"/>
        <v>40</v>
      </c>
      <c r="D27">
        <f t="shared" si="0"/>
        <v>44.510000000000005</v>
      </c>
      <c r="E27" s="23">
        <v>89.02000000000001</v>
      </c>
      <c r="F27" s="23">
        <v>0.84205262993347463</v>
      </c>
      <c r="G27">
        <v>20</v>
      </c>
      <c r="H27" s="23">
        <f t="shared" si="1"/>
        <v>0.37657738423274467</v>
      </c>
      <c r="K27">
        <v>2010</v>
      </c>
      <c r="L27" t="s">
        <v>223</v>
      </c>
      <c r="M27" t="s">
        <v>166</v>
      </c>
      <c r="N27">
        <v>33.700000000000003</v>
      </c>
      <c r="O27" t="s">
        <v>244</v>
      </c>
      <c r="P27" t="s">
        <v>225</v>
      </c>
      <c r="R27" t="s">
        <v>242</v>
      </c>
      <c r="S27">
        <v>31.674999999999997</v>
      </c>
      <c r="T27">
        <v>0.62507142449043274</v>
      </c>
      <c r="U27">
        <v>8</v>
      </c>
    </row>
    <row r="28" spans="1:21" x14ac:dyDescent="0.2">
      <c r="A28" t="s">
        <v>35</v>
      </c>
      <c r="B28" t="s">
        <v>120</v>
      </c>
      <c r="C28">
        <f t="shared" si="2"/>
        <v>30</v>
      </c>
      <c r="D28">
        <f t="shared" si="0"/>
        <v>33.840499999999999</v>
      </c>
      <c r="E28" s="23">
        <v>67.680999999999997</v>
      </c>
      <c r="F28" s="23">
        <v>1.2354624107687089</v>
      </c>
      <c r="G28">
        <v>20</v>
      </c>
      <c r="H28" s="23">
        <f t="shared" si="1"/>
        <v>0.55251558682492019</v>
      </c>
      <c r="K28">
        <v>2010</v>
      </c>
      <c r="L28" t="s">
        <v>223</v>
      </c>
      <c r="M28" t="s">
        <v>166</v>
      </c>
      <c r="N28">
        <v>33.700000000000003</v>
      </c>
      <c r="O28" t="s">
        <v>244</v>
      </c>
      <c r="P28" t="s">
        <v>226</v>
      </c>
      <c r="R28" t="s">
        <v>142</v>
      </c>
      <c r="S28">
        <v>51.570000000000014</v>
      </c>
      <c r="T28">
        <v>1.0964536133891372</v>
      </c>
      <c r="U28">
        <v>20</v>
      </c>
    </row>
    <row r="29" spans="1:21" x14ac:dyDescent="0.2">
      <c r="A29" t="s">
        <v>37</v>
      </c>
      <c r="B29" t="s">
        <v>119</v>
      </c>
      <c r="C29">
        <f t="shared" si="2"/>
        <v>30</v>
      </c>
      <c r="D29">
        <f t="shared" si="0"/>
        <v>27.859999999999996</v>
      </c>
      <c r="E29" s="23">
        <v>55.719999999999992</v>
      </c>
      <c r="F29" s="23">
        <v>0.79577833464820025</v>
      </c>
      <c r="G29">
        <v>20</v>
      </c>
      <c r="H29" s="23">
        <f t="shared" si="1"/>
        <v>0.35588289025899039</v>
      </c>
      <c r="K29">
        <v>2011</v>
      </c>
      <c r="L29" t="s">
        <v>223</v>
      </c>
      <c r="M29" t="s">
        <v>166</v>
      </c>
      <c r="N29">
        <v>34</v>
      </c>
      <c r="O29" t="s">
        <v>245</v>
      </c>
      <c r="P29" t="s">
        <v>225</v>
      </c>
      <c r="R29" t="s">
        <v>146</v>
      </c>
      <c r="S29">
        <v>59.89</v>
      </c>
      <c r="T29">
        <v>0.49086390009934544</v>
      </c>
      <c r="U29">
        <v>20</v>
      </c>
    </row>
    <row r="30" spans="1:21" x14ac:dyDescent="0.2">
      <c r="A30" t="s">
        <v>38</v>
      </c>
      <c r="B30" t="s">
        <v>119</v>
      </c>
      <c r="C30">
        <f t="shared" si="2"/>
        <v>40</v>
      </c>
      <c r="D30">
        <f t="shared" si="0"/>
        <v>41.510000000000005</v>
      </c>
      <c r="E30" s="23">
        <v>83.02000000000001</v>
      </c>
      <c r="F30" s="23">
        <v>1.9220602980841022</v>
      </c>
      <c r="G30">
        <v>20</v>
      </c>
      <c r="H30" s="23">
        <f t="shared" si="1"/>
        <v>0.85957149667391219</v>
      </c>
      <c r="K30">
        <v>2011</v>
      </c>
      <c r="L30" t="s">
        <v>223</v>
      </c>
      <c r="M30" t="s">
        <v>166</v>
      </c>
      <c r="N30">
        <v>34</v>
      </c>
      <c r="O30" t="s">
        <v>245</v>
      </c>
      <c r="P30" t="s">
        <v>226</v>
      </c>
      <c r="R30" t="s">
        <v>145</v>
      </c>
      <c r="S30">
        <v>89.02000000000001</v>
      </c>
      <c r="T30">
        <v>0.84205262993347463</v>
      </c>
      <c r="U30">
        <v>20</v>
      </c>
    </row>
    <row r="31" spans="1:21" x14ac:dyDescent="0.2">
      <c r="A31" t="s">
        <v>39</v>
      </c>
      <c r="B31" t="s">
        <v>119</v>
      </c>
      <c r="C31">
        <f t="shared" si="2"/>
        <v>40</v>
      </c>
      <c r="D31">
        <f t="shared" si="0"/>
        <v>37.63000000000001</v>
      </c>
      <c r="E31" s="23">
        <v>75.260000000000019</v>
      </c>
      <c r="F31" s="23">
        <v>0.6459590992405535</v>
      </c>
      <c r="G31">
        <v>20</v>
      </c>
      <c r="H31" s="23">
        <f t="shared" si="1"/>
        <v>0.28888169131728209</v>
      </c>
      <c r="K31">
        <v>2012</v>
      </c>
      <c r="L31" t="s">
        <v>223</v>
      </c>
      <c r="M31" t="s">
        <v>166</v>
      </c>
      <c r="N31">
        <v>33.1</v>
      </c>
      <c r="O31" t="s">
        <v>246</v>
      </c>
      <c r="P31" t="s">
        <v>225</v>
      </c>
      <c r="R31" t="s">
        <v>143</v>
      </c>
      <c r="S31">
        <v>67.680999999999997</v>
      </c>
      <c r="T31">
        <v>1.2354624107687089</v>
      </c>
      <c r="U31">
        <v>20</v>
      </c>
    </row>
    <row r="32" spans="1:21" x14ac:dyDescent="0.2">
      <c r="A32" t="s">
        <v>40</v>
      </c>
      <c r="B32" t="s">
        <v>119</v>
      </c>
      <c r="C32">
        <f t="shared" si="2"/>
        <v>70</v>
      </c>
      <c r="D32">
        <f t="shared" si="0"/>
        <v>68.889999999999986</v>
      </c>
      <c r="E32" s="23">
        <v>137.77999999999997</v>
      </c>
      <c r="F32" s="23">
        <v>1.5619151537046421</v>
      </c>
      <c r="G32">
        <v>20</v>
      </c>
      <c r="H32" s="23">
        <f t="shared" si="1"/>
        <v>0.69850969175412236</v>
      </c>
      <c r="K32">
        <v>2012</v>
      </c>
      <c r="L32" t="s">
        <v>223</v>
      </c>
      <c r="M32" t="s">
        <v>166</v>
      </c>
      <c r="N32">
        <v>33.1</v>
      </c>
      <c r="O32" t="s">
        <v>246</v>
      </c>
      <c r="P32" t="s">
        <v>226</v>
      </c>
      <c r="R32" t="s">
        <v>141</v>
      </c>
      <c r="S32">
        <v>55.719999999999992</v>
      </c>
      <c r="T32">
        <v>0.79577833464820025</v>
      </c>
      <c r="U32">
        <v>20</v>
      </c>
    </row>
    <row r="33" spans="1:21" x14ac:dyDescent="0.2">
      <c r="A33" t="s">
        <v>41</v>
      </c>
      <c r="B33" t="s">
        <v>17</v>
      </c>
      <c r="C33">
        <f t="shared" si="2"/>
        <v>50</v>
      </c>
      <c r="D33">
        <f t="shared" si="0"/>
        <v>49.555</v>
      </c>
      <c r="E33" s="23">
        <v>99.11</v>
      </c>
      <c r="F33" s="23">
        <v>1.7090779293005278</v>
      </c>
      <c r="G33">
        <v>20</v>
      </c>
      <c r="H33" s="23">
        <f t="shared" si="1"/>
        <v>0.76432288575211194</v>
      </c>
      <c r="K33">
        <v>2008</v>
      </c>
      <c r="L33" t="s">
        <v>235</v>
      </c>
      <c r="M33" t="s">
        <v>166</v>
      </c>
      <c r="N33">
        <v>32.1</v>
      </c>
      <c r="O33" t="s">
        <v>247</v>
      </c>
      <c r="P33" t="s">
        <v>225</v>
      </c>
      <c r="R33" t="s">
        <v>140</v>
      </c>
      <c r="S33">
        <v>83.02000000000001</v>
      </c>
      <c r="T33">
        <v>1.9220602980841022</v>
      </c>
      <c r="U33">
        <v>20</v>
      </c>
    </row>
    <row r="34" spans="1:21" x14ac:dyDescent="0.2">
      <c r="A34" t="s">
        <v>42</v>
      </c>
      <c r="B34" t="s">
        <v>119</v>
      </c>
      <c r="C34">
        <f t="shared" si="2"/>
        <v>60</v>
      </c>
      <c r="D34">
        <f t="shared" si="0"/>
        <v>56.690000000000012</v>
      </c>
      <c r="E34" s="23">
        <v>113.38000000000002</v>
      </c>
      <c r="F34" s="23">
        <v>1.463089737146126</v>
      </c>
      <c r="G34">
        <v>20</v>
      </c>
      <c r="H34" s="23">
        <f t="shared" si="1"/>
        <v>0.6543136218882073</v>
      </c>
      <c r="K34">
        <v>2008</v>
      </c>
      <c r="L34" t="s">
        <v>235</v>
      </c>
      <c r="M34" t="s">
        <v>166</v>
      </c>
      <c r="N34">
        <v>32.1</v>
      </c>
      <c r="O34" t="s">
        <v>247</v>
      </c>
      <c r="P34" t="s">
        <v>226</v>
      </c>
      <c r="R34" t="s">
        <v>138</v>
      </c>
      <c r="S34">
        <v>75.260000000000019</v>
      </c>
      <c r="T34">
        <v>0.6459590992405535</v>
      </c>
      <c r="U34">
        <v>20</v>
      </c>
    </row>
    <row r="35" spans="1:21" x14ac:dyDescent="0.2">
      <c r="A35" t="s">
        <v>43</v>
      </c>
      <c r="B35" t="s">
        <v>119</v>
      </c>
      <c r="C35">
        <f t="shared" si="2"/>
        <v>50</v>
      </c>
      <c r="D35">
        <f t="shared" si="0"/>
        <v>46.355000000000011</v>
      </c>
      <c r="E35" s="23">
        <v>92.710000000000022</v>
      </c>
      <c r="F35" s="23">
        <v>1.0182027509780871</v>
      </c>
      <c r="G35">
        <v>20</v>
      </c>
      <c r="H35" s="23">
        <f t="shared" si="1"/>
        <v>0.45535411321285862</v>
      </c>
      <c r="K35">
        <v>2009</v>
      </c>
      <c r="L35" t="s">
        <v>235</v>
      </c>
      <c r="M35" t="s">
        <v>166</v>
      </c>
      <c r="N35">
        <v>33</v>
      </c>
      <c r="O35" t="s">
        <v>248</v>
      </c>
      <c r="P35" t="s">
        <v>225</v>
      </c>
      <c r="R35" t="s">
        <v>139</v>
      </c>
      <c r="S35">
        <v>137.77999999999997</v>
      </c>
      <c r="T35">
        <v>1.5619151537046421</v>
      </c>
      <c r="U35">
        <v>20</v>
      </c>
    </row>
    <row r="36" spans="1:21" x14ac:dyDescent="0.2">
      <c r="A36" t="s">
        <v>44</v>
      </c>
      <c r="B36" t="s">
        <v>17</v>
      </c>
      <c r="C36">
        <f t="shared" si="2"/>
        <v>60</v>
      </c>
      <c r="D36">
        <f t="shared" si="0"/>
        <v>64.64500000000001</v>
      </c>
      <c r="E36" s="23">
        <v>129.29000000000002</v>
      </c>
      <c r="F36" s="23">
        <v>5.3473948403815008</v>
      </c>
      <c r="G36">
        <v>20</v>
      </c>
      <c r="H36" s="23">
        <f t="shared" si="1"/>
        <v>2.3914276731249346</v>
      </c>
      <c r="K36">
        <v>2009</v>
      </c>
      <c r="L36" t="s">
        <v>235</v>
      </c>
      <c r="M36" t="s">
        <v>166</v>
      </c>
      <c r="N36">
        <v>33</v>
      </c>
      <c r="O36" t="s">
        <v>248</v>
      </c>
      <c r="P36" t="s">
        <v>226</v>
      </c>
      <c r="R36" t="s">
        <v>137</v>
      </c>
      <c r="S36">
        <v>99.11</v>
      </c>
      <c r="T36">
        <v>1.7090779293005278</v>
      </c>
      <c r="U36">
        <v>20</v>
      </c>
    </row>
    <row r="37" spans="1:21" x14ac:dyDescent="0.2">
      <c r="A37" t="s">
        <v>45</v>
      </c>
      <c r="B37" t="s">
        <v>119</v>
      </c>
      <c r="C37">
        <f t="shared" si="2"/>
        <v>60</v>
      </c>
      <c r="D37">
        <f t="shared" si="0"/>
        <v>60.089999999999996</v>
      </c>
      <c r="E37" s="23">
        <v>120.17999999999999</v>
      </c>
      <c r="F37" s="23">
        <v>2.5751034726275153</v>
      </c>
      <c r="G37">
        <v>20</v>
      </c>
      <c r="H37" s="23">
        <f t="shared" si="1"/>
        <v>1.1516212827781787</v>
      </c>
      <c r="K37">
        <v>2010</v>
      </c>
      <c r="L37" t="s">
        <v>235</v>
      </c>
      <c r="M37" t="s">
        <v>166</v>
      </c>
      <c r="N37">
        <v>33.1</v>
      </c>
      <c r="O37" t="s">
        <v>249</v>
      </c>
      <c r="P37" t="s">
        <v>225</v>
      </c>
      <c r="R37" t="s">
        <v>136</v>
      </c>
      <c r="S37">
        <v>113.38000000000002</v>
      </c>
      <c r="T37">
        <v>1.463089737146126</v>
      </c>
      <c r="U37">
        <v>20</v>
      </c>
    </row>
    <row r="38" spans="1:21" x14ac:dyDescent="0.2">
      <c r="A38" t="s">
        <v>36</v>
      </c>
      <c r="B38" t="s">
        <v>119</v>
      </c>
      <c r="C38">
        <f t="shared" si="2"/>
        <v>50</v>
      </c>
      <c r="D38">
        <f t="shared" si="0"/>
        <v>45.155000000000001</v>
      </c>
      <c r="E38" s="23">
        <v>90.31</v>
      </c>
      <c r="F38" s="23">
        <v>0.7642677954482503</v>
      </c>
      <c r="G38">
        <v>20</v>
      </c>
      <c r="H38" s="23">
        <f t="shared" si="1"/>
        <v>0.34179094872723836</v>
      </c>
      <c r="K38">
        <v>2010</v>
      </c>
      <c r="L38" t="s">
        <v>235</v>
      </c>
      <c r="M38" t="s">
        <v>166</v>
      </c>
      <c r="N38">
        <v>33.1</v>
      </c>
      <c r="O38" t="s">
        <v>249</v>
      </c>
      <c r="P38" t="s">
        <v>226</v>
      </c>
      <c r="R38" t="s">
        <v>135</v>
      </c>
      <c r="S38">
        <v>92.710000000000022</v>
      </c>
      <c r="T38">
        <v>1.0182027509780871</v>
      </c>
      <c r="U38">
        <v>20</v>
      </c>
    </row>
    <row r="39" spans="1:21" x14ac:dyDescent="0.2">
      <c r="A39" t="s">
        <v>196</v>
      </c>
      <c r="K39">
        <v>2011</v>
      </c>
      <c r="L39" t="s">
        <v>235</v>
      </c>
      <c r="M39" t="s">
        <v>166</v>
      </c>
      <c r="N39">
        <v>33.1</v>
      </c>
      <c r="O39" t="s">
        <v>250</v>
      </c>
      <c r="P39" t="s">
        <v>225</v>
      </c>
      <c r="R39" t="s">
        <v>134</v>
      </c>
      <c r="S39">
        <v>129.29000000000002</v>
      </c>
      <c r="T39">
        <v>5.3473948403815008</v>
      </c>
      <c r="U39">
        <v>20</v>
      </c>
    </row>
    <row r="40" spans="1:21" x14ac:dyDescent="0.2">
      <c r="A40" t="s">
        <v>201</v>
      </c>
      <c r="B40" t="s">
        <v>119</v>
      </c>
      <c r="C40">
        <f t="shared" ref="C40:C52" si="3">ROUND(D40,-1)</f>
        <v>60</v>
      </c>
      <c r="D40">
        <f t="shared" ref="D40:D52" si="4">E40/2</f>
        <v>57.374999999999993</v>
      </c>
      <c r="E40" s="23">
        <v>114.74999999999999</v>
      </c>
      <c r="F40" s="23">
        <v>0.11677484163329137</v>
      </c>
      <c r="G40">
        <v>12</v>
      </c>
      <c r="H40" s="23">
        <f t="shared" ref="H40:H52" si="5">2*(F40/SQRT(G40))</f>
        <v>6.7419986251556693E-2</v>
      </c>
      <c r="K40">
        <v>2011</v>
      </c>
      <c r="L40" t="s">
        <v>235</v>
      </c>
      <c r="M40" t="s">
        <v>166</v>
      </c>
      <c r="N40">
        <v>33.1</v>
      </c>
      <c r="O40" t="s">
        <v>250</v>
      </c>
      <c r="P40" t="s">
        <v>226</v>
      </c>
      <c r="R40" t="s">
        <v>133</v>
      </c>
      <c r="S40">
        <v>120.17999999999999</v>
      </c>
      <c r="T40">
        <v>2.5751034726275153</v>
      </c>
      <c r="U40">
        <v>20</v>
      </c>
    </row>
    <row r="41" spans="1:21" x14ac:dyDescent="0.2">
      <c r="A41" t="s">
        <v>1013</v>
      </c>
      <c r="B41" t="s">
        <v>119</v>
      </c>
      <c r="C41">
        <f t="shared" si="3"/>
        <v>20</v>
      </c>
      <c r="D41">
        <f t="shared" si="4"/>
        <v>18.837499999999999</v>
      </c>
      <c r="E41" s="23">
        <v>37.674999999999997</v>
      </c>
      <c r="F41" s="23">
        <v>0.4166190448976731</v>
      </c>
      <c r="G41">
        <v>8</v>
      </c>
      <c r="H41" s="23">
        <f t="shared" si="5"/>
        <v>0.29459415181860732</v>
      </c>
      <c r="K41">
        <v>2012</v>
      </c>
      <c r="L41" t="s">
        <v>235</v>
      </c>
      <c r="M41" t="s">
        <v>166</v>
      </c>
      <c r="N41">
        <v>33</v>
      </c>
      <c r="O41" t="s">
        <v>252</v>
      </c>
      <c r="P41" t="s">
        <v>225</v>
      </c>
      <c r="R41" t="s">
        <v>144</v>
      </c>
      <c r="S41">
        <v>90.31</v>
      </c>
      <c r="T41">
        <v>0.7642677954482503</v>
      </c>
      <c r="U41">
        <v>20</v>
      </c>
    </row>
    <row r="42" spans="1:21" x14ac:dyDescent="0.2">
      <c r="A42" t="s">
        <v>1</v>
      </c>
      <c r="B42" t="s">
        <v>119</v>
      </c>
      <c r="C42">
        <f t="shared" si="3"/>
        <v>60</v>
      </c>
      <c r="D42">
        <f t="shared" si="4"/>
        <v>63.944999999999993</v>
      </c>
      <c r="E42" s="23">
        <v>127.88999999999999</v>
      </c>
      <c r="F42" s="23">
        <v>2.3112767034702251</v>
      </c>
      <c r="G42">
        <v>20</v>
      </c>
      <c r="H42" s="23">
        <f t="shared" si="5"/>
        <v>1.0336343647542094</v>
      </c>
      <c r="K42">
        <v>2012</v>
      </c>
      <c r="L42" t="s">
        <v>235</v>
      </c>
      <c r="M42" t="s">
        <v>166</v>
      </c>
      <c r="N42">
        <v>33</v>
      </c>
      <c r="O42" t="s">
        <v>252</v>
      </c>
      <c r="P42" t="s">
        <v>226</v>
      </c>
      <c r="R42" t="s">
        <v>209</v>
      </c>
      <c r="S42">
        <v>114.74999999999999</v>
      </c>
      <c r="T42">
        <v>0.11677484163329137</v>
      </c>
      <c r="U42">
        <v>12</v>
      </c>
    </row>
    <row r="43" spans="1:21" x14ac:dyDescent="0.2">
      <c r="A43" t="s">
        <v>11</v>
      </c>
      <c r="B43" t="s">
        <v>119</v>
      </c>
      <c r="C43">
        <f t="shared" si="3"/>
        <v>50</v>
      </c>
      <c r="D43">
        <f t="shared" si="4"/>
        <v>50.780000000000008</v>
      </c>
      <c r="E43" s="23">
        <v>101.56000000000002</v>
      </c>
      <c r="F43" s="23">
        <v>0.72285981751934891</v>
      </c>
      <c r="G43">
        <v>20</v>
      </c>
      <c r="H43" s="23">
        <f t="shared" si="5"/>
        <v>0.32327273803527151</v>
      </c>
      <c r="K43">
        <v>2008</v>
      </c>
      <c r="L43" t="s">
        <v>223</v>
      </c>
      <c r="M43" t="s">
        <v>163</v>
      </c>
      <c r="N43">
        <v>64.2</v>
      </c>
      <c r="O43" t="s">
        <v>253</v>
      </c>
      <c r="P43" t="s">
        <v>225</v>
      </c>
      <c r="R43" t="s">
        <v>251</v>
      </c>
      <c r="S43">
        <v>37.674999999999997</v>
      </c>
      <c r="T43">
        <v>0.4166190448976731</v>
      </c>
      <c r="U43">
        <v>8</v>
      </c>
    </row>
    <row r="44" spans="1:21" x14ac:dyDescent="0.2">
      <c r="A44" t="s">
        <v>13</v>
      </c>
      <c r="B44" t="s">
        <v>18</v>
      </c>
      <c r="C44">
        <f t="shared" si="3"/>
        <v>80</v>
      </c>
      <c r="D44">
        <f t="shared" si="4"/>
        <v>80.447000000000003</v>
      </c>
      <c r="E44" s="23">
        <v>160.89400000000001</v>
      </c>
      <c r="F44" s="23">
        <v>0.50879010251840007</v>
      </c>
      <c r="G44">
        <v>20</v>
      </c>
      <c r="H44" s="23">
        <f t="shared" si="5"/>
        <v>0.22753785110204588</v>
      </c>
      <c r="K44">
        <v>2008</v>
      </c>
      <c r="L44" t="s">
        <v>223</v>
      </c>
      <c r="M44" t="s">
        <v>163</v>
      </c>
      <c r="N44">
        <v>64.2</v>
      </c>
      <c r="O44" t="s">
        <v>253</v>
      </c>
      <c r="P44" t="s">
        <v>226</v>
      </c>
      <c r="R44" t="s">
        <v>123</v>
      </c>
      <c r="S44">
        <v>127.88999999999999</v>
      </c>
      <c r="T44">
        <v>2.3112767034702251</v>
      </c>
      <c r="U44">
        <v>20</v>
      </c>
    </row>
    <row r="45" spans="1:21" x14ac:dyDescent="0.2">
      <c r="A45" t="s">
        <v>21</v>
      </c>
      <c r="B45" t="s">
        <v>119</v>
      </c>
      <c r="C45">
        <f t="shared" si="3"/>
        <v>50</v>
      </c>
      <c r="D45">
        <f t="shared" si="4"/>
        <v>45.34</v>
      </c>
      <c r="E45" s="23">
        <v>90.68</v>
      </c>
      <c r="F45" s="23">
        <v>1.3500877164482243</v>
      </c>
      <c r="G45">
        <v>20</v>
      </c>
      <c r="H45" s="23">
        <f t="shared" si="5"/>
        <v>0.60377758191313813</v>
      </c>
      <c r="K45">
        <v>2009</v>
      </c>
      <c r="L45" t="s">
        <v>223</v>
      </c>
      <c r="M45" t="s">
        <v>163</v>
      </c>
      <c r="N45">
        <v>64.7</v>
      </c>
      <c r="O45" t="s">
        <v>254</v>
      </c>
      <c r="P45" t="s">
        <v>225</v>
      </c>
      <c r="R45" t="s">
        <v>122</v>
      </c>
      <c r="S45">
        <v>101.56000000000002</v>
      </c>
      <c r="T45">
        <v>0.72285981751934891</v>
      </c>
      <c r="U45">
        <v>20</v>
      </c>
    </row>
    <row r="46" spans="1:21" x14ac:dyDescent="0.2">
      <c r="A46" t="s">
        <v>22</v>
      </c>
      <c r="B46" t="s">
        <v>119</v>
      </c>
      <c r="C46">
        <f t="shared" si="3"/>
        <v>50</v>
      </c>
      <c r="D46">
        <f t="shared" si="4"/>
        <v>46.24</v>
      </c>
      <c r="E46" s="23">
        <v>92.48</v>
      </c>
      <c r="F46" s="23">
        <v>0.8408016225124435</v>
      </c>
      <c r="G46">
        <v>20</v>
      </c>
      <c r="H46" s="23">
        <f t="shared" si="5"/>
        <v>0.37601791670598822</v>
      </c>
      <c r="K46">
        <v>2009</v>
      </c>
      <c r="L46" t="s">
        <v>223</v>
      </c>
      <c r="M46" t="s">
        <v>163</v>
      </c>
      <c r="N46">
        <v>64.7</v>
      </c>
      <c r="O46" t="s">
        <v>254</v>
      </c>
      <c r="P46" t="s">
        <v>226</v>
      </c>
      <c r="R46" t="s">
        <v>124</v>
      </c>
      <c r="S46">
        <v>160.89400000000001</v>
      </c>
      <c r="T46">
        <v>0.50879010251840007</v>
      </c>
      <c r="U46">
        <v>20</v>
      </c>
    </row>
    <row r="47" spans="1:21" x14ac:dyDescent="0.2">
      <c r="A47" t="s">
        <v>24</v>
      </c>
      <c r="B47" t="s">
        <v>17</v>
      </c>
      <c r="C47">
        <f t="shared" si="3"/>
        <v>50</v>
      </c>
      <c r="D47">
        <f t="shared" si="4"/>
        <v>52.684999999999988</v>
      </c>
      <c r="E47" s="23">
        <v>105.36999999999998</v>
      </c>
      <c r="F47" s="23">
        <v>1.7982740263058545</v>
      </c>
      <c r="G47">
        <v>20</v>
      </c>
      <c r="H47" s="23">
        <f t="shared" si="5"/>
        <v>0.80421259299842707</v>
      </c>
      <c r="K47">
        <v>2010</v>
      </c>
      <c r="L47" t="s">
        <v>223</v>
      </c>
      <c r="M47" t="s">
        <v>163</v>
      </c>
      <c r="N47">
        <v>64.400000000000006</v>
      </c>
      <c r="O47" t="s">
        <v>255</v>
      </c>
      <c r="P47" t="s">
        <v>225</v>
      </c>
      <c r="R47" t="s">
        <v>125</v>
      </c>
      <c r="S47">
        <v>90.68</v>
      </c>
      <c r="T47">
        <v>1.3500877164482243</v>
      </c>
      <c r="U47">
        <v>20</v>
      </c>
    </row>
    <row r="48" spans="1:21" x14ac:dyDescent="0.2">
      <c r="A48" t="s">
        <v>25</v>
      </c>
      <c r="B48" t="s">
        <v>119</v>
      </c>
      <c r="C48">
        <f t="shared" si="3"/>
        <v>80</v>
      </c>
      <c r="D48">
        <f t="shared" si="4"/>
        <v>82.240000000000038</v>
      </c>
      <c r="E48" s="23">
        <v>164.48000000000008</v>
      </c>
      <c r="F48" s="23">
        <v>0.68024763290691492</v>
      </c>
      <c r="G48">
        <v>20</v>
      </c>
      <c r="H48" s="23">
        <f t="shared" si="5"/>
        <v>0.30421598974263692</v>
      </c>
      <c r="K48">
        <v>2010</v>
      </c>
      <c r="L48" t="s">
        <v>223</v>
      </c>
      <c r="M48" t="s">
        <v>163</v>
      </c>
      <c r="N48">
        <v>64.400000000000006</v>
      </c>
      <c r="O48" t="s">
        <v>255</v>
      </c>
      <c r="P48" t="s">
        <v>226</v>
      </c>
      <c r="R48" t="s">
        <v>126</v>
      </c>
      <c r="S48">
        <v>92.48</v>
      </c>
      <c r="T48">
        <v>0.8408016225124435</v>
      </c>
      <c r="U48">
        <v>20</v>
      </c>
    </row>
    <row r="49" spans="1:21" x14ac:dyDescent="0.2">
      <c r="A49" t="s">
        <v>26</v>
      </c>
      <c r="B49" t="s">
        <v>119</v>
      </c>
      <c r="C49">
        <f t="shared" si="3"/>
        <v>80</v>
      </c>
      <c r="D49">
        <f t="shared" si="4"/>
        <v>79.799999999999983</v>
      </c>
      <c r="E49" s="23">
        <v>159.59999999999997</v>
      </c>
      <c r="F49" s="23">
        <v>0.77595442080327393</v>
      </c>
      <c r="G49">
        <v>20</v>
      </c>
      <c r="H49" s="23">
        <f t="shared" si="5"/>
        <v>0.34701736647151948</v>
      </c>
      <c r="K49">
        <v>2011</v>
      </c>
      <c r="L49" t="s">
        <v>223</v>
      </c>
      <c r="M49" t="s">
        <v>163</v>
      </c>
      <c r="N49">
        <v>46.7</v>
      </c>
      <c r="O49" t="s">
        <v>256</v>
      </c>
      <c r="P49" t="s">
        <v>225</v>
      </c>
      <c r="R49" t="s">
        <v>129</v>
      </c>
      <c r="S49">
        <v>105.36999999999998</v>
      </c>
      <c r="T49">
        <v>1.7982740263058545</v>
      </c>
      <c r="U49">
        <v>20</v>
      </c>
    </row>
    <row r="50" spans="1:21" x14ac:dyDescent="0.2">
      <c r="A50" t="s">
        <v>28</v>
      </c>
      <c r="B50" t="s">
        <v>119</v>
      </c>
      <c r="C50">
        <f t="shared" si="3"/>
        <v>90</v>
      </c>
      <c r="D50">
        <f t="shared" si="4"/>
        <v>85.42000000000003</v>
      </c>
      <c r="E50" s="23">
        <v>170.84000000000006</v>
      </c>
      <c r="F50" s="23">
        <v>1.2873473338136032</v>
      </c>
      <c r="G50">
        <v>20</v>
      </c>
      <c r="H50" s="23">
        <f t="shared" si="5"/>
        <v>0.57571922981206602</v>
      </c>
      <c r="K50">
        <v>2011</v>
      </c>
      <c r="L50" t="s">
        <v>223</v>
      </c>
      <c r="M50" t="s">
        <v>163</v>
      </c>
      <c r="N50">
        <v>46.7</v>
      </c>
      <c r="O50" t="s">
        <v>256</v>
      </c>
      <c r="P50" t="s">
        <v>226</v>
      </c>
      <c r="R50" t="s">
        <v>128</v>
      </c>
      <c r="S50">
        <v>164.48000000000008</v>
      </c>
      <c r="T50">
        <v>0.68024763290691492</v>
      </c>
      <c r="U50">
        <v>20</v>
      </c>
    </row>
    <row r="51" spans="1:21" x14ac:dyDescent="0.2">
      <c r="A51" t="s">
        <v>29</v>
      </c>
      <c r="B51" t="s">
        <v>18</v>
      </c>
      <c r="C51">
        <f t="shared" si="3"/>
        <v>130</v>
      </c>
      <c r="D51">
        <f t="shared" si="4"/>
        <v>132.24499999999998</v>
      </c>
      <c r="E51" s="23">
        <v>264.48999999999995</v>
      </c>
      <c r="F51" s="23">
        <v>2.9588226677169751</v>
      </c>
      <c r="G51">
        <v>20</v>
      </c>
      <c r="H51" s="23">
        <f t="shared" si="5"/>
        <v>1.3232257236764857</v>
      </c>
      <c r="K51">
        <v>2012</v>
      </c>
      <c r="L51" t="s">
        <v>223</v>
      </c>
      <c r="M51" t="s">
        <v>163</v>
      </c>
      <c r="N51">
        <v>64.2</v>
      </c>
      <c r="O51" t="s">
        <v>257</v>
      </c>
      <c r="P51" t="s">
        <v>225</v>
      </c>
      <c r="R51" t="s">
        <v>130</v>
      </c>
      <c r="S51">
        <v>159.59999999999997</v>
      </c>
      <c r="T51">
        <v>0.77595442080327393</v>
      </c>
      <c r="U51">
        <v>20</v>
      </c>
    </row>
    <row r="52" spans="1:21" x14ac:dyDescent="0.2">
      <c r="A52" t="s">
        <v>31</v>
      </c>
      <c r="B52" t="s">
        <v>119</v>
      </c>
      <c r="C52">
        <f t="shared" si="3"/>
        <v>100</v>
      </c>
      <c r="D52">
        <f t="shared" si="4"/>
        <v>97.159999999999954</v>
      </c>
      <c r="E52" s="23">
        <v>194.31999999999991</v>
      </c>
      <c r="F52" s="23">
        <v>1.1723121553163462</v>
      </c>
      <c r="G52">
        <v>20</v>
      </c>
      <c r="H52" s="23">
        <f t="shared" si="5"/>
        <v>0.52427393402732836</v>
      </c>
      <c r="K52">
        <v>2012</v>
      </c>
      <c r="L52" t="s">
        <v>223</v>
      </c>
      <c r="M52" t="s">
        <v>163</v>
      </c>
      <c r="N52">
        <v>64.2</v>
      </c>
      <c r="O52" t="s">
        <v>257</v>
      </c>
      <c r="P52" t="s">
        <v>226</v>
      </c>
      <c r="R52" t="s">
        <v>127</v>
      </c>
      <c r="S52">
        <v>170.84000000000006</v>
      </c>
      <c r="T52">
        <v>1.2873473338136032</v>
      </c>
      <c r="U52">
        <v>20</v>
      </c>
    </row>
    <row r="53" spans="1:21" x14ac:dyDescent="0.2">
      <c r="A53" t="s">
        <v>195</v>
      </c>
      <c r="K53">
        <v>2008</v>
      </c>
      <c r="L53" t="s">
        <v>235</v>
      </c>
      <c r="M53" t="s">
        <v>163</v>
      </c>
      <c r="N53">
        <v>62.2</v>
      </c>
      <c r="O53" t="s">
        <v>259</v>
      </c>
      <c r="P53" t="s">
        <v>225</v>
      </c>
      <c r="R53" t="s">
        <v>131</v>
      </c>
      <c r="S53">
        <v>264.48999999999995</v>
      </c>
      <c r="T53">
        <v>2.9588226677169751</v>
      </c>
      <c r="U53">
        <v>20</v>
      </c>
    </row>
    <row r="54" spans="1:21" x14ac:dyDescent="0.2">
      <c r="A54" t="s">
        <v>194</v>
      </c>
      <c r="K54">
        <v>2008</v>
      </c>
      <c r="L54" t="s">
        <v>235</v>
      </c>
      <c r="M54" t="s">
        <v>163</v>
      </c>
      <c r="N54">
        <v>62.2</v>
      </c>
      <c r="O54" t="s">
        <v>259</v>
      </c>
      <c r="P54" t="s">
        <v>226</v>
      </c>
      <c r="R54" t="s">
        <v>132</v>
      </c>
      <c r="S54">
        <v>194.31999999999991</v>
      </c>
      <c r="T54">
        <v>1.1723121553163462</v>
      </c>
      <c r="U54">
        <v>20</v>
      </c>
    </row>
    <row r="55" spans="1:21" x14ac:dyDescent="0.2">
      <c r="A55" t="s">
        <v>200</v>
      </c>
      <c r="B55" t="s">
        <v>119</v>
      </c>
      <c r="C55">
        <f t="shared" ref="C55:C87" si="6">ROUND(D55,-1)</f>
        <v>30</v>
      </c>
      <c r="D55">
        <f t="shared" ref="D55:D87" si="7">E55/2</f>
        <v>33.725000000000001</v>
      </c>
      <c r="E55" s="23">
        <v>67.45</v>
      </c>
      <c r="F55" s="23">
        <v>0.79486991502798388</v>
      </c>
      <c r="G55">
        <v>12</v>
      </c>
      <c r="H55" s="23">
        <f t="shared" ref="H55:H87" si="8">2*(F55/SQRT(G55))</f>
        <v>0.45891835941214149</v>
      </c>
      <c r="K55">
        <v>2009</v>
      </c>
      <c r="L55" t="s">
        <v>235</v>
      </c>
      <c r="M55" t="s">
        <v>163</v>
      </c>
      <c r="N55">
        <v>63.2</v>
      </c>
      <c r="O55" t="s">
        <v>260</v>
      </c>
      <c r="P55" t="s">
        <v>225</v>
      </c>
      <c r="R55" t="s">
        <v>210</v>
      </c>
      <c r="S55">
        <v>67.45</v>
      </c>
      <c r="T55">
        <v>0.79486991502798388</v>
      </c>
      <c r="U55">
        <v>12</v>
      </c>
    </row>
    <row r="56" spans="1:21" x14ac:dyDescent="0.2">
      <c r="A56" t="s">
        <v>1014</v>
      </c>
      <c r="B56" t="s">
        <v>119</v>
      </c>
      <c r="C56">
        <f t="shared" si="6"/>
        <v>60</v>
      </c>
      <c r="D56">
        <f t="shared" si="7"/>
        <v>60.5625</v>
      </c>
      <c r="E56" s="23">
        <v>121.125</v>
      </c>
      <c r="F56" s="23">
        <v>0.50920105487522993</v>
      </c>
      <c r="G56">
        <v>8</v>
      </c>
      <c r="H56" s="23">
        <f t="shared" si="8"/>
        <v>0.36005951888961835</v>
      </c>
      <c r="K56">
        <v>2009</v>
      </c>
      <c r="L56" t="s">
        <v>235</v>
      </c>
      <c r="M56" t="s">
        <v>163</v>
      </c>
      <c r="N56">
        <v>63.2</v>
      </c>
      <c r="O56" t="s">
        <v>260</v>
      </c>
      <c r="P56" t="s">
        <v>226</v>
      </c>
      <c r="R56" t="s">
        <v>258</v>
      </c>
      <c r="S56">
        <v>121.125</v>
      </c>
      <c r="T56">
        <v>0.50920105487522993</v>
      </c>
      <c r="U56">
        <v>8</v>
      </c>
    </row>
    <row r="57" spans="1:21" x14ac:dyDescent="0.2">
      <c r="A57" t="s">
        <v>72</v>
      </c>
      <c r="B57" t="s">
        <v>119</v>
      </c>
      <c r="C57">
        <f t="shared" si="6"/>
        <v>50</v>
      </c>
      <c r="D57">
        <f t="shared" si="7"/>
        <v>53.734999999999992</v>
      </c>
      <c r="E57" s="23">
        <v>107.46999999999998</v>
      </c>
      <c r="F57" s="23">
        <v>1.9531620785960508</v>
      </c>
      <c r="G57">
        <v>20</v>
      </c>
      <c r="H57" s="23">
        <f t="shared" si="8"/>
        <v>0.8734806357631113</v>
      </c>
      <c r="K57">
        <v>2010</v>
      </c>
      <c r="L57" t="s">
        <v>235</v>
      </c>
      <c r="M57" t="s">
        <v>163</v>
      </c>
      <c r="N57">
        <v>63.2</v>
      </c>
      <c r="O57" t="s">
        <v>261</v>
      </c>
      <c r="P57" t="s">
        <v>225</v>
      </c>
      <c r="R57" t="s">
        <v>168</v>
      </c>
      <c r="S57">
        <v>107.46999999999998</v>
      </c>
      <c r="T57">
        <v>1.9531620785960508</v>
      </c>
      <c r="U57">
        <v>20</v>
      </c>
    </row>
    <row r="58" spans="1:21" x14ac:dyDescent="0.2">
      <c r="A58" t="s">
        <v>73</v>
      </c>
      <c r="B58" t="s">
        <v>119</v>
      </c>
      <c r="C58">
        <f t="shared" si="6"/>
        <v>70</v>
      </c>
      <c r="D58">
        <f t="shared" si="7"/>
        <v>68.47999999999999</v>
      </c>
      <c r="E58" s="23">
        <v>136.95999999999998</v>
      </c>
      <c r="F58" s="23">
        <v>7.306118560566957</v>
      </c>
      <c r="G58">
        <v>20</v>
      </c>
      <c r="H58" s="23">
        <f t="shared" si="8"/>
        <v>3.267395550620126</v>
      </c>
      <c r="K58">
        <v>2010</v>
      </c>
      <c r="L58" t="s">
        <v>235</v>
      </c>
      <c r="M58" t="s">
        <v>163</v>
      </c>
      <c r="N58">
        <v>63.2</v>
      </c>
      <c r="O58" t="s">
        <v>261</v>
      </c>
      <c r="P58" t="s">
        <v>226</v>
      </c>
      <c r="R58" t="s">
        <v>167</v>
      </c>
      <c r="S58">
        <v>136.95999999999998</v>
      </c>
      <c r="T58">
        <v>7.306118560566957</v>
      </c>
      <c r="U58">
        <v>20</v>
      </c>
    </row>
    <row r="59" spans="1:21" x14ac:dyDescent="0.2">
      <c r="A59" t="s">
        <v>74</v>
      </c>
      <c r="B59" t="s">
        <v>18</v>
      </c>
      <c r="C59">
        <f t="shared" si="6"/>
        <v>70</v>
      </c>
      <c r="D59">
        <f t="shared" si="7"/>
        <v>70.34999999999998</v>
      </c>
      <c r="E59" s="23">
        <v>140.69999999999996</v>
      </c>
      <c r="F59" s="23">
        <v>1.6026294183766514</v>
      </c>
      <c r="G59">
        <v>20</v>
      </c>
      <c r="H59" s="23">
        <f t="shared" si="8"/>
        <v>0.71671766444622864</v>
      </c>
      <c r="K59">
        <v>2011</v>
      </c>
      <c r="L59" t="s">
        <v>235</v>
      </c>
      <c r="M59" t="s">
        <v>163</v>
      </c>
      <c r="N59">
        <v>64.2</v>
      </c>
      <c r="O59" t="s">
        <v>262</v>
      </c>
      <c r="P59" t="s">
        <v>225</v>
      </c>
      <c r="R59" t="s">
        <v>169</v>
      </c>
      <c r="S59">
        <v>140.69999999999996</v>
      </c>
      <c r="T59">
        <v>1.6026294183766514</v>
      </c>
      <c r="U59">
        <v>20</v>
      </c>
    </row>
    <row r="60" spans="1:21" x14ac:dyDescent="0.2">
      <c r="A60" t="s">
        <v>75</v>
      </c>
      <c r="B60" t="s">
        <v>119</v>
      </c>
      <c r="C60">
        <f t="shared" si="6"/>
        <v>70</v>
      </c>
      <c r="D60">
        <f t="shared" si="7"/>
        <v>65.875</v>
      </c>
      <c r="E60" s="23">
        <v>131.75</v>
      </c>
      <c r="F60" s="23">
        <v>1.8975052874219489</v>
      </c>
      <c r="G60">
        <v>20</v>
      </c>
      <c r="H60" s="23">
        <f t="shared" si="8"/>
        <v>0.84859016206815086</v>
      </c>
      <c r="K60">
        <v>2011</v>
      </c>
      <c r="L60" t="s">
        <v>235</v>
      </c>
      <c r="M60" t="s">
        <v>163</v>
      </c>
      <c r="N60">
        <v>64.2</v>
      </c>
      <c r="O60" t="s">
        <v>262</v>
      </c>
      <c r="P60" t="s">
        <v>226</v>
      </c>
      <c r="R60" t="s">
        <v>170</v>
      </c>
      <c r="S60">
        <v>131.75</v>
      </c>
      <c r="T60">
        <v>1.8975052874219489</v>
      </c>
      <c r="U60">
        <v>20</v>
      </c>
    </row>
    <row r="61" spans="1:21" x14ac:dyDescent="0.2">
      <c r="A61" t="s">
        <v>68</v>
      </c>
      <c r="B61" t="s">
        <v>119</v>
      </c>
      <c r="C61">
        <f t="shared" si="6"/>
        <v>20</v>
      </c>
      <c r="D61">
        <f t="shared" si="7"/>
        <v>24.655000000000008</v>
      </c>
      <c r="E61" s="23">
        <v>49.310000000000016</v>
      </c>
      <c r="F61" s="23">
        <v>0.52002024251982537</v>
      </c>
      <c r="G61">
        <v>20</v>
      </c>
      <c r="H61" s="23">
        <f t="shared" si="8"/>
        <v>0.23256012239005119</v>
      </c>
      <c r="K61">
        <v>2012</v>
      </c>
      <c r="L61" t="s">
        <v>235</v>
      </c>
      <c r="M61" t="s">
        <v>163</v>
      </c>
      <c r="N61">
        <v>62.2</v>
      </c>
      <c r="O61" t="s">
        <v>263</v>
      </c>
      <c r="P61" t="s">
        <v>225</v>
      </c>
      <c r="R61" t="s">
        <v>171</v>
      </c>
      <c r="S61">
        <v>49.310000000000016</v>
      </c>
      <c r="T61">
        <v>0.52002024251982537</v>
      </c>
      <c r="U61">
        <v>20</v>
      </c>
    </row>
    <row r="62" spans="1:21" x14ac:dyDescent="0.2">
      <c r="A62" t="s">
        <v>69</v>
      </c>
      <c r="B62" t="s">
        <v>18</v>
      </c>
      <c r="C62">
        <f t="shared" si="6"/>
        <v>100</v>
      </c>
      <c r="D62">
        <f t="shared" si="7"/>
        <v>98.199999999999974</v>
      </c>
      <c r="E62" s="23">
        <v>196.39999999999995</v>
      </c>
      <c r="F62" s="23">
        <v>1.1964860832388948</v>
      </c>
      <c r="G62">
        <v>20</v>
      </c>
      <c r="H62" s="23">
        <f t="shared" si="8"/>
        <v>0.53508484325092809</v>
      </c>
      <c r="K62">
        <v>2012</v>
      </c>
      <c r="L62" t="s">
        <v>235</v>
      </c>
      <c r="M62" t="s">
        <v>163</v>
      </c>
      <c r="N62">
        <v>62.2</v>
      </c>
      <c r="O62" t="s">
        <v>263</v>
      </c>
      <c r="P62" t="s">
        <v>226</v>
      </c>
      <c r="R62" t="s">
        <v>174</v>
      </c>
      <c r="S62">
        <v>196.39999999999995</v>
      </c>
      <c r="T62">
        <v>1.1964860832388948</v>
      </c>
      <c r="U62">
        <v>20</v>
      </c>
    </row>
    <row r="63" spans="1:21" x14ac:dyDescent="0.2">
      <c r="A63" t="s">
        <v>70</v>
      </c>
      <c r="B63" t="s">
        <v>119</v>
      </c>
      <c r="C63">
        <f t="shared" si="6"/>
        <v>80</v>
      </c>
      <c r="D63">
        <f t="shared" si="7"/>
        <v>77.614999999999966</v>
      </c>
      <c r="E63" s="23">
        <v>155.22999999999993</v>
      </c>
      <c r="F63" s="23">
        <v>1.5848293947766827</v>
      </c>
      <c r="G63">
        <v>20</v>
      </c>
      <c r="H63" s="23">
        <f t="shared" si="8"/>
        <v>0.70875725189210248</v>
      </c>
      <c r="K63">
        <v>2008</v>
      </c>
      <c r="L63" t="s">
        <v>223</v>
      </c>
      <c r="M63" t="s">
        <v>162</v>
      </c>
      <c r="N63">
        <v>21.6</v>
      </c>
      <c r="O63" t="s">
        <v>265</v>
      </c>
      <c r="P63" t="s">
        <v>225</v>
      </c>
      <c r="R63" t="s">
        <v>173</v>
      </c>
      <c r="S63">
        <v>155.22999999999993</v>
      </c>
      <c r="T63">
        <v>1.5848293947766827</v>
      </c>
      <c r="U63">
        <v>20</v>
      </c>
    </row>
    <row r="64" spans="1:21" x14ac:dyDescent="0.2">
      <c r="A64" t="s">
        <v>71</v>
      </c>
      <c r="B64" t="s">
        <v>119</v>
      </c>
      <c r="C64">
        <f t="shared" si="6"/>
        <v>40</v>
      </c>
      <c r="D64">
        <f t="shared" si="7"/>
        <v>44.214999999999996</v>
      </c>
      <c r="E64" s="23">
        <v>88.429999999999993</v>
      </c>
      <c r="F64" s="23">
        <v>1.0761040841853564</v>
      </c>
      <c r="G64">
        <v>20</v>
      </c>
      <c r="H64" s="23">
        <f t="shared" si="8"/>
        <v>0.48124837662072262</v>
      </c>
      <c r="K64">
        <v>2008</v>
      </c>
      <c r="L64" t="s">
        <v>223</v>
      </c>
      <c r="M64" t="s">
        <v>162</v>
      </c>
      <c r="N64">
        <v>21.6</v>
      </c>
      <c r="O64" t="s">
        <v>265</v>
      </c>
      <c r="P64" t="s">
        <v>226</v>
      </c>
      <c r="R64" t="s">
        <v>172</v>
      </c>
      <c r="S64">
        <v>88.429999999999993</v>
      </c>
      <c r="T64">
        <v>1.0761040841853564</v>
      </c>
      <c r="U64">
        <v>20</v>
      </c>
    </row>
    <row r="65" spans="1:21" x14ac:dyDescent="0.2">
      <c r="A65" t="s">
        <v>203</v>
      </c>
      <c r="B65" t="s">
        <v>119</v>
      </c>
      <c r="C65">
        <f t="shared" si="6"/>
        <v>20</v>
      </c>
      <c r="D65">
        <f t="shared" si="7"/>
        <v>21.008333333333333</v>
      </c>
      <c r="E65" s="23">
        <v>42.016666666666666</v>
      </c>
      <c r="F65" s="23">
        <v>9.1417954605440848</v>
      </c>
      <c r="G65">
        <v>12</v>
      </c>
      <c r="H65" s="23">
        <f t="shared" si="8"/>
        <v>5.2780180700216262</v>
      </c>
      <c r="K65">
        <v>2009</v>
      </c>
      <c r="L65" t="s">
        <v>223</v>
      </c>
      <c r="M65" t="s">
        <v>162</v>
      </c>
      <c r="N65">
        <v>24.5</v>
      </c>
      <c r="O65" t="s">
        <v>266</v>
      </c>
      <c r="P65" t="s">
        <v>225</v>
      </c>
      <c r="R65" t="s">
        <v>267</v>
      </c>
      <c r="S65">
        <v>42.016666666666666</v>
      </c>
      <c r="T65">
        <v>9.1417954605440848</v>
      </c>
      <c r="U65">
        <v>12</v>
      </c>
    </row>
    <row r="66" spans="1:21" x14ac:dyDescent="0.2">
      <c r="A66" t="s">
        <v>1015</v>
      </c>
      <c r="B66" t="s">
        <v>119</v>
      </c>
      <c r="C66">
        <f t="shared" si="6"/>
        <v>40</v>
      </c>
      <c r="D66">
        <f t="shared" si="7"/>
        <v>41.783333333333331</v>
      </c>
      <c r="E66" s="23">
        <v>83.566666666666663</v>
      </c>
      <c r="F66" s="23">
        <v>0.72295689129323204</v>
      </c>
      <c r="G66">
        <v>6</v>
      </c>
      <c r="H66" s="23">
        <f t="shared" si="8"/>
        <v>0.5902918298990617</v>
      </c>
      <c r="K66">
        <v>2009</v>
      </c>
      <c r="L66" t="s">
        <v>223</v>
      </c>
      <c r="M66" t="s">
        <v>162</v>
      </c>
      <c r="N66">
        <v>24.5</v>
      </c>
      <c r="O66" t="s">
        <v>266</v>
      </c>
      <c r="P66" t="s">
        <v>226</v>
      </c>
      <c r="R66" t="s">
        <v>264</v>
      </c>
      <c r="S66">
        <v>83.566666666666663</v>
      </c>
      <c r="T66">
        <v>0.72295689129323204</v>
      </c>
      <c r="U66">
        <v>6</v>
      </c>
    </row>
    <row r="67" spans="1:21" x14ac:dyDescent="0.2">
      <c r="A67" t="s">
        <v>76</v>
      </c>
      <c r="B67" t="s">
        <v>17</v>
      </c>
      <c r="C67">
        <f t="shared" si="6"/>
        <v>50</v>
      </c>
      <c r="D67">
        <f t="shared" si="7"/>
        <v>47.754999999999988</v>
      </c>
      <c r="E67" s="23">
        <v>95.509999999999977</v>
      </c>
      <c r="F67" s="23">
        <v>0.61293083665955195</v>
      </c>
      <c r="G67">
        <v>20</v>
      </c>
      <c r="H67" s="23">
        <f t="shared" si="8"/>
        <v>0.27411100325531562</v>
      </c>
      <c r="K67">
        <v>2010</v>
      </c>
      <c r="L67" t="s">
        <v>223</v>
      </c>
      <c r="M67" t="s">
        <v>162</v>
      </c>
      <c r="N67">
        <v>21.2</v>
      </c>
      <c r="O67" t="s">
        <v>268</v>
      </c>
      <c r="P67" t="s">
        <v>225</v>
      </c>
      <c r="R67" t="s">
        <v>176</v>
      </c>
      <c r="S67">
        <v>95.509999999999977</v>
      </c>
      <c r="T67">
        <v>0.61293083665955195</v>
      </c>
      <c r="U67">
        <v>20</v>
      </c>
    </row>
    <row r="68" spans="1:21" x14ac:dyDescent="0.2">
      <c r="A68" t="s">
        <v>77</v>
      </c>
      <c r="B68" t="s">
        <v>119</v>
      </c>
      <c r="C68">
        <f t="shared" si="6"/>
        <v>80</v>
      </c>
      <c r="D68">
        <f t="shared" si="7"/>
        <v>76.919999999999987</v>
      </c>
      <c r="E68" s="23">
        <v>153.83999999999997</v>
      </c>
      <c r="F68" s="23">
        <v>0.81071768076663309</v>
      </c>
      <c r="G68">
        <v>20</v>
      </c>
      <c r="H68" s="23">
        <f t="shared" si="8"/>
        <v>0.36256396895103304</v>
      </c>
      <c r="K68">
        <v>2010</v>
      </c>
      <c r="L68" t="s">
        <v>223</v>
      </c>
      <c r="M68" t="s">
        <v>162</v>
      </c>
      <c r="N68">
        <v>21.2</v>
      </c>
      <c r="O68" t="s">
        <v>268</v>
      </c>
      <c r="P68" t="s">
        <v>226</v>
      </c>
      <c r="R68" t="s">
        <v>177</v>
      </c>
      <c r="S68">
        <v>153.83999999999997</v>
      </c>
      <c r="T68">
        <v>0.81071768076663309</v>
      </c>
      <c r="U68">
        <v>20</v>
      </c>
    </row>
    <row r="69" spans="1:21" x14ac:dyDescent="0.2">
      <c r="A69" t="s">
        <v>78</v>
      </c>
      <c r="B69" t="s">
        <v>119</v>
      </c>
      <c r="C69">
        <f t="shared" si="6"/>
        <v>70</v>
      </c>
      <c r="D69">
        <f t="shared" si="7"/>
        <v>74.98</v>
      </c>
      <c r="E69" s="23">
        <v>149.96</v>
      </c>
      <c r="F69" s="23">
        <v>2.2115486357789389</v>
      </c>
      <c r="G69">
        <v>20</v>
      </c>
      <c r="H69" s="23">
        <f t="shared" si="8"/>
        <v>0.98903461702972617</v>
      </c>
      <c r="K69">
        <v>2011</v>
      </c>
      <c r="L69" t="s">
        <v>223</v>
      </c>
      <c r="M69" t="s">
        <v>162</v>
      </c>
      <c r="N69">
        <v>20.9</v>
      </c>
      <c r="O69" t="s">
        <v>269</v>
      </c>
      <c r="P69" t="s">
        <v>225</v>
      </c>
      <c r="R69" t="s">
        <v>193</v>
      </c>
      <c r="S69">
        <v>149.96</v>
      </c>
      <c r="T69">
        <v>2.2115486357789389</v>
      </c>
      <c r="U69">
        <v>20</v>
      </c>
    </row>
    <row r="70" spans="1:21" x14ac:dyDescent="0.2">
      <c r="A70" t="s">
        <v>79</v>
      </c>
      <c r="B70" t="s">
        <v>119</v>
      </c>
      <c r="C70">
        <f t="shared" si="6"/>
        <v>70</v>
      </c>
      <c r="D70">
        <f t="shared" si="7"/>
        <v>72.795000000000016</v>
      </c>
      <c r="E70" s="23">
        <v>145.59000000000003</v>
      </c>
      <c r="F70" s="23">
        <v>2.5262620608300645</v>
      </c>
      <c r="G70">
        <v>20</v>
      </c>
      <c r="H70" s="23">
        <f t="shared" si="8"/>
        <v>1.1297787393989465</v>
      </c>
      <c r="K70">
        <v>2011</v>
      </c>
      <c r="L70" t="s">
        <v>223</v>
      </c>
      <c r="M70" t="s">
        <v>162</v>
      </c>
      <c r="N70">
        <v>20.9</v>
      </c>
      <c r="O70" t="s">
        <v>269</v>
      </c>
      <c r="P70" t="s">
        <v>226</v>
      </c>
      <c r="R70" t="s">
        <v>178</v>
      </c>
      <c r="S70">
        <v>145.59000000000003</v>
      </c>
      <c r="T70">
        <v>2.5262620608300645</v>
      </c>
      <c r="U70">
        <v>20</v>
      </c>
    </row>
    <row r="71" spans="1:21" x14ac:dyDescent="0.2">
      <c r="A71" t="s">
        <v>80</v>
      </c>
      <c r="B71" t="s">
        <v>119</v>
      </c>
      <c r="C71">
        <f t="shared" si="6"/>
        <v>80</v>
      </c>
      <c r="D71">
        <f t="shared" si="7"/>
        <v>84.489999999999981</v>
      </c>
      <c r="E71" s="23">
        <v>168.97999999999996</v>
      </c>
      <c r="F71" s="23">
        <v>8.6841416265215621</v>
      </c>
      <c r="G71">
        <v>20</v>
      </c>
      <c r="H71" s="23">
        <f t="shared" si="8"/>
        <v>3.8836662006275606</v>
      </c>
      <c r="K71">
        <v>2012</v>
      </c>
      <c r="L71" t="s">
        <v>223</v>
      </c>
      <c r="M71" t="s">
        <v>162</v>
      </c>
      <c r="N71">
        <v>21.4</v>
      </c>
      <c r="O71" t="s">
        <v>270</v>
      </c>
      <c r="P71" t="s">
        <v>225</v>
      </c>
      <c r="R71" t="s">
        <v>192</v>
      </c>
      <c r="S71">
        <v>168.97999999999996</v>
      </c>
      <c r="T71">
        <v>8.6841416265215621</v>
      </c>
      <c r="U71">
        <v>20</v>
      </c>
    </row>
    <row r="72" spans="1:21" x14ac:dyDescent="0.2">
      <c r="A72" t="s">
        <v>81</v>
      </c>
      <c r="B72" t="s">
        <v>119</v>
      </c>
      <c r="C72">
        <f t="shared" si="6"/>
        <v>80</v>
      </c>
      <c r="D72">
        <f t="shared" si="7"/>
        <v>84.16500000000002</v>
      </c>
      <c r="E72" s="23">
        <v>168.33000000000004</v>
      </c>
      <c r="F72" s="23">
        <v>1.7417776763059318</v>
      </c>
      <c r="G72">
        <v>20</v>
      </c>
      <c r="H72" s="23">
        <f t="shared" si="8"/>
        <v>0.77894665718233769</v>
      </c>
      <c r="K72">
        <v>2012</v>
      </c>
      <c r="L72" t="s">
        <v>223</v>
      </c>
      <c r="M72" t="s">
        <v>162</v>
      </c>
      <c r="N72">
        <v>21.4</v>
      </c>
      <c r="O72" t="s">
        <v>270</v>
      </c>
      <c r="P72" t="s">
        <v>226</v>
      </c>
      <c r="R72" t="s">
        <v>180</v>
      </c>
      <c r="S72">
        <v>168.33000000000004</v>
      </c>
      <c r="T72">
        <v>1.7417776763059318</v>
      </c>
      <c r="U72">
        <v>20</v>
      </c>
    </row>
    <row r="73" spans="1:21" x14ac:dyDescent="0.2">
      <c r="A73" t="s">
        <v>82</v>
      </c>
      <c r="B73" t="s">
        <v>119</v>
      </c>
      <c r="C73">
        <f t="shared" si="6"/>
        <v>100</v>
      </c>
      <c r="D73">
        <f t="shared" si="7"/>
        <v>100.66500000000003</v>
      </c>
      <c r="E73" s="23">
        <v>201.33000000000007</v>
      </c>
      <c r="F73" s="23">
        <v>1.5231891750961379</v>
      </c>
      <c r="G73">
        <v>20</v>
      </c>
      <c r="H73" s="23">
        <f t="shared" si="8"/>
        <v>0.68119090762135881</v>
      </c>
      <c r="K73">
        <v>2008</v>
      </c>
      <c r="L73" t="s">
        <v>235</v>
      </c>
      <c r="M73" t="s">
        <v>162</v>
      </c>
      <c r="N73">
        <v>20.7</v>
      </c>
      <c r="O73" t="s">
        <v>271</v>
      </c>
      <c r="P73" t="s">
        <v>225</v>
      </c>
      <c r="R73" t="s">
        <v>179</v>
      </c>
      <c r="S73">
        <v>201.33000000000007</v>
      </c>
      <c r="T73">
        <v>1.5231891750961379</v>
      </c>
      <c r="U73">
        <v>20</v>
      </c>
    </row>
    <row r="74" spans="1:21" x14ac:dyDescent="0.2">
      <c r="A74" t="s">
        <v>83</v>
      </c>
      <c r="B74" t="s">
        <v>18</v>
      </c>
      <c r="C74">
        <f t="shared" si="6"/>
        <v>150</v>
      </c>
      <c r="D74">
        <f t="shared" si="7"/>
        <v>148.57999999999998</v>
      </c>
      <c r="E74" s="23">
        <v>297.15999999999997</v>
      </c>
      <c r="F74" s="23">
        <v>2.2319215228643534</v>
      </c>
      <c r="G74">
        <v>20</v>
      </c>
      <c r="H74" s="23">
        <f t="shared" si="8"/>
        <v>0.99814564911390902</v>
      </c>
      <c r="K74">
        <v>2008</v>
      </c>
      <c r="L74" t="s">
        <v>235</v>
      </c>
      <c r="M74" t="s">
        <v>162</v>
      </c>
      <c r="N74">
        <v>20.7</v>
      </c>
      <c r="O74" t="s">
        <v>271</v>
      </c>
      <c r="P74" t="s">
        <v>226</v>
      </c>
      <c r="R74" t="s">
        <v>175</v>
      </c>
      <c r="S74">
        <v>297.15999999999997</v>
      </c>
      <c r="T74">
        <v>2.2319215228643534</v>
      </c>
      <c r="U74">
        <v>20</v>
      </c>
    </row>
    <row r="75" spans="1:21" x14ac:dyDescent="0.2">
      <c r="A75" t="s">
        <v>84</v>
      </c>
      <c r="B75" t="s">
        <v>119</v>
      </c>
      <c r="C75">
        <f t="shared" si="6"/>
        <v>120</v>
      </c>
      <c r="D75">
        <f t="shared" si="7"/>
        <v>118.87000000000003</v>
      </c>
      <c r="E75" s="23">
        <v>237.74000000000007</v>
      </c>
      <c r="F75" s="23">
        <v>1.6455362267820941</v>
      </c>
      <c r="G75">
        <v>20</v>
      </c>
      <c r="H75" s="23">
        <f t="shared" si="8"/>
        <v>0.7359061725046544</v>
      </c>
      <c r="K75">
        <v>2009</v>
      </c>
      <c r="L75" t="s">
        <v>235</v>
      </c>
      <c r="M75" t="s">
        <v>162</v>
      </c>
      <c r="N75">
        <v>21</v>
      </c>
      <c r="O75" t="s">
        <v>272</v>
      </c>
      <c r="P75" t="s">
        <v>225</v>
      </c>
      <c r="R75" t="s">
        <v>181</v>
      </c>
      <c r="S75">
        <v>237.74000000000007</v>
      </c>
      <c r="T75">
        <v>1.6455362267820941</v>
      </c>
      <c r="U75">
        <v>20</v>
      </c>
    </row>
    <row r="76" spans="1:21" x14ac:dyDescent="0.2">
      <c r="A76" t="s">
        <v>85</v>
      </c>
      <c r="B76" t="s">
        <v>119</v>
      </c>
      <c r="C76">
        <f t="shared" si="6"/>
        <v>80</v>
      </c>
      <c r="D76">
        <f t="shared" si="7"/>
        <v>77.074999999999974</v>
      </c>
      <c r="E76" s="23">
        <v>154.14999999999995</v>
      </c>
      <c r="F76" s="23">
        <v>2.2628579972688718</v>
      </c>
      <c r="G76">
        <v>20</v>
      </c>
      <c r="H76" s="23">
        <f t="shared" si="8"/>
        <v>1.0119808610644461</v>
      </c>
      <c r="K76">
        <v>2009</v>
      </c>
      <c r="L76" t="s">
        <v>235</v>
      </c>
      <c r="M76" t="s">
        <v>162</v>
      </c>
      <c r="N76">
        <v>21</v>
      </c>
      <c r="O76" t="s">
        <v>272</v>
      </c>
      <c r="P76" t="s">
        <v>226</v>
      </c>
      <c r="R76" t="s">
        <v>191</v>
      </c>
      <c r="S76">
        <v>154.14999999999995</v>
      </c>
      <c r="T76">
        <v>2.2628579972688718</v>
      </c>
      <c r="U76">
        <v>20</v>
      </c>
    </row>
    <row r="77" spans="1:21" x14ac:dyDescent="0.2">
      <c r="A77" t="s">
        <v>86</v>
      </c>
      <c r="B77" t="s">
        <v>119</v>
      </c>
      <c r="C77">
        <f t="shared" si="6"/>
        <v>110</v>
      </c>
      <c r="D77">
        <f t="shared" si="7"/>
        <v>113.88</v>
      </c>
      <c r="E77" s="23">
        <v>227.76</v>
      </c>
      <c r="F77" s="23">
        <v>1.8071204194895318</v>
      </c>
      <c r="G77">
        <v>20</v>
      </c>
      <c r="H77" s="23">
        <f t="shared" si="8"/>
        <v>0.80816882030130577</v>
      </c>
      <c r="K77">
        <v>2010</v>
      </c>
      <c r="L77" t="s">
        <v>235</v>
      </c>
      <c r="M77" t="s">
        <v>162</v>
      </c>
      <c r="N77">
        <v>20.7</v>
      </c>
      <c r="O77" t="s">
        <v>273</v>
      </c>
      <c r="P77" t="s">
        <v>225</v>
      </c>
      <c r="R77" t="s">
        <v>182</v>
      </c>
      <c r="S77">
        <v>227.76</v>
      </c>
      <c r="T77">
        <v>1.8071204194895318</v>
      </c>
      <c r="U77">
        <v>20</v>
      </c>
    </row>
    <row r="78" spans="1:21" x14ac:dyDescent="0.2">
      <c r="A78" t="s">
        <v>87</v>
      </c>
      <c r="B78" t="s">
        <v>119</v>
      </c>
      <c r="C78">
        <f t="shared" si="6"/>
        <v>120</v>
      </c>
      <c r="D78">
        <f t="shared" si="7"/>
        <v>118.07000000000001</v>
      </c>
      <c r="E78" s="23">
        <v>236.14000000000001</v>
      </c>
      <c r="F78" s="23">
        <v>2.6322693831090418</v>
      </c>
      <c r="G78">
        <v>20</v>
      </c>
      <c r="H78" s="23">
        <f t="shared" si="8"/>
        <v>1.1771866551446508</v>
      </c>
      <c r="K78">
        <v>2010</v>
      </c>
      <c r="L78" t="s">
        <v>235</v>
      </c>
      <c r="M78" t="s">
        <v>162</v>
      </c>
      <c r="N78">
        <v>20.7</v>
      </c>
      <c r="O78" t="s">
        <v>273</v>
      </c>
      <c r="P78" t="s">
        <v>226</v>
      </c>
      <c r="R78" t="s">
        <v>190</v>
      </c>
      <c r="S78">
        <v>236.14000000000001</v>
      </c>
      <c r="T78">
        <v>2.6322693831090418</v>
      </c>
      <c r="U78">
        <v>20</v>
      </c>
    </row>
    <row r="79" spans="1:21" x14ac:dyDescent="0.2">
      <c r="A79" t="s">
        <v>88</v>
      </c>
      <c r="B79" t="s">
        <v>119</v>
      </c>
      <c r="C79">
        <f t="shared" si="6"/>
        <v>80</v>
      </c>
      <c r="D79">
        <f t="shared" si="7"/>
        <v>78.200000000000017</v>
      </c>
      <c r="E79" s="23">
        <v>156.40000000000003</v>
      </c>
      <c r="F79" s="23">
        <v>25.751402618927067</v>
      </c>
      <c r="G79">
        <v>20</v>
      </c>
      <c r="H79" s="23">
        <f t="shared" si="8"/>
        <v>11.516377354377406</v>
      </c>
      <c r="K79">
        <v>2011</v>
      </c>
      <c r="L79" t="s">
        <v>235</v>
      </c>
      <c r="M79" t="s">
        <v>162</v>
      </c>
      <c r="N79">
        <v>21</v>
      </c>
      <c r="O79" t="s">
        <v>274</v>
      </c>
      <c r="P79" t="s">
        <v>225</v>
      </c>
      <c r="R79" t="s">
        <v>183</v>
      </c>
      <c r="S79">
        <v>156.40000000000003</v>
      </c>
      <c r="T79">
        <v>25.751402618927067</v>
      </c>
      <c r="U79">
        <v>20</v>
      </c>
    </row>
    <row r="80" spans="1:21" x14ac:dyDescent="0.2">
      <c r="A80" t="s">
        <v>89</v>
      </c>
      <c r="B80" t="s">
        <v>119</v>
      </c>
      <c r="C80">
        <f t="shared" si="6"/>
        <v>120</v>
      </c>
      <c r="D80">
        <f t="shared" si="7"/>
        <v>118.9</v>
      </c>
      <c r="E80" s="23">
        <v>237.8</v>
      </c>
      <c r="F80" s="23">
        <v>2.4520667974072152</v>
      </c>
      <c r="G80">
        <v>20</v>
      </c>
      <c r="H80" s="23">
        <f t="shared" si="8"/>
        <v>1.0965976088745477</v>
      </c>
      <c r="K80">
        <v>2011</v>
      </c>
      <c r="L80" t="s">
        <v>235</v>
      </c>
      <c r="M80" t="s">
        <v>162</v>
      </c>
      <c r="N80">
        <v>21</v>
      </c>
      <c r="O80" t="s">
        <v>274</v>
      </c>
      <c r="P80" t="s">
        <v>226</v>
      </c>
      <c r="R80" t="s">
        <v>189</v>
      </c>
      <c r="S80">
        <v>237.8</v>
      </c>
      <c r="T80">
        <v>2.4520667974072152</v>
      </c>
      <c r="U80">
        <v>20</v>
      </c>
    </row>
    <row r="81" spans="1:21" x14ac:dyDescent="0.2">
      <c r="A81" t="s">
        <v>90</v>
      </c>
      <c r="B81" t="s">
        <v>119</v>
      </c>
      <c r="C81">
        <f t="shared" si="6"/>
        <v>120</v>
      </c>
      <c r="D81">
        <f t="shared" si="7"/>
        <v>115.99499999999998</v>
      </c>
      <c r="E81" s="23">
        <v>231.98999999999995</v>
      </c>
      <c r="F81" s="23">
        <v>1.5488195844817865</v>
      </c>
      <c r="G81">
        <v>20</v>
      </c>
      <c r="H81" s="23">
        <f t="shared" si="8"/>
        <v>0.69265317515685054</v>
      </c>
      <c r="K81">
        <v>2012</v>
      </c>
      <c r="L81" t="s">
        <v>235</v>
      </c>
      <c r="M81" t="s">
        <v>162</v>
      </c>
      <c r="N81">
        <v>19.8</v>
      </c>
      <c r="O81" t="s">
        <v>275</v>
      </c>
      <c r="P81" t="s">
        <v>225</v>
      </c>
      <c r="R81" t="s">
        <v>184</v>
      </c>
      <c r="S81">
        <v>231.98999999999995</v>
      </c>
      <c r="T81">
        <v>1.5488195844817865</v>
      </c>
      <c r="U81">
        <v>20</v>
      </c>
    </row>
    <row r="82" spans="1:21" x14ac:dyDescent="0.2">
      <c r="A82" t="s">
        <v>91</v>
      </c>
      <c r="B82" t="s">
        <v>119</v>
      </c>
      <c r="C82">
        <f t="shared" si="6"/>
        <v>90</v>
      </c>
      <c r="D82">
        <f t="shared" si="7"/>
        <v>89.714999999999989</v>
      </c>
      <c r="E82" s="23">
        <v>179.42999999999998</v>
      </c>
      <c r="F82" s="23">
        <v>1.6345287426447435</v>
      </c>
      <c r="G82">
        <v>20</v>
      </c>
      <c r="H82" s="23">
        <f t="shared" si="8"/>
        <v>0.73098347594618107</v>
      </c>
      <c r="K82">
        <v>2012</v>
      </c>
      <c r="L82" t="s">
        <v>235</v>
      </c>
      <c r="M82" t="s">
        <v>162</v>
      </c>
      <c r="N82">
        <v>19.8</v>
      </c>
      <c r="O82" t="s">
        <v>275</v>
      </c>
      <c r="P82" t="s">
        <v>226</v>
      </c>
      <c r="R82" t="s">
        <v>186</v>
      </c>
      <c r="S82">
        <v>179.42999999999998</v>
      </c>
      <c r="T82">
        <v>1.6345287426447435</v>
      </c>
      <c r="U82">
        <v>20</v>
      </c>
    </row>
    <row r="83" spans="1:21" x14ac:dyDescent="0.2">
      <c r="A83" t="s">
        <v>92</v>
      </c>
      <c r="B83" t="s">
        <v>18</v>
      </c>
      <c r="C83">
        <f t="shared" si="6"/>
        <v>100</v>
      </c>
      <c r="D83">
        <f t="shared" si="7"/>
        <v>101.48000000000003</v>
      </c>
      <c r="E83" s="23">
        <v>202.96000000000006</v>
      </c>
      <c r="F83" s="23">
        <v>2.265624115240001</v>
      </c>
      <c r="G83">
        <v>20</v>
      </c>
      <c r="H83" s="23">
        <f t="shared" si="8"/>
        <v>1.0132179066278919</v>
      </c>
      <c r="K83">
        <v>2008</v>
      </c>
      <c r="L83" t="s">
        <v>223</v>
      </c>
      <c r="M83" t="s">
        <v>157</v>
      </c>
      <c r="N83">
        <v>22.8</v>
      </c>
      <c r="O83" t="s">
        <v>276</v>
      </c>
      <c r="P83" t="s">
        <v>225</v>
      </c>
      <c r="R83" t="s">
        <v>188</v>
      </c>
      <c r="S83">
        <v>202.96000000000006</v>
      </c>
      <c r="T83">
        <v>2.265624115240001</v>
      </c>
      <c r="U83">
        <v>20</v>
      </c>
    </row>
    <row r="84" spans="1:21" x14ac:dyDescent="0.2">
      <c r="A84" t="s">
        <v>93</v>
      </c>
      <c r="B84" t="s">
        <v>119</v>
      </c>
      <c r="C84">
        <f t="shared" si="6"/>
        <v>80</v>
      </c>
      <c r="D84">
        <f t="shared" si="7"/>
        <v>77.874999999999972</v>
      </c>
      <c r="E84" s="23">
        <v>155.74999999999994</v>
      </c>
      <c r="F84" s="23">
        <v>0.81078259790237983</v>
      </c>
      <c r="G84">
        <v>20</v>
      </c>
      <c r="H84" s="23">
        <f t="shared" si="8"/>
        <v>0.36259300077671991</v>
      </c>
      <c r="K84">
        <v>2008</v>
      </c>
      <c r="L84" t="s">
        <v>223</v>
      </c>
      <c r="M84" t="s">
        <v>157</v>
      </c>
      <c r="N84">
        <v>22.8</v>
      </c>
      <c r="O84" t="s">
        <v>276</v>
      </c>
      <c r="P84" t="s">
        <v>226</v>
      </c>
      <c r="R84" t="s">
        <v>187</v>
      </c>
      <c r="S84">
        <v>155.74999999999994</v>
      </c>
      <c r="T84">
        <v>0.81078259790237983</v>
      </c>
      <c r="U84">
        <v>20</v>
      </c>
    </row>
    <row r="85" spans="1:21" x14ac:dyDescent="0.2">
      <c r="A85" t="s">
        <v>94</v>
      </c>
      <c r="B85" t="s">
        <v>119</v>
      </c>
      <c r="C85">
        <f t="shared" si="6"/>
        <v>90</v>
      </c>
      <c r="D85">
        <f t="shared" si="7"/>
        <v>93.330000000000013</v>
      </c>
      <c r="E85" s="23">
        <v>186.66000000000003</v>
      </c>
      <c r="F85" s="23">
        <v>0.9213262751339919</v>
      </c>
      <c r="G85">
        <v>20</v>
      </c>
      <c r="H85" s="23">
        <f t="shared" si="8"/>
        <v>0.41202963613125598</v>
      </c>
      <c r="K85">
        <v>2009</v>
      </c>
      <c r="L85" t="s">
        <v>223</v>
      </c>
      <c r="M85" t="s">
        <v>157</v>
      </c>
      <c r="N85">
        <v>22.7</v>
      </c>
      <c r="O85" t="s">
        <v>278</v>
      </c>
      <c r="P85" t="s">
        <v>225</v>
      </c>
      <c r="R85" t="s">
        <v>185</v>
      </c>
      <c r="S85">
        <v>186.66000000000003</v>
      </c>
      <c r="T85">
        <v>0.9213262751339919</v>
      </c>
      <c r="U85">
        <v>20</v>
      </c>
    </row>
    <row r="86" spans="1:21" x14ac:dyDescent="0.2">
      <c r="A86" t="s">
        <v>207</v>
      </c>
      <c r="B86" t="s">
        <v>119</v>
      </c>
      <c r="C86">
        <f t="shared" si="6"/>
        <v>20</v>
      </c>
      <c r="D86">
        <f t="shared" si="7"/>
        <v>15.15</v>
      </c>
      <c r="E86" s="23">
        <v>30.3</v>
      </c>
      <c r="F86" s="23">
        <v>38.58445282753145</v>
      </c>
      <c r="G86">
        <v>12</v>
      </c>
      <c r="H86" s="23">
        <f t="shared" si="8"/>
        <v>22.276744226509702</v>
      </c>
      <c r="K86">
        <v>2009</v>
      </c>
      <c r="L86" t="s">
        <v>223</v>
      </c>
      <c r="M86" t="s">
        <v>157</v>
      </c>
      <c r="N86">
        <v>22.7</v>
      </c>
      <c r="O86" t="s">
        <v>278</v>
      </c>
      <c r="P86" t="s">
        <v>226</v>
      </c>
      <c r="R86" t="s">
        <v>212</v>
      </c>
      <c r="S86">
        <v>30.3</v>
      </c>
      <c r="T86">
        <v>38.58445282753145</v>
      </c>
      <c r="U86">
        <v>12</v>
      </c>
    </row>
    <row r="87" spans="1:21" x14ac:dyDescent="0.2">
      <c r="A87" t="s">
        <v>1016</v>
      </c>
      <c r="B87" t="s">
        <v>119</v>
      </c>
      <c r="C87">
        <f t="shared" si="6"/>
        <v>30</v>
      </c>
      <c r="D87">
        <f t="shared" si="7"/>
        <v>31.475000000000001</v>
      </c>
      <c r="E87" s="23">
        <v>62.95</v>
      </c>
      <c r="F87" s="23">
        <v>31.695110032937254</v>
      </c>
      <c r="G87">
        <v>8</v>
      </c>
      <c r="H87" s="23">
        <f t="shared" si="8"/>
        <v>22.411827234743708</v>
      </c>
      <c r="K87">
        <v>2010</v>
      </c>
      <c r="L87" t="s">
        <v>223</v>
      </c>
      <c r="M87" t="s">
        <v>157</v>
      </c>
      <c r="N87">
        <v>22.5</v>
      </c>
      <c r="O87" t="s">
        <v>279</v>
      </c>
      <c r="P87" t="s">
        <v>225</v>
      </c>
      <c r="R87" t="s">
        <v>277</v>
      </c>
      <c r="S87">
        <v>62.95</v>
      </c>
      <c r="T87">
        <v>31.695110032937254</v>
      </c>
      <c r="U87">
        <v>8</v>
      </c>
    </row>
    <row r="88" spans="1:21" x14ac:dyDescent="0.2">
      <c r="K88">
        <v>2010</v>
      </c>
      <c r="L88" t="s">
        <v>223</v>
      </c>
      <c r="M88" t="s">
        <v>157</v>
      </c>
      <c r="N88">
        <v>22.5</v>
      </c>
      <c r="O88" t="s">
        <v>279</v>
      </c>
      <c r="P88" t="s">
        <v>226</v>
      </c>
      <c r="R88" t="s">
        <v>280</v>
      </c>
      <c r="S88">
        <v>107.29304291287396</v>
      </c>
      <c r="T88">
        <v>72.741780295054099</v>
      </c>
      <c r="U88">
        <v>1538</v>
      </c>
    </row>
    <row r="89" spans="1:21" x14ac:dyDescent="0.2">
      <c r="K89">
        <v>2011</v>
      </c>
      <c r="L89" t="s">
        <v>223</v>
      </c>
      <c r="M89" t="s">
        <v>157</v>
      </c>
      <c r="N89">
        <v>22.9</v>
      </c>
      <c r="O89" t="s">
        <v>281</v>
      </c>
      <c r="P89" t="s">
        <v>225</v>
      </c>
    </row>
    <row r="90" spans="1:21" x14ac:dyDescent="0.2">
      <c r="K90">
        <v>2011</v>
      </c>
      <c r="L90" t="s">
        <v>223</v>
      </c>
      <c r="M90" t="s">
        <v>157</v>
      </c>
      <c r="N90">
        <v>22.9</v>
      </c>
      <c r="O90" t="s">
        <v>281</v>
      </c>
      <c r="P90" t="s">
        <v>226</v>
      </c>
    </row>
    <row r="91" spans="1:21" x14ac:dyDescent="0.2">
      <c r="K91">
        <v>2012</v>
      </c>
      <c r="L91" t="s">
        <v>223</v>
      </c>
      <c r="M91" t="s">
        <v>157</v>
      </c>
      <c r="N91">
        <v>22.6</v>
      </c>
      <c r="O91" t="s">
        <v>282</v>
      </c>
      <c r="P91" t="s">
        <v>225</v>
      </c>
    </row>
    <row r="92" spans="1:21" x14ac:dyDescent="0.2">
      <c r="K92">
        <v>2012</v>
      </c>
      <c r="L92" t="s">
        <v>223</v>
      </c>
      <c r="M92" t="s">
        <v>157</v>
      </c>
      <c r="N92">
        <v>22.6</v>
      </c>
      <c r="O92" t="s">
        <v>282</v>
      </c>
      <c r="P92" t="s">
        <v>226</v>
      </c>
    </row>
    <row r="93" spans="1:21" x14ac:dyDescent="0.2">
      <c r="K93">
        <v>2008</v>
      </c>
      <c r="L93" t="s">
        <v>235</v>
      </c>
      <c r="M93" t="s">
        <v>157</v>
      </c>
      <c r="N93">
        <v>21.6</v>
      </c>
      <c r="O93" t="s">
        <v>283</v>
      </c>
      <c r="P93" t="s">
        <v>225</v>
      </c>
    </row>
    <row r="94" spans="1:21" x14ac:dyDescent="0.2">
      <c r="K94">
        <v>2008</v>
      </c>
      <c r="L94" t="s">
        <v>235</v>
      </c>
      <c r="M94" t="s">
        <v>157</v>
      </c>
      <c r="N94">
        <v>21.6</v>
      </c>
      <c r="O94" t="s">
        <v>283</v>
      </c>
      <c r="P94" t="s">
        <v>226</v>
      </c>
    </row>
    <row r="95" spans="1:21" x14ac:dyDescent="0.2">
      <c r="K95">
        <v>2009</v>
      </c>
      <c r="L95" t="s">
        <v>235</v>
      </c>
      <c r="M95" t="s">
        <v>157</v>
      </c>
      <c r="N95">
        <v>21.9</v>
      </c>
      <c r="O95" t="s">
        <v>284</v>
      </c>
      <c r="P95" t="s">
        <v>225</v>
      </c>
    </row>
    <row r="96" spans="1:21" x14ac:dyDescent="0.2">
      <c r="K96">
        <v>2009</v>
      </c>
      <c r="L96" t="s">
        <v>235</v>
      </c>
      <c r="M96" t="s">
        <v>157</v>
      </c>
      <c r="N96">
        <v>21.9</v>
      </c>
      <c r="O96" t="s">
        <v>284</v>
      </c>
      <c r="P96" t="s">
        <v>226</v>
      </c>
    </row>
    <row r="97" spans="11:16" x14ac:dyDescent="0.2">
      <c r="K97">
        <v>2010</v>
      </c>
      <c r="L97" t="s">
        <v>235</v>
      </c>
      <c r="M97" t="s">
        <v>157</v>
      </c>
      <c r="N97">
        <v>21.7</v>
      </c>
      <c r="O97" t="s">
        <v>285</v>
      </c>
      <c r="P97" t="s">
        <v>225</v>
      </c>
    </row>
    <row r="98" spans="11:16" x14ac:dyDescent="0.2">
      <c r="K98">
        <v>2010</v>
      </c>
      <c r="L98" t="s">
        <v>235</v>
      </c>
      <c r="M98" t="s">
        <v>157</v>
      </c>
      <c r="N98">
        <v>21.7</v>
      </c>
      <c r="O98" t="s">
        <v>285</v>
      </c>
      <c r="P98" t="s">
        <v>226</v>
      </c>
    </row>
    <row r="99" spans="11:16" x14ac:dyDescent="0.2">
      <c r="K99">
        <v>2011</v>
      </c>
      <c r="L99" t="s">
        <v>235</v>
      </c>
      <c r="M99" t="s">
        <v>157</v>
      </c>
      <c r="N99">
        <v>22.2</v>
      </c>
      <c r="O99" t="s">
        <v>286</v>
      </c>
      <c r="P99" t="s">
        <v>225</v>
      </c>
    </row>
    <row r="100" spans="11:16" x14ac:dyDescent="0.2">
      <c r="K100">
        <v>2011</v>
      </c>
      <c r="L100" t="s">
        <v>235</v>
      </c>
      <c r="M100" t="s">
        <v>157</v>
      </c>
      <c r="N100">
        <v>22.2</v>
      </c>
      <c r="O100" t="s">
        <v>286</v>
      </c>
      <c r="P100" t="s">
        <v>226</v>
      </c>
    </row>
    <row r="101" spans="11:16" x14ac:dyDescent="0.2">
      <c r="K101">
        <v>2012</v>
      </c>
      <c r="L101" t="s">
        <v>235</v>
      </c>
      <c r="M101" t="s">
        <v>157</v>
      </c>
      <c r="N101">
        <v>21.5</v>
      </c>
      <c r="O101" t="s">
        <v>287</v>
      </c>
      <c r="P101" t="s">
        <v>225</v>
      </c>
    </row>
    <row r="102" spans="11:16" x14ac:dyDescent="0.2">
      <c r="K102">
        <v>2012</v>
      </c>
      <c r="L102" t="s">
        <v>235</v>
      </c>
      <c r="M102" t="s">
        <v>157</v>
      </c>
      <c r="N102">
        <v>21.5</v>
      </c>
      <c r="O102" t="s">
        <v>287</v>
      </c>
      <c r="P102" t="s">
        <v>226</v>
      </c>
    </row>
    <row r="103" spans="11:16" x14ac:dyDescent="0.2">
      <c r="K103">
        <v>2008</v>
      </c>
      <c r="L103" t="s">
        <v>223</v>
      </c>
      <c r="M103" t="s">
        <v>161</v>
      </c>
      <c r="N103">
        <v>23.2</v>
      </c>
      <c r="O103" t="s">
        <v>288</v>
      </c>
      <c r="P103" t="s">
        <v>225</v>
      </c>
    </row>
    <row r="104" spans="11:16" x14ac:dyDescent="0.2">
      <c r="K104">
        <v>2008</v>
      </c>
      <c r="L104" t="s">
        <v>223</v>
      </c>
      <c r="M104" t="s">
        <v>161</v>
      </c>
      <c r="N104">
        <v>23.2</v>
      </c>
      <c r="O104" t="s">
        <v>288</v>
      </c>
      <c r="P104" t="s">
        <v>226</v>
      </c>
    </row>
    <row r="105" spans="11:16" x14ac:dyDescent="0.2">
      <c r="K105">
        <v>2009</v>
      </c>
      <c r="L105" t="s">
        <v>223</v>
      </c>
      <c r="M105" t="s">
        <v>161</v>
      </c>
      <c r="N105">
        <v>23.1</v>
      </c>
      <c r="O105" t="s">
        <v>289</v>
      </c>
      <c r="P105" t="s">
        <v>225</v>
      </c>
    </row>
    <row r="106" spans="11:16" x14ac:dyDescent="0.2">
      <c r="K106">
        <v>2009</v>
      </c>
      <c r="L106" t="s">
        <v>223</v>
      </c>
      <c r="M106" t="s">
        <v>161</v>
      </c>
      <c r="N106">
        <v>23.1</v>
      </c>
      <c r="O106" t="s">
        <v>289</v>
      </c>
      <c r="P106" t="s">
        <v>226</v>
      </c>
    </row>
    <row r="107" spans="11:16" x14ac:dyDescent="0.2">
      <c r="K107">
        <v>2010</v>
      </c>
      <c r="L107" t="s">
        <v>223</v>
      </c>
      <c r="M107" t="s">
        <v>161</v>
      </c>
      <c r="N107">
        <v>22.9</v>
      </c>
      <c r="O107" t="s">
        <v>290</v>
      </c>
      <c r="P107" t="s">
        <v>225</v>
      </c>
    </row>
    <row r="108" spans="11:16" x14ac:dyDescent="0.2">
      <c r="K108">
        <v>2010</v>
      </c>
      <c r="L108" t="s">
        <v>223</v>
      </c>
      <c r="M108" t="s">
        <v>161</v>
      </c>
      <c r="N108">
        <v>22.9</v>
      </c>
      <c r="O108" t="s">
        <v>290</v>
      </c>
      <c r="P108" t="s">
        <v>226</v>
      </c>
    </row>
    <row r="109" spans="11:16" x14ac:dyDescent="0.2">
      <c r="K109">
        <v>2011</v>
      </c>
      <c r="L109" t="s">
        <v>223</v>
      </c>
      <c r="M109" t="s">
        <v>161</v>
      </c>
      <c r="N109">
        <v>22.3</v>
      </c>
      <c r="O109" t="s">
        <v>291</v>
      </c>
      <c r="P109" t="s">
        <v>225</v>
      </c>
    </row>
    <row r="110" spans="11:16" x14ac:dyDescent="0.2">
      <c r="K110">
        <v>2011</v>
      </c>
      <c r="L110" t="s">
        <v>223</v>
      </c>
      <c r="M110" t="s">
        <v>161</v>
      </c>
      <c r="N110">
        <v>22.3</v>
      </c>
      <c r="O110" t="s">
        <v>291</v>
      </c>
      <c r="P110" t="s">
        <v>226</v>
      </c>
    </row>
    <row r="111" spans="11:16" x14ac:dyDescent="0.2">
      <c r="K111">
        <v>2012</v>
      </c>
      <c r="L111" t="s">
        <v>223</v>
      </c>
      <c r="M111" t="s">
        <v>161</v>
      </c>
      <c r="N111">
        <v>23.1</v>
      </c>
      <c r="O111" t="s">
        <v>292</v>
      </c>
      <c r="P111" t="s">
        <v>225</v>
      </c>
    </row>
    <row r="112" spans="11:16" x14ac:dyDescent="0.2">
      <c r="K112">
        <v>2012</v>
      </c>
      <c r="L112" t="s">
        <v>223</v>
      </c>
      <c r="M112" t="s">
        <v>161</v>
      </c>
      <c r="N112">
        <v>23.1</v>
      </c>
      <c r="O112" t="s">
        <v>292</v>
      </c>
      <c r="P112" t="s">
        <v>226</v>
      </c>
    </row>
    <row r="113" spans="11:16" x14ac:dyDescent="0.2">
      <c r="K113">
        <v>2008</v>
      </c>
      <c r="L113" t="s">
        <v>235</v>
      </c>
      <c r="M113" t="s">
        <v>161</v>
      </c>
      <c r="N113">
        <v>22</v>
      </c>
      <c r="O113" t="s">
        <v>293</v>
      </c>
      <c r="P113" t="s">
        <v>225</v>
      </c>
    </row>
    <row r="114" spans="11:16" x14ac:dyDescent="0.2">
      <c r="K114">
        <v>2008</v>
      </c>
      <c r="L114" t="s">
        <v>235</v>
      </c>
      <c r="M114" t="s">
        <v>161</v>
      </c>
      <c r="N114">
        <v>22</v>
      </c>
      <c r="O114" t="s">
        <v>293</v>
      </c>
      <c r="P114" t="s">
        <v>226</v>
      </c>
    </row>
    <row r="115" spans="11:16" x14ac:dyDescent="0.2">
      <c r="K115">
        <v>2009</v>
      </c>
      <c r="L115" t="s">
        <v>235</v>
      </c>
      <c r="M115" t="s">
        <v>161</v>
      </c>
      <c r="N115">
        <v>22.4</v>
      </c>
      <c r="O115" t="s">
        <v>294</v>
      </c>
      <c r="P115" t="s">
        <v>225</v>
      </c>
    </row>
    <row r="116" spans="11:16" x14ac:dyDescent="0.2">
      <c r="K116">
        <v>2009</v>
      </c>
      <c r="L116" t="s">
        <v>235</v>
      </c>
      <c r="M116" t="s">
        <v>161</v>
      </c>
      <c r="N116">
        <v>22.4</v>
      </c>
      <c r="O116" t="s">
        <v>294</v>
      </c>
      <c r="P116" t="s">
        <v>226</v>
      </c>
    </row>
    <row r="117" spans="11:16" x14ac:dyDescent="0.2">
      <c r="K117">
        <v>2010</v>
      </c>
      <c r="L117" t="s">
        <v>235</v>
      </c>
      <c r="M117" t="s">
        <v>161</v>
      </c>
      <c r="N117">
        <v>22.2</v>
      </c>
      <c r="O117" t="s">
        <v>295</v>
      </c>
      <c r="P117" t="s">
        <v>225</v>
      </c>
    </row>
    <row r="118" spans="11:16" x14ac:dyDescent="0.2">
      <c r="K118">
        <v>2010</v>
      </c>
      <c r="L118" t="s">
        <v>235</v>
      </c>
      <c r="M118" t="s">
        <v>161</v>
      </c>
      <c r="N118">
        <v>22.2</v>
      </c>
      <c r="O118" t="s">
        <v>295</v>
      </c>
      <c r="P118" t="s">
        <v>226</v>
      </c>
    </row>
    <row r="119" spans="11:16" x14ac:dyDescent="0.2">
      <c r="K119">
        <v>2011</v>
      </c>
      <c r="L119" t="s">
        <v>235</v>
      </c>
      <c r="M119" t="s">
        <v>161</v>
      </c>
      <c r="N119">
        <v>22.4</v>
      </c>
      <c r="O119" t="s">
        <v>296</v>
      </c>
      <c r="P119" t="s">
        <v>225</v>
      </c>
    </row>
    <row r="120" spans="11:16" x14ac:dyDescent="0.2">
      <c r="K120">
        <v>2011</v>
      </c>
      <c r="L120" t="s">
        <v>235</v>
      </c>
      <c r="M120" t="s">
        <v>161</v>
      </c>
      <c r="N120">
        <v>22.4</v>
      </c>
      <c r="O120" t="s">
        <v>296</v>
      </c>
      <c r="P120" t="s">
        <v>226</v>
      </c>
    </row>
    <row r="121" spans="11:16" x14ac:dyDescent="0.2">
      <c r="K121">
        <v>2012</v>
      </c>
      <c r="L121" t="s">
        <v>235</v>
      </c>
      <c r="M121" t="s">
        <v>161</v>
      </c>
      <c r="N121">
        <v>22.1</v>
      </c>
      <c r="O121" t="s">
        <v>297</v>
      </c>
      <c r="P121" t="s">
        <v>225</v>
      </c>
    </row>
    <row r="122" spans="11:16" x14ac:dyDescent="0.2">
      <c r="K122">
        <v>2012</v>
      </c>
      <c r="L122" t="s">
        <v>235</v>
      </c>
      <c r="M122" t="s">
        <v>161</v>
      </c>
      <c r="N122">
        <v>22.1</v>
      </c>
      <c r="O122" t="s">
        <v>297</v>
      </c>
      <c r="P122" t="s">
        <v>226</v>
      </c>
    </row>
    <row r="123" spans="11:16" x14ac:dyDescent="0.2">
      <c r="K123">
        <v>2008</v>
      </c>
      <c r="L123" t="s">
        <v>223</v>
      </c>
      <c r="M123" t="s">
        <v>156</v>
      </c>
      <c r="N123">
        <v>23.8</v>
      </c>
      <c r="O123" t="s">
        <v>298</v>
      </c>
      <c r="P123" t="s">
        <v>225</v>
      </c>
    </row>
    <row r="124" spans="11:16" x14ac:dyDescent="0.2">
      <c r="K124">
        <v>2008</v>
      </c>
      <c r="L124" t="s">
        <v>223</v>
      </c>
      <c r="M124" t="s">
        <v>156</v>
      </c>
      <c r="N124">
        <v>23.8</v>
      </c>
      <c r="O124" t="s">
        <v>298</v>
      </c>
      <c r="P124" t="s">
        <v>226</v>
      </c>
    </row>
    <row r="125" spans="11:16" x14ac:dyDescent="0.2">
      <c r="K125">
        <v>2009</v>
      </c>
      <c r="L125" t="s">
        <v>223</v>
      </c>
      <c r="M125" t="s">
        <v>156</v>
      </c>
      <c r="N125">
        <v>23.6</v>
      </c>
      <c r="O125" t="s">
        <v>299</v>
      </c>
      <c r="P125" t="s">
        <v>225</v>
      </c>
    </row>
    <row r="126" spans="11:16" x14ac:dyDescent="0.2">
      <c r="K126">
        <v>2009</v>
      </c>
      <c r="L126" t="s">
        <v>223</v>
      </c>
      <c r="M126" t="s">
        <v>156</v>
      </c>
      <c r="N126">
        <v>23.6</v>
      </c>
      <c r="O126" t="s">
        <v>299</v>
      </c>
      <c r="P126" t="s">
        <v>226</v>
      </c>
    </row>
    <row r="127" spans="11:16" x14ac:dyDescent="0.2">
      <c r="K127">
        <v>2010</v>
      </c>
      <c r="L127" t="s">
        <v>223</v>
      </c>
      <c r="M127" t="s">
        <v>156</v>
      </c>
      <c r="N127">
        <v>23.6</v>
      </c>
      <c r="O127" t="s">
        <v>300</v>
      </c>
      <c r="P127" t="s">
        <v>225</v>
      </c>
    </row>
    <row r="128" spans="11:16" x14ac:dyDescent="0.2">
      <c r="K128">
        <v>2010</v>
      </c>
      <c r="L128" t="s">
        <v>223</v>
      </c>
      <c r="M128" t="s">
        <v>156</v>
      </c>
      <c r="N128">
        <v>23.6</v>
      </c>
      <c r="O128" t="s">
        <v>300</v>
      </c>
      <c r="P128" t="s">
        <v>226</v>
      </c>
    </row>
    <row r="129" spans="11:16" x14ac:dyDescent="0.2">
      <c r="K129">
        <v>2011</v>
      </c>
      <c r="L129" t="s">
        <v>223</v>
      </c>
      <c r="M129" t="s">
        <v>156</v>
      </c>
      <c r="N129">
        <v>24</v>
      </c>
      <c r="O129" t="s">
        <v>301</v>
      </c>
      <c r="P129" t="s">
        <v>225</v>
      </c>
    </row>
    <row r="130" spans="11:16" x14ac:dyDescent="0.2">
      <c r="K130">
        <v>2011</v>
      </c>
      <c r="L130" t="s">
        <v>223</v>
      </c>
      <c r="M130" t="s">
        <v>156</v>
      </c>
      <c r="N130">
        <v>24</v>
      </c>
      <c r="O130" t="s">
        <v>301</v>
      </c>
      <c r="P130" t="s">
        <v>226</v>
      </c>
    </row>
    <row r="131" spans="11:16" x14ac:dyDescent="0.2">
      <c r="K131">
        <v>2012</v>
      </c>
      <c r="L131" t="s">
        <v>223</v>
      </c>
      <c r="M131" t="s">
        <v>156</v>
      </c>
      <c r="N131">
        <v>23.8</v>
      </c>
      <c r="O131" t="s">
        <v>302</v>
      </c>
      <c r="P131" t="s">
        <v>225</v>
      </c>
    </row>
    <row r="132" spans="11:16" x14ac:dyDescent="0.2">
      <c r="K132">
        <v>2012</v>
      </c>
      <c r="L132" t="s">
        <v>223</v>
      </c>
      <c r="M132" t="s">
        <v>156</v>
      </c>
      <c r="N132">
        <v>23.8</v>
      </c>
      <c r="O132" t="s">
        <v>302</v>
      </c>
      <c r="P132" t="s">
        <v>226</v>
      </c>
    </row>
    <row r="133" spans="11:16" x14ac:dyDescent="0.2">
      <c r="K133">
        <v>2008</v>
      </c>
      <c r="L133" t="s">
        <v>235</v>
      </c>
      <c r="M133" t="s">
        <v>156</v>
      </c>
      <c r="N133">
        <v>22.8</v>
      </c>
      <c r="O133" t="s">
        <v>303</v>
      </c>
      <c r="P133" t="s">
        <v>225</v>
      </c>
    </row>
    <row r="134" spans="11:16" x14ac:dyDescent="0.2">
      <c r="K134">
        <v>2008</v>
      </c>
      <c r="L134" t="s">
        <v>235</v>
      </c>
      <c r="M134" t="s">
        <v>156</v>
      </c>
      <c r="N134">
        <v>22.8</v>
      </c>
      <c r="O134" t="s">
        <v>303</v>
      </c>
      <c r="P134" t="s">
        <v>226</v>
      </c>
    </row>
    <row r="135" spans="11:16" x14ac:dyDescent="0.2">
      <c r="K135">
        <v>2009</v>
      </c>
      <c r="L135" t="s">
        <v>235</v>
      </c>
      <c r="M135" t="s">
        <v>156</v>
      </c>
      <c r="N135">
        <v>23.2</v>
      </c>
      <c r="O135" t="s">
        <v>304</v>
      </c>
      <c r="P135" t="s">
        <v>225</v>
      </c>
    </row>
    <row r="136" spans="11:16" x14ac:dyDescent="0.2">
      <c r="K136">
        <v>2009</v>
      </c>
      <c r="L136" t="s">
        <v>235</v>
      </c>
      <c r="M136" t="s">
        <v>156</v>
      </c>
      <c r="N136">
        <v>23.2</v>
      </c>
      <c r="O136" t="s">
        <v>304</v>
      </c>
      <c r="P136" t="s">
        <v>226</v>
      </c>
    </row>
    <row r="137" spans="11:16" x14ac:dyDescent="0.2">
      <c r="K137">
        <v>2010</v>
      </c>
      <c r="L137" t="s">
        <v>235</v>
      </c>
      <c r="M137" t="s">
        <v>156</v>
      </c>
      <c r="N137">
        <v>22.8</v>
      </c>
      <c r="O137" t="s">
        <v>305</v>
      </c>
      <c r="P137" t="s">
        <v>225</v>
      </c>
    </row>
    <row r="138" spans="11:16" x14ac:dyDescent="0.2">
      <c r="K138">
        <v>2010</v>
      </c>
      <c r="L138" t="s">
        <v>235</v>
      </c>
      <c r="M138" t="s">
        <v>156</v>
      </c>
      <c r="N138">
        <v>22.8</v>
      </c>
      <c r="O138" t="s">
        <v>305</v>
      </c>
      <c r="P138" t="s">
        <v>226</v>
      </c>
    </row>
    <row r="139" spans="11:16" x14ac:dyDescent="0.2">
      <c r="K139">
        <v>2011</v>
      </c>
      <c r="L139" t="s">
        <v>235</v>
      </c>
      <c r="M139" t="s">
        <v>156</v>
      </c>
      <c r="N139">
        <v>23.3</v>
      </c>
      <c r="O139" t="s">
        <v>306</v>
      </c>
      <c r="P139" t="s">
        <v>225</v>
      </c>
    </row>
    <row r="140" spans="11:16" x14ac:dyDescent="0.2">
      <c r="K140">
        <v>2011</v>
      </c>
      <c r="L140" t="s">
        <v>235</v>
      </c>
      <c r="M140" t="s">
        <v>156</v>
      </c>
      <c r="N140">
        <v>23.3</v>
      </c>
      <c r="O140" t="s">
        <v>306</v>
      </c>
      <c r="P140" t="s">
        <v>226</v>
      </c>
    </row>
    <row r="141" spans="11:16" x14ac:dyDescent="0.2">
      <c r="K141">
        <v>2012</v>
      </c>
      <c r="L141" t="s">
        <v>235</v>
      </c>
      <c r="M141" t="s">
        <v>156</v>
      </c>
      <c r="N141">
        <v>22.6</v>
      </c>
      <c r="O141" t="s">
        <v>307</v>
      </c>
      <c r="P141" t="s">
        <v>225</v>
      </c>
    </row>
    <row r="142" spans="11:16" x14ac:dyDescent="0.2">
      <c r="K142">
        <v>2012</v>
      </c>
      <c r="L142" t="s">
        <v>235</v>
      </c>
      <c r="M142" t="s">
        <v>156</v>
      </c>
      <c r="N142">
        <v>22.6</v>
      </c>
      <c r="O142" t="s">
        <v>307</v>
      </c>
      <c r="P142" t="s">
        <v>226</v>
      </c>
    </row>
    <row r="143" spans="11:16" x14ac:dyDescent="0.2">
      <c r="K143">
        <v>2008</v>
      </c>
      <c r="L143" t="s">
        <v>223</v>
      </c>
      <c r="M143" t="s">
        <v>158</v>
      </c>
      <c r="N143">
        <v>24.6</v>
      </c>
      <c r="O143" t="s">
        <v>308</v>
      </c>
      <c r="P143" t="s">
        <v>225</v>
      </c>
    </row>
    <row r="144" spans="11:16" x14ac:dyDescent="0.2">
      <c r="K144">
        <v>2008</v>
      </c>
      <c r="L144" t="s">
        <v>223</v>
      </c>
      <c r="M144" t="s">
        <v>158</v>
      </c>
      <c r="N144">
        <v>24.6</v>
      </c>
      <c r="O144" t="s">
        <v>308</v>
      </c>
      <c r="P144" t="s">
        <v>226</v>
      </c>
    </row>
    <row r="145" spans="11:16" x14ac:dyDescent="0.2">
      <c r="K145">
        <v>2009</v>
      </c>
      <c r="L145" t="s">
        <v>223</v>
      </c>
      <c r="M145" t="s">
        <v>158</v>
      </c>
      <c r="N145">
        <v>27.8</v>
      </c>
      <c r="O145" t="s">
        <v>309</v>
      </c>
      <c r="P145" t="s">
        <v>225</v>
      </c>
    </row>
    <row r="146" spans="11:16" x14ac:dyDescent="0.2">
      <c r="K146">
        <v>2009</v>
      </c>
      <c r="L146" t="s">
        <v>223</v>
      </c>
      <c r="M146" t="s">
        <v>158</v>
      </c>
      <c r="N146">
        <v>27.8</v>
      </c>
      <c r="O146" t="s">
        <v>309</v>
      </c>
      <c r="P146" t="s">
        <v>226</v>
      </c>
    </row>
    <row r="147" spans="11:16" x14ac:dyDescent="0.2">
      <c r="K147">
        <v>2010</v>
      </c>
      <c r="L147" t="s">
        <v>223</v>
      </c>
      <c r="M147" t="s">
        <v>158</v>
      </c>
      <c r="N147">
        <v>24.5</v>
      </c>
      <c r="O147" t="s">
        <v>310</v>
      </c>
      <c r="P147" t="s">
        <v>225</v>
      </c>
    </row>
    <row r="148" spans="11:16" x14ac:dyDescent="0.2">
      <c r="K148">
        <v>2010</v>
      </c>
      <c r="L148" t="s">
        <v>223</v>
      </c>
      <c r="M148" t="s">
        <v>158</v>
      </c>
      <c r="N148">
        <v>24.5</v>
      </c>
      <c r="O148" t="s">
        <v>310</v>
      </c>
      <c r="P148" t="s">
        <v>226</v>
      </c>
    </row>
    <row r="149" spans="11:16" x14ac:dyDescent="0.2">
      <c r="K149">
        <v>2011</v>
      </c>
      <c r="L149" t="s">
        <v>223</v>
      </c>
      <c r="M149" t="s">
        <v>158</v>
      </c>
      <c r="N149">
        <v>25</v>
      </c>
      <c r="O149" t="s">
        <v>311</v>
      </c>
      <c r="P149" t="s">
        <v>225</v>
      </c>
    </row>
    <row r="150" spans="11:16" x14ac:dyDescent="0.2">
      <c r="K150">
        <v>2011</v>
      </c>
      <c r="L150" t="s">
        <v>223</v>
      </c>
      <c r="M150" t="s">
        <v>158</v>
      </c>
      <c r="N150">
        <v>25</v>
      </c>
      <c r="O150" t="s">
        <v>311</v>
      </c>
      <c r="P150" t="s">
        <v>226</v>
      </c>
    </row>
    <row r="151" spans="11:16" x14ac:dyDescent="0.2">
      <c r="K151">
        <v>2012</v>
      </c>
      <c r="L151" t="s">
        <v>223</v>
      </c>
      <c r="M151" t="s">
        <v>158</v>
      </c>
      <c r="N151">
        <v>24.6</v>
      </c>
      <c r="O151" t="s">
        <v>312</v>
      </c>
      <c r="P151" t="s">
        <v>225</v>
      </c>
    </row>
    <row r="152" spans="11:16" x14ac:dyDescent="0.2">
      <c r="K152">
        <v>2012</v>
      </c>
      <c r="L152" t="s">
        <v>223</v>
      </c>
      <c r="M152" t="s">
        <v>158</v>
      </c>
      <c r="N152">
        <v>24.6</v>
      </c>
      <c r="O152" t="s">
        <v>312</v>
      </c>
      <c r="P152" t="s">
        <v>226</v>
      </c>
    </row>
    <row r="153" spans="11:16" x14ac:dyDescent="0.2">
      <c r="K153">
        <v>2008</v>
      </c>
      <c r="L153" t="s">
        <v>235</v>
      </c>
      <c r="M153" t="s">
        <v>158</v>
      </c>
      <c r="N153">
        <v>23.7</v>
      </c>
      <c r="O153" t="s">
        <v>313</v>
      </c>
      <c r="P153" t="s">
        <v>225</v>
      </c>
    </row>
    <row r="154" spans="11:16" x14ac:dyDescent="0.2">
      <c r="K154">
        <v>2008</v>
      </c>
      <c r="L154" t="s">
        <v>235</v>
      </c>
      <c r="M154" t="s">
        <v>158</v>
      </c>
      <c r="N154">
        <v>23.7</v>
      </c>
      <c r="O154" t="s">
        <v>313</v>
      </c>
      <c r="P154" t="s">
        <v>226</v>
      </c>
    </row>
    <row r="155" spans="11:16" x14ac:dyDescent="0.2">
      <c r="K155">
        <v>2009</v>
      </c>
      <c r="L155" t="s">
        <v>235</v>
      </c>
      <c r="M155" t="s">
        <v>158</v>
      </c>
      <c r="N155">
        <v>24.2</v>
      </c>
      <c r="O155" t="s">
        <v>314</v>
      </c>
      <c r="P155" t="s">
        <v>225</v>
      </c>
    </row>
    <row r="156" spans="11:16" x14ac:dyDescent="0.2">
      <c r="K156">
        <v>2009</v>
      </c>
      <c r="L156" t="s">
        <v>235</v>
      </c>
      <c r="M156" t="s">
        <v>158</v>
      </c>
      <c r="N156">
        <v>24.2</v>
      </c>
      <c r="O156" t="s">
        <v>314</v>
      </c>
      <c r="P156" t="s">
        <v>226</v>
      </c>
    </row>
    <row r="157" spans="11:16" x14ac:dyDescent="0.2">
      <c r="K157">
        <v>2010</v>
      </c>
      <c r="L157" t="s">
        <v>235</v>
      </c>
      <c r="M157" t="s">
        <v>158</v>
      </c>
      <c r="N157">
        <v>23.7</v>
      </c>
      <c r="O157" t="s">
        <v>315</v>
      </c>
      <c r="P157" t="s">
        <v>225</v>
      </c>
    </row>
    <row r="158" spans="11:16" x14ac:dyDescent="0.2">
      <c r="K158">
        <v>2010</v>
      </c>
      <c r="L158" t="s">
        <v>235</v>
      </c>
      <c r="M158" t="s">
        <v>158</v>
      </c>
      <c r="N158">
        <v>23.7</v>
      </c>
      <c r="O158" t="s">
        <v>315</v>
      </c>
      <c r="P158" t="s">
        <v>226</v>
      </c>
    </row>
    <row r="159" spans="11:16" x14ac:dyDescent="0.2">
      <c r="K159">
        <v>2011</v>
      </c>
      <c r="L159" t="s">
        <v>235</v>
      </c>
      <c r="M159" t="s">
        <v>158</v>
      </c>
      <c r="N159">
        <v>23.8</v>
      </c>
      <c r="O159" t="s">
        <v>316</v>
      </c>
      <c r="P159" t="s">
        <v>225</v>
      </c>
    </row>
    <row r="160" spans="11:16" x14ac:dyDescent="0.2">
      <c r="K160">
        <v>2011</v>
      </c>
      <c r="L160" t="s">
        <v>235</v>
      </c>
      <c r="M160" t="s">
        <v>158</v>
      </c>
      <c r="N160">
        <v>23.8</v>
      </c>
      <c r="O160" t="s">
        <v>316</v>
      </c>
      <c r="P160" t="s">
        <v>226</v>
      </c>
    </row>
    <row r="161" spans="11:16" x14ac:dyDescent="0.2">
      <c r="K161">
        <v>2012</v>
      </c>
      <c r="L161" t="s">
        <v>235</v>
      </c>
      <c r="M161" t="s">
        <v>158</v>
      </c>
      <c r="N161">
        <v>23.6</v>
      </c>
      <c r="O161" t="s">
        <v>317</v>
      </c>
      <c r="P161" t="s">
        <v>225</v>
      </c>
    </row>
    <row r="162" spans="11:16" x14ac:dyDescent="0.2">
      <c r="K162">
        <v>2012</v>
      </c>
      <c r="L162" t="s">
        <v>235</v>
      </c>
      <c r="M162" t="s">
        <v>158</v>
      </c>
      <c r="N162">
        <v>23.6</v>
      </c>
      <c r="O162" t="s">
        <v>317</v>
      </c>
      <c r="P162" t="s">
        <v>226</v>
      </c>
    </row>
    <row r="163" spans="11:16" x14ac:dyDescent="0.2">
      <c r="K163">
        <v>2008</v>
      </c>
      <c r="L163" t="s">
        <v>223</v>
      </c>
      <c r="M163" t="s">
        <v>159</v>
      </c>
      <c r="N163">
        <v>22.7</v>
      </c>
      <c r="O163" t="s">
        <v>318</v>
      </c>
      <c r="P163" t="s">
        <v>225</v>
      </c>
    </row>
    <row r="164" spans="11:16" x14ac:dyDescent="0.2">
      <c r="K164">
        <v>2008</v>
      </c>
      <c r="L164" t="s">
        <v>223</v>
      </c>
      <c r="M164" t="s">
        <v>159</v>
      </c>
      <c r="N164">
        <v>22.7</v>
      </c>
      <c r="O164" t="s">
        <v>318</v>
      </c>
      <c r="P164" t="s">
        <v>226</v>
      </c>
    </row>
    <row r="165" spans="11:16" x14ac:dyDescent="0.2">
      <c r="K165">
        <v>2009</v>
      </c>
      <c r="L165" t="s">
        <v>223</v>
      </c>
      <c r="M165" t="s">
        <v>159</v>
      </c>
      <c r="N165">
        <v>25.5</v>
      </c>
      <c r="O165" t="s">
        <v>319</v>
      </c>
      <c r="P165" t="s">
        <v>225</v>
      </c>
    </row>
    <row r="166" spans="11:16" x14ac:dyDescent="0.2">
      <c r="K166">
        <v>2009</v>
      </c>
      <c r="L166" t="s">
        <v>223</v>
      </c>
      <c r="M166" t="s">
        <v>159</v>
      </c>
      <c r="N166">
        <v>25.5</v>
      </c>
      <c r="O166" t="s">
        <v>319</v>
      </c>
      <c r="P166" t="s">
        <v>226</v>
      </c>
    </row>
    <row r="167" spans="11:16" x14ac:dyDescent="0.2">
      <c r="K167">
        <v>2010</v>
      </c>
      <c r="L167" t="s">
        <v>223</v>
      </c>
      <c r="M167" t="s">
        <v>159</v>
      </c>
      <c r="N167">
        <v>22.3</v>
      </c>
      <c r="O167" t="s">
        <v>320</v>
      </c>
      <c r="P167" t="s">
        <v>225</v>
      </c>
    </row>
    <row r="168" spans="11:16" x14ac:dyDescent="0.2">
      <c r="K168">
        <v>2010</v>
      </c>
      <c r="L168" t="s">
        <v>223</v>
      </c>
      <c r="M168" t="s">
        <v>159</v>
      </c>
      <c r="N168">
        <v>22.3</v>
      </c>
      <c r="O168" t="s">
        <v>320</v>
      </c>
      <c r="P168" t="s">
        <v>226</v>
      </c>
    </row>
    <row r="169" spans="11:16" x14ac:dyDescent="0.2">
      <c r="K169">
        <v>2011</v>
      </c>
      <c r="L169" t="s">
        <v>223</v>
      </c>
      <c r="M169" t="s">
        <v>159</v>
      </c>
      <c r="N169">
        <v>22.5</v>
      </c>
      <c r="O169" t="s">
        <v>321</v>
      </c>
      <c r="P169" t="s">
        <v>225</v>
      </c>
    </row>
    <row r="170" spans="11:16" x14ac:dyDescent="0.2">
      <c r="K170">
        <v>2011</v>
      </c>
      <c r="L170" t="s">
        <v>223</v>
      </c>
      <c r="M170" t="s">
        <v>159</v>
      </c>
      <c r="N170">
        <v>22.5</v>
      </c>
      <c r="O170" t="s">
        <v>321</v>
      </c>
      <c r="P170" t="s">
        <v>226</v>
      </c>
    </row>
    <row r="171" spans="11:16" x14ac:dyDescent="0.2">
      <c r="K171">
        <v>2012</v>
      </c>
      <c r="L171" t="s">
        <v>223</v>
      </c>
      <c r="M171" t="s">
        <v>159</v>
      </c>
      <c r="N171">
        <v>22.5</v>
      </c>
      <c r="O171" t="s">
        <v>322</v>
      </c>
      <c r="P171" t="s">
        <v>225</v>
      </c>
    </row>
    <row r="172" spans="11:16" x14ac:dyDescent="0.2">
      <c r="K172">
        <v>2012</v>
      </c>
      <c r="L172" t="s">
        <v>223</v>
      </c>
      <c r="M172" t="s">
        <v>159</v>
      </c>
      <c r="N172">
        <v>22.5</v>
      </c>
      <c r="O172" t="s">
        <v>322</v>
      </c>
      <c r="P172" t="s">
        <v>226</v>
      </c>
    </row>
    <row r="173" spans="11:16" x14ac:dyDescent="0.2">
      <c r="K173">
        <v>2008</v>
      </c>
      <c r="L173" t="s">
        <v>235</v>
      </c>
      <c r="M173" t="s">
        <v>159</v>
      </c>
      <c r="N173">
        <v>21.6</v>
      </c>
      <c r="O173" t="s">
        <v>323</v>
      </c>
      <c r="P173" t="s">
        <v>225</v>
      </c>
    </row>
    <row r="174" spans="11:16" x14ac:dyDescent="0.2">
      <c r="K174">
        <v>2008</v>
      </c>
      <c r="L174" t="s">
        <v>235</v>
      </c>
      <c r="M174" t="s">
        <v>159</v>
      </c>
      <c r="N174">
        <v>21.6</v>
      </c>
      <c r="O174" t="s">
        <v>323</v>
      </c>
      <c r="P174" t="s">
        <v>226</v>
      </c>
    </row>
    <row r="175" spans="11:16" x14ac:dyDescent="0.2">
      <c r="K175">
        <v>2009</v>
      </c>
      <c r="L175" t="s">
        <v>235</v>
      </c>
      <c r="M175" t="s">
        <v>159</v>
      </c>
      <c r="N175">
        <v>22.2</v>
      </c>
      <c r="O175" t="s">
        <v>324</v>
      </c>
      <c r="P175" t="s">
        <v>225</v>
      </c>
    </row>
    <row r="176" spans="11:16" x14ac:dyDescent="0.2">
      <c r="K176">
        <v>2009</v>
      </c>
      <c r="L176" t="s">
        <v>235</v>
      </c>
      <c r="M176" t="s">
        <v>159</v>
      </c>
      <c r="N176">
        <v>22.2</v>
      </c>
      <c r="O176" t="s">
        <v>324</v>
      </c>
      <c r="P176" t="s">
        <v>226</v>
      </c>
    </row>
    <row r="177" spans="11:16" x14ac:dyDescent="0.2">
      <c r="K177">
        <v>2010</v>
      </c>
      <c r="L177" t="s">
        <v>235</v>
      </c>
      <c r="M177" t="s">
        <v>159</v>
      </c>
      <c r="N177">
        <v>21.6</v>
      </c>
      <c r="O177" t="s">
        <v>325</v>
      </c>
      <c r="P177" t="s">
        <v>225</v>
      </c>
    </row>
    <row r="178" spans="11:16" x14ac:dyDescent="0.2">
      <c r="K178">
        <v>2010</v>
      </c>
      <c r="L178" t="s">
        <v>235</v>
      </c>
      <c r="M178" t="s">
        <v>159</v>
      </c>
      <c r="N178">
        <v>21.6</v>
      </c>
      <c r="O178" t="s">
        <v>325</v>
      </c>
      <c r="P178" t="s">
        <v>226</v>
      </c>
    </row>
    <row r="179" spans="11:16" x14ac:dyDescent="0.2">
      <c r="K179">
        <v>2011</v>
      </c>
      <c r="L179" t="s">
        <v>235</v>
      </c>
      <c r="M179" t="s">
        <v>159</v>
      </c>
      <c r="N179">
        <v>22</v>
      </c>
      <c r="O179" t="s">
        <v>326</v>
      </c>
      <c r="P179" t="s">
        <v>225</v>
      </c>
    </row>
    <row r="180" spans="11:16" x14ac:dyDescent="0.2">
      <c r="K180">
        <v>2011</v>
      </c>
      <c r="L180" t="s">
        <v>235</v>
      </c>
      <c r="M180" t="s">
        <v>159</v>
      </c>
      <c r="N180">
        <v>22</v>
      </c>
      <c r="O180" t="s">
        <v>326</v>
      </c>
      <c r="P180" t="s">
        <v>226</v>
      </c>
    </row>
    <row r="181" spans="11:16" x14ac:dyDescent="0.2">
      <c r="K181">
        <v>2012</v>
      </c>
      <c r="L181" t="s">
        <v>235</v>
      </c>
      <c r="M181" t="s">
        <v>159</v>
      </c>
      <c r="N181">
        <v>21.7</v>
      </c>
      <c r="O181" t="s">
        <v>327</v>
      </c>
      <c r="P181" t="s">
        <v>225</v>
      </c>
    </row>
    <row r="182" spans="11:16" x14ac:dyDescent="0.2">
      <c r="K182">
        <v>2012</v>
      </c>
      <c r="L182" t="s">
        <v>235</v>
      </c>
      <c r="M182" t="s">
        <v>159</v>
      </c>
      <c r="N182">
        <v>21.7</v>
      </c>
      <c r="O182" t="s">
        <v>327</v>
      </c>
      <c r="P182" t="s">
        <v>226</v>
      </c>
    </row>
    <row r="183" spans="11:16" x14ac:dyDescent="0.2">
      <c r="K183">
        <v>2008</v>
      </c>
      <c r="L183" t="s">
        <v>223</v>
      </c>
      <c r="M183" t="s">
        <v>154</v>
      </c>
      <c r="N183">
        <v>22.8</v>
      </c>
      <c r="O183" t="s">
        <v>328</v>
      </c>
      <c r="P183" t="s">
        <v>225</v>
      </c>
    </row>
    <row r="184" spans="11:16" x14ac:dyDescent="0.2">
      <c r="K184">
        <v>2008</v>
      </c>
      <c r="L184" t="s">
        <v>223</v>
      </c>
      <c r="M184" t="s">
        <v>154</v>
      </c>
      <c r="N184">
        <v>22.8</v>
      </c>
      <c r="O184" t="s">
        <v>328</v>
      </c>
      <c r="P184" t="s">
        <v>226</v>
      </c>
    </row>
    <row r="185" spans="11:16" x14ac:dyDescent="0.2">
      <c r="K185">
        <v>2009</v>
      </c>
      <c r="L185" t="s">
        <v>223</v>
      </c>
      <c r="M185" t="s">
        <v>154</v>
      </c>
      <c r="N185">
        <v>22.9</v>
      </c>
      <c r="O185" t="s">
        <v>329</v>
      </c>
      <c r="P185" t="s">
        <v>225</v>
      </c>
    </row>
    <row r="186" spans="11:16" x14ac:dyDescent="0.2">
      <c r="K186">
        <v>2009</v>
      </c>
      <c r="L186" t="s">
        <v>223</v>
      </c>
      <c r="M186" t="s">
        <v>154</v>
      </c>
      <c r="N186">
        <v>22.9</v>
      </c>
      <c r="O186" t="s">
        <v>329</v>
      </c>
      <c r="P186" t="s">
        <v>226</v>
      </c>
    </row>
    <row r="187" spans="11:16" x14ac:dyDescent="0.2">
      <c r="K187">
        <v>2010</v>
      </c>
      <c r="L187" t="s">
        <v>223</v>
      </c>
      <c r="M187" t="s">
        <v>154</v>
      </c>
      <c r="N187">
        <v>22.5</v>
      </c>
      <c r="O187" t="s">
        <v>330</v>
      </c>
      <c r="P187" t="s">
        <v>225</v>
      </c>
    </row>
    <row r="188" spans="11:16" x14ac:dyDescent="0.2">
      <c r="K188">
        <v>2010</v>
      </c>
      <c r="L188" t="s">
        <v>223</v>
      </c>
      <c r="M188" t="s">
        <v>154</v>
      </c>
      <c r="N188">
        <v>22.5</v>
      </c>
      <c r="O188" t="s">
        <v>330</v>
      </c>
      <c r="P188" t="s">
        <v>226</v>
      </c>
    </row>
    <row r="189" spans="11:16" x14ac:dyDescent="0.2">
      <c r="K189">
        <v>2011</v>
      </c>
      <c r="L189" t="s">
        <v>223</v>
      </c>
      <c r="M189" t="s">
        <v>154</v>
      </c>
      <c r="N189">
        <v>23</v>
      </c>
      <c r="O189" t="s">
        <v>331</v>
      </c>
      <c r="P189" t="s">
        <v>225</v>
      </c>
    </row>
    <row r="190" spans="11:16" x14ac:dyDescent="0.2">
      <c r="K190">
        <v>2011</v>
      </c>
      <c r="L190" t="s">
        <v>223</v>
      </c>
      <c r="M190" t="s">
        <v>154</v>
      </c>
      <c r="N190">
        <v>23</v>
      </c>
      <c r="O190" t="s">
        <v>331</v>
      </c>
      <c r="P190" t="s">
        <v>226</v>
      </c>
    </row>
    <row r="191" spans="11:16" x14ac:dyDescent="0.2">
      <c r="K191">
        <v>2012</v>
      </c>
      <c r="L191" t="s">
        <v>223</v>
      </c>
      <c r="M191" t="s">
        <v>154</v>
      </c>
      <c r="N191">
        <v>22.9</v>
      </c>
      <c r="O191" t="s">
        <v>332</v>
      </c>
      <c r="P191" t="s">
        <v>225</v>
      </c>
    </row>
    <row r="192" spans="11:16" x14ac:dyDescent="0.2">
      <c r="K192">
        <v>2012</v>
      </c>
      <c r="L192" t="s">
        <v>223</v>
      </c>
      <c r="M192" t="s">
        <v>154</v>
      </c>
      <c r="N192">
        <v>22.9</v>
      </c>
      <c r="O192" t="s">
        <v>332</v>
      </c>
      <c r="P192" t="s">
        <v>226</v>
      </c>
    </row>
    <row r="193" spans="11:16" x14ac:dyDescent="0.2">
      <c r="K193">
        <v>2008</v>
      </c>
      <c r="L193" t="s">
        <v>235</v>
      </c>
      <c r="M193" t="s">
        <v>154</v>
      </c>
      <c r="N193">
        <v>22</v>
      </c>
      <c r="O193" t="s">
        <v>333</v>
      </c>
      <c r="P193" t="s">
        <v>225</v>
      </c>
    </row>
    <row r="194" spans="11:16" x14ac:dyDescent="0.2">
      <c r="K194">
        <v>2008</v>
      </c>
      <c r="L194" t="s">
        <v>235</v>
      </c>
      <c r="M194" t="s">
        <v>154</v>
      </c>
      <c r="N194">
        <v>22</v>
      </c>
      <c r="O194" t="s">
        <v>333</v>
      </c>
      <c r="P194" t="s">
        <v>226</v>
      </c>
    </row>
    <row r="195" spans="11:16" x14ac:dyDescent="0.2">
      <c r="K195">
        <v>2009</v>
      </c>
      <c r="L195" t="s">
        <v>235</v>
      </c>
      <c r="M195" t="s">
        <v>154</v>
      </c>
      <c r="N195">
        <v>22.4</v>
      </c>
      <c r="O195" t="s">
        <v>334</v>
      </c>
      <c r="P195" t="s">
        <v>225</v>
      </c>
    </row>
    <row r="196" spans="11:16" x14ac:dyDescent="0.2">
      <c r="K196">
        <v>2009</v>
      </c>
      <c r="L196" t="s">
        <v>235</v>
      </c>
      <c r="M196" t="s">
        <v>154</v>
      </c>
      <c r="N196">
        <v>22.4</v>
      </c>
      <c r="O196" t="s">
        <v>334</v>
      </c>
      <c r="P196" t="s">
        <v>226</v>
      </c>
    </row>
    <row r="197" spans="11:16" x14ac:dyDescent="0.2">
      <c r="K197">
        <v>2010</v>
      </c>
      <c r="L197" t="s">
        <v>235</v>
      </c>
      <c r="M197" t="s">
        <v>154</v>
      </c>
      <c r="N197">
        <v>22</v>
      </c>
      <c r="O197" t="s">
        <v>335</v>
      </c>
      <c r="P197" t="s">
        <v>225</v>
      </c>
    </row>
    <row r="198" spans="11:16" x14ac:dyDescent="0.2">
      <c r="K198">
        <v>2010</v>
      </c>
      <c r="L198" t="s">
        <v>235</v>
      </c>
      <c r="M198" t="s">
        <v>154</v>
      </c>
      <c r="N198">
        <v>22</v>
      </c>
      <c r="O198" t="s">
        <v>335</v>
      </c>
      <c r="P198" t="s">
        <v>226</v>
      </c>
    </row>
    <row r="199" spans="11:16" x14ac:dyDescent="0.2">
      <c r="K199">
        <v>2011</v>
      </c>
      <c r="L199" t="s">
        <v>235</v>
      </c>
      <c r="M199" t="s">
        <v>154</v>
      </c>
      <c r="N199">
        <v>22</v>
      </c>
      <c r="O199" t="s">
        <v>336</v>
      </c>
      <c r="P199" t="s">
        <v>225</v>
      </c>
    </row>
    <row r="200" spans="11:16" x14ac:dyDescent="0.2">
      <c r="K200">
        <v>2011</v>
      </c>
      <c r="L200" t="s">
        <v>235</v>
      </c>
      <c r="M200" t="s">
        <v>154</v>
      </c>
      <c r="N200">
        <v>22</v>
      </c>
      <c r="O200" t="s">
        <v>336</v>
      </c>
      <c r="P200" t="s">
        <v>226</v>
      </c>
    </row>
    <row r="201" spans="11:16" x14ac:dyDescent="0.2">
      <c r="K201">
        <v>2012</v>
      </c>
      <c r="L201" t="s">
        <v>235</v>
      </c>
      <c r="M201" t="s">
        <v>154</v>
      </c>
      <c r="N201">
        <v>21.5</v>
      </c>
      <c r="O201" t="s">
        <v>337</v>
      </c>
      <c r="P201" t="s">
        <v>225</v>
      </c>
    </row>
    <row r="202" spans="11:16" x14ac:dyDescent="0.2">
      <c r="K202">
        <v>2012</v>
      </c>
      <c r="L202" t="s">
        <v>235</v>
      </c>
      <c r="M202" t="s">
        <v>154</v>
      </c>
      <c r="N202">
        <v>21.5</v>
      </c>
      <c r="O202" t="s">
        <v>337</v>
      </c>
      <c r="P202" t="s">
        <v>226</v>
      </c>
    </row>
    <row r="203" spans="11:16" x14ac:dyDescent="0.2">
      <c r="K203">
        <v>2008</v>
      </c>
      <c r="L203" t="s">
        <v>223</v>
      </c>
      <c r="M203" t="s">
        <v>153</v>
      </c>
      <c r="N203">
        <v>22.7</v>
      </c>
      <c r="O203" t="s">
        <v>338</v>
      </c>
      <c r="P203" t="s">
        <v>225</v>
      </c>
    </row>
    <row r="204" spans="11:16" x14ac:dyDescent="0.2">
      <c r="K204">
        <v>2008</v>
      </c>
      <c r="L204" t="s">
        <v>223</v>
      </c>
      <c r="M204" t="s">
        <v>153</v>
      </c>
      <c r="N204">
        <v>22.7</v>
      </c>
      <c r="O204" t="s">
        <v>338</v>
      </c>
      <c r="P204" t="s">
        <v>226</v>
      </c>
    </row>
    <row r="205" spans="11:16" x14ac:dyDescent="0.2">
      <c r="K205">
        <v>2009</v>
      </c>
      <c r="L205" t="s">
        <v>223</v>
      </c>
      <c r="M205" t="s">
        <v>153</v>
      </c>
      <c r="N205">
        <v>23</v>
      </c>
      <c r="O205" t="s">
        <v>339</v>
      </c>
      <c r="P205" t="s">
        <v>225</v>
      </c>
    </row>
    <row r="206" spans="11:16" x14ac:dyDescent="0.2">
      <c r="K206">
        <v>2009</v>
      </c>
      <c r="L206" t="s">
        <v>223</v>
      </c>
      <c r="M206" t="s">
        <v>153</v>
      </c>
      <c r="N206">
        <v>23</v>
      </c>
      <c r="O206" t="s">
        <v>339</v>
      </c>
      <c r="P206" t="s">
        <v>226</v>
      </c>
    </row>
    <row r="207" spans="11:16" x14ac:dyDescent="0.2">
      <c r="K207">
        <v>2010</v>
      </c>
      <c r="L207" t="s">
        <v>223</v>
      </c>
      <c r="M207" t="s">
        <v>153</v>
      </c>
      <c r="N207">
        <v>22.6</v>
      </c>
      <c r="O207" t="s">
        <v>340</v>
      </c>
      <c r="P207" t="s">
        <v>225</v>
      </c>
    </row>
    <row r="208" spans="11:16" x14ac:dyDescent="0.2">
      <c r="K208">
        <v>2010</v>
      </c>
      <c r="L208" t="s">
        <v>223</v>
      </c>
      <c r="M208" t="s">
        <v>153</v>
      </c>
      <c r="N208">
        <v>22.6</v>
      </c>
      <c r="O208" t="s">
        <v>340</v>
      </c>
      <c r="P208" t="s">
        <v>226</v>
      </c>
    </row>
    <row r="209" spans="11:16" x14ac:dyDescent="0.2">
      <c r="K209">
        <v>2011</v>
      </c>
      <c r="L209" t="s">
        <v>223</v>
      </c>
      <c r="M209" t="s">
        <v>153</v>
      </c>
      <c r="N209">
        <v>22.8</v>
      </c>
      <c r="O209" t="s">
        <v>341</v>
      </c>
      <c r="P209" t="s">
        <v>225</v>
      </c>
    </row>
    <row r="210" spans="11:16" x14ac:dyDescent="0.2">
      <c r="K210">
        <v>2011</v>
      </c>
      <c r="L210" t="s">
        <v>223</v>
      </c>
      <c r="M210" t="s">
        <v>153</v>
      </c>
      <c r="N210">
        <v>22.8</v>
      </c>
      <c r="O210" t="s">
        <v>341</v>
      </c>
      <c r="P210" t="s">
        <v>226</v>
      </c>
    </row>
    <row r="211" spans="11:16" x14ac:dyDescent="0.2">
      <c r="K211">
        <v>2012</v>
      </c>
      <c r="L211" t="s">
        <v>223</v>
      </c>
      <c r="M211" t="s">
        <v>153</v>
      </c>
      <c r="N211">
        <v>22.7</v>
      </c>
      <c r="O211" t="s">
        <v>342</v>
      </c>
      <c r="P211" t="s">
        <v>225</v>
      </c>
    </row>
    <row r="212" spans="11:16" x14ac:dyDescent="0.2">
      <c r="K212">
        <v>2012</v>
      </c>
      <c r="L212" t="s">
        <v>223</v>
      </c>
      <c r="M212" t="s">
        <v>153</v>
      </c>
      <c r="N212">
        <v>22.7</v>
      </c>
      <c r="O212" t="s">
        <v>342</v>
      </c>
      <c r="P212" t="s">
        <v>226</v>
      </c>
    </row>
    <row r="213" spans="11:16" x14ac:dyDescent="0.2">
      <c r="K213">
        <v>2008</v>
      </c>
      <c r="L213" t="s">
        <v>235</v>
      </c>
      <c r="M213" t="s">
        <v>153</v>
      </c>
      <c r="N213">
        <v>21.9</v>
      </c>
      <c r="O213" t="s">
        <v>343</v>
      </c>
      <c r="P213" t="s">
        <v>225</v>
      </c>
    </row>
    <row r="214" spans="11:16" x14ac:dyDescent="0.2">
      <c r="K214">
        <v>2008</v>
      </c>
      <c r="L214" t="s">
        <v>235</v>
      </c>
      <c r="M214" t="s">
        <v>153</v>
      </c>
      <c r="N214">
        <v>21.9</v>
      </c>
      <c r="O214" t="s">
        <v>343</v>
      </c>
      <c r="P214" t="s">
        <v>226</v>
      </c>
    </row>
    <row r="215" spans="11:16" x14ac:dyDescent="0.2">
      <c r="K215">
        <v>2009</v>
      </c>
      <c r="L215" t="s">
        <v>235</v>
      </c>
      <c r="M215" t="s">
        <v>153</v>
      </c>
      <c r="N215">
        <v>21.9</v>
      </c>
      <c r="O215" t="s">
        <v>344</v>
      </c>
      <c r="P215" t="s">
        <v>225</v>
      </c>
    </row>
    <row r="216" spans="11:16" x14ac:dyDescent="0.2">
      <c r="K216">
        <v>2009</v>
      </c>
      <c r="L216" t="s">
        <v>235</v>
      </c>
      <c r="M216" t="s">
        <v>153</v>
      </c>
      <c r="N216">
        <v>21.9</v>
      </c>
      <c r="O216" t="s">
        <v>344</v>
      </c>
      <c r="P216" t="s">
        <v>226</v>
      </c>
    </row>
    <row r="217" spans="11:16" x14ac:dyDescent="0.2">
      <c r="K217">
        <v>2010</v>
      </c>
      <c r="L217" t="s">
        <v>235</v>
      </c>
      <c r="M217" t="s">
        <v>153</v>
      </c>
      <c r="N217">
        <v>21.9</v>
      </c>
      <c r="O217" t="s">
        <v>345</v>
      </c>
      <c r="P217" t="s">
        <v>225</v>
      </c>
    </row>
    <row r="218" spans="11:16" x14ac:dyDescent="0.2">
      <c r="K218">
        <v>2010</v>
      </c>
      <c r="L218" t="s">
        <v>235</v>
      </c>
      <c r="M218" t="s">
        <v>153</v>
      </c>
      <c r="N218">
        <v>21.9</v>
      </c>
      <c r="O218" t="s">
        <v>345</v>
      </c>
      <c r="P218" t="s">
        <v>226</v>
      </c>
    </row>
    <row r="219" spans="11:16" x14ac:dyDescent="0.2">
      <c r="K219">
        <v>2011</v>
      </c>
      <c r="L219" t="s">
        <v>235</v>
      </c>
      <c r="M219" t="s">
        <v>153</v>
      </c>
      <c r="N219">
        <v>20.9</v>
      </c>
      <c r="O219" t="s">
        <v>346</v>
      </c>
      <c r="P219" t="s">
        <v>225</v>
      </c>
    </row>
    <row r="220" spans="11:16" x14ac:dyDescent="0.2">
      <c r="K220">
        <v>2011</v>
      </c>
      <c r="L220" t="s">
        <v>235</v>
      </c>
      <c r="M220" t="s">
        <v>153</v>
      </c>
      <c r="N220">
        <v>20.9</v>
      </c>
      <c r="O220" t="s">
        <v>346</v>
      </c>
      <c r="P220" t="s">
        <v>226</v>
      </c>
    </row>
    <row r="221" spans="11:16" x14ac:dyDescent="0.2">
      <c r="K221">
        <v>2012</v>
      </c>
      <c r="L221" t="s">
        <v>235</v>
      </c>
      <c r="M221" t="s">
        <v>153</v>
      </c>
      <c r="N221">
        <v>21.6</v>
      </c>
      <c r="O221" t="s">
        <v>347</v>
      </c>
      <c r="P221" t="s">
        <v>225</v>
      </c>
    </row>
    <row r="222" spans="11:16" x14ac:dyDescent="0.2">
      <c r="K222">
        <v>2012</v>
      </c>
      <c r="L222" t="s">
        <v>235</v>
      </c>
      <c r="M222" t="s">
        <v>153</v>
      </c>
      <c r="N222">
        <v>21.6</v>
      </c>
      <c r="O222" t="s">
        <v>347</v>
      </c>
      <c r="P222" t="s">
        <v>226</v>
      </c>
    </row>
    <row r="223" spans="11:16" x14ac:dyDescent="0.2">
      <c r="K223">
        <v>2008</v>
      </c>
      <c r="L223" t="s">
        <v>223</v>
      </c>
      <c r="M223" t="s">
        <v>148</v>
      </c>
      <c r="N223">
        <v>9.6999999999999993</v>
      </c>
      <c r="O223" t="s">
        <v>348</v>
      </c>
      <c r="P223" t="s">
        <v>225</v>
      </c>
    </row>
    <row r="224" spans="11:16" x14ac:dyDescent="0.2">
      <c r="K224">
        <v>2008</v>
      </c>
      <c r="L224" t="s">
        <v>223</v>
      </c>
      <c r="M224" t="s">
        <v>148</v>
      </c>
      <c r="N224">
        <v>9.6999999999999993</v>
      </c>
      <c r="O224" t="s">
        <v>348</v>
      </c>
      <c r="P224" t="s">
        <v>226</v>
      </c>
    </row>
    <row r="225" spans="11:16" x14ac:dyDescent="0.2">
      <c r="K225">
        <v>2009</v>
      </c>
      <c r="L225" t="s">
        <v>223</v>
      </c>
      <c r="M225" t="s">
        <v>148</v>
      </c>
      <c r="N225">
        <v>12.8</v>
      </c>
      <c r="O225" t="s">
        <v>349</v>
      </c>
      <c r="P225" t="s">
        <v>225</v>
      </c>
    </row>
    <row r="226" spans="11:16" x14ac:dyDescent="0.2">
      <c r="K226">
        <v>2009</v>
      </c>
      <c r="L226" t="s">
        <v>223</v>
      </c>
      <c r="M226" t="s">
        <v>148</v>
      </c>
      <c r="N226">
        <v>12.8</v>
      </c>
      <c r="O226" t="s">
        <v>349</v>
      </c>
      <c r="P226" t="s">
        <v>226</v>
      </c>
    </row>
    <row r="227" spans="11:16" x14ac:dyDescent="0.2">
      <c r="K227">
        <v>2010</v>
      </c>
      <c r="L227" t="s">
        <v>223</v>
      </c>
      <c r="M227" t="s">
        <v>148</v>
      </c>
      <c r="N227">
        <v>9.5</v>
      </c>
      <c r="O227" t="s">
        <v>350</v>
      </c>
      <c r="P227" t="s">
        <v>225</v>
      </c>
    </row>
    <row r="228" spans="11:16" x14ac:dyDescent="0.2">
      <c r="K228">
        <v>2010</v>
      </c>
      <c r="L228" t="s">
        <v>223</v>
      </c>
      <c r="M228" t="s">
        <v>148</v>
      </c>
      <c r="N228">
        <v>9.5</v>
      </c>
      <c r="O228" t="s">
        <v>350</v>
      </c>
      <c r="P228" t="s">
        <v>226</v>
      </c>
    </row>
    <row r="229" spans="11:16" x14ac:dyDescent="0.2">
      <c r="K229">
        <v>2011</v>
      </c>
      <c r="L229" t="s">
        <v>223</v>
      </c>
      <c r="M229" t="s">
        <v>148</v>
      </c>
      <c r="N229">
        <v>9.6</v>
      </c>
      <c r="O229" t="s">
        <v>351</v>
      </c>
      <c r="P229" t="s">
        <v>225</v>
      </c>
    </row>
    <row r="230" spans="11:16" x14ac:dyDescent="0.2">
      <c r="K230">
        <v>2011</v>
      </c>
      <c r="L230" t="s">
        <v>223</v>
      </c>
      <c r="M230" t="s">
        <v>148</v>
      </c>
      <c r="N230">
        <v>9.6</v>
      </c>
      <c r="O230" t="s">
        <v>351</v>
      </c>
      <c r="P230" t="s">
        <v>226</v>
      </c>
    </row>
    <row r="231" spans="11:16" x14ac:dyDescent="0.2">
      <c r="K231">
        <v>2012</v>
      </c>
      <c r="L231" t="s">
        <v>223</v>
      </c>
      <c r="M231" t="s">
        <v>148</v>
      </c>
      <c r="N231">
        <v>9.6</v>
      </c>
      <c r="O231" t="s">
        <v>352</v>
      </c>
      <c r="P231" t="s">
        <v>225</v>
      </c>
    </row>
    <row r="232" spans="11:16" x14ac:dyDescent="0.2">
      <c r="K232">
        <v>2012</v>
      </c>
      <c r="L232" t="s">
        <v>223</v>
      </c>
      <c r="M232" t="s">
        <v>148</v>
      </c>
      <c r="N232">
        <v>9.6</v>
      </c>
      <c r="O232" t="s">
        <v>352</v>
      </c>
      <c r="P232" t="s">
        <v>226</v>
      </c>
    </row>
    <row r="233" spans="11:16" x14ac:dyDescent="0.2">
      <c r="K233">
        <v>2008</v>
      </c>
      <c r="L233" t="s">
        <v>235</v>
      </c>
      <c r="M233" t="s">
        <v>148</v>
      </c>
      <c r="N233">
        <v>9.3000000000000007</v>
      </c>
      <c r="O233" t="s">
        <v>353</v>
      </c>
      <c r="P233" t="s">
        <v>225</v>
      </c>
    </row>
    <row r="234" spans="11:16" x14ac:dyDescent="0.2">
      <c r="K234">
        <v>2008</v>
      </c>
      <c r="L234" t="s">
        <v>235</v>
      </c>
      <c r="M234" t="s">
        <v>148</v>
      </c>
      <c r="N234">
        <v>9.3000000000000007</v>
      </c>
      <c r="O234" t="s">
        <v>353</v>
      </c>
      <c r="P234" t="s">
        <v>226</v>
      </c>
    </row>
    <row r="235" spans="11:16" x14ac:dyDescent="0.2">
      <c r="K235">
        <v>2009</v>
      </c>
      <c r="L235" t="s">
        <v>235</v>
      </c>
      <c r="M235" t="s">
        <v>148</v>
      </c>
      <c r="N235">
        <v>9.3000000000000007</v>
      </c>
      <c r="O235" t="s">
        <v>354</v>
      </c>
      <c r="P235" t="s">
        <v>225</v>
      </c>
    </row>
    <row r="236" spans="11:16" x14ac:dyDescent="0.2">
      <c r="K236">
        <v>2009</v>
      </c>
      <c r="L236" t="s">
        <v>235</v>
      </c>
      <c r="M236" t="s">
        <v>148</v>
      </c>
      <c r="N236">
        <v>9.3000000000000007</v>
      </c>
      <c r="O236" t="s">
        <v>354</v>
      </c>
      <c r="P236" t="s">
        <v>226</v>
      </c>
    </row>
    <row r="237" spans="11:16" x14ac:dyDescent="0.2">
      <c r="K237">
        <v>2010</v>
      </c>
      <c r="L237" t="s">
        <v>235</v>
      </c>
      <c r="M237" t="s">
        <v>148</v>
      </c>
      <c r="N237">
        <v>9.1999999999999993</v>
      </c>
      <c r="O237" t="s">
        <v>355</v>
      </c>
      <c r="P237" t="s">
        <v>225</v>
      </c>
    </row>
    <row r="238" spans="11:16" x14ac:dyDescent="0.2">
      <c r="K238">
        <v>2010</v>
      </c>
      <c r="L238" t="s">
        <v>235</v>
      </c>
      <c r="M238" t="s">
        <v>148</v>
      </c>
      <c r="N238">
        <v>9.1999999999999993</v>
      </c>
      <c r="O238" t="s">
        <v>355</v>
      </c>
      <c r="P238" t="s">
        <v>226</v>
      </c>
    </row>
    <row r="239" spans="11:16" x14ac:dyDescent="0.2">
      <c r="K239">
        <v>2011</v>
      </c>
      <c r="L239" t="s">
        <v>235</v>
      </c>
      <c r="M239" t="s">
        <v>148</v>
      </c>
      <c r="N239">
        <v>9.4</v>
      </c>
      <c r="O239" t="s">
        <v>356</v>
      </c>
      <c r="P239" t="s">
        <v>225</v>
      </c>
    </row>
    <row r="240" spans="11:16" x14ac:dyDescent="0.2">
      <c r="K240">
        <v>2011</v>
      </c>
      <c r="L240" t="s">
        <v>235</v>
      </c>
      <c r="M240" t="s">
        <v>148</v>
      </c>
      <c r="N240">
        <v>9.4</v>
      </c>
      <c r="O240" t="s">
        <v>356</v>
      </c>
      <c r="P240" t="s">
        <v>226</v>
      </c>
    </row>
    <row r="241" spans="11:16" x14ac:dyDescent="0.2">
      <c r="K241">
        <v>2012</v>
      </c>
      <c r="L241" t="s">
        <v>235</v>
      </c>
      <c r="M241" t="s">
        <v>148</v>
      </c>
      <c r="N241">
        <v>9.1999999999999993</v>
      </c>
      <c r="O241" t="s">
        <v>357</v>
      </c>
      <c r="P241" t="s">
        <v>225</v>
      </c>
    </row>
    <row r="242" spans="11:16" x14ac:dyDescent="0.2">
      <c r="K242">
        <v>2012</v>
      </c>
      <c r="L242" t="s">
        <v>235</v>
      </c>
      <c r="M242" t="s">
        <v>148</v>
      </c>
      <c r="N242">
        <v>9.1999999999999993</v>
      </c>
      <c r="O242" t="s">
        <v>357</v>
      </c>
      <c r="P242" t="s">
        <v>226</v>
      </c>
    </row>
    <row r="243" spans="11:16" x14ac:dyDescent="0.2">
      <c r="K243">
        <v>2008</v>
      </c>
      <c r="L243" t="s">
        <v>223</v>
      </c>
      <c r="M243" t="s">
        <v>150</v>
      </c>
      <c r="N243">
        <v>8.3000000000000007</v>
      </c>
      <c r="O243" t="s">
        <v>358</v>
      </c>
      <c r="P243" t="s">
        <v>225</v>
      </c>
    </row>
    <row r="244" spans="11:16" x14ac:dyDescent="0.2">
      <c r="K244">
        <v>2008</v>
      </c>
      <c r="L244" t="s">
        <v>223</v>
      </c>
      <c r="M244" t="s">
        <v>150</v>
      </c>
      <c r="N244">
        <v>8.3000000000000007</v>
      </c>
      <c r="O244" t="s">
        <v>358</v>
      </c>
      <c r="P244" t="s">
        <v>226</v>
      </c>
    </row>
    <row r="245" spans="11:16" x14ac:dyDescent="0.2">
      <c r="K245">
        <v>2009</v>
      </c>
      <c r="L245" t="s">
        <v>223</v>
      </c>
      <c r="M245" t="s">
        <v>150</v>
      </c>
      <c r="N245">
        <v>8.3000000000000007</v>
      </c>
      <c r="O245" t="s">
        <v>359</v>
      </c>
      <c r="P245" t="s">
        <v>225</v>
      </c>
    </row>
    <row r="246" spans="11:16" x14ac:dyDescent="0.2">
      <c r="K246">
        <v>2009</v>
      </c>
      <c r="L246" t="s">
        <v>223</v>
      </c>
      <c r="M246" t="s">
        <v>150</v>
      </c>
      <c r="N246">
        <v>8.3000000000000007</v>
      </c>
      <c r="O246" t="s">
        <v>359</v>
      </c>
      <c r="P246" t="s">
        <v>226</v>
      </c>
    </row>
    <row r="247" spans="11:16" x14ac:dyDescent="0.2">
      <c r="K247">
        <v>2010</v>
      </c>
      <c r="L247" t="s">
        <v>223</v>
      </c>
      <c r="M247" t="s">
        <v>150</v>
      </c>
      <c r="N247">
        <v>8</v>
      </c>
      <c r="O247" t="s">
        <v>360</v>
      </c>
      <c r="P247" t="s">
        <v>225</v>
      </c>
    </row>
    <row r="248" spans="11:16" x14ac:dyDescent="0.2">
      <c r="K248">
        <v>2010</v>
      </c>
      <c r="L248" t="s">
        <v>223</v>
      </c>
      <c r="M248" t="s">
        <v>150</v>
      </c>
      <c r="N248">
        <v>8</v>
      </c>
      <c r="O248" t="s">
        <v>360</v>
      </c>
      <c r="P248" t="s">
        <v>226</v>
      </c>
    </row>
    <row r="249" spans="11:16" x14ac:dyDescent="0.2">
      <c r="K249">
        <v>2011</v>
      </c>
      <c r="L249" t="s">
        <v>223</v>
      </c>
      <c r="M249" t="s">
        <v>150</v>
      </c>
      <c r="N249">
        <v>8.1</v>
      </c>
      <c r="O249" t="s">
        <v>361</v>
      </c>
      <c r="P249" t="s">
        <v>225</v>
      </c>
    </row>
    <row r="250" spans="11:16" x14ac:dyDescent="0.2">
      <c r="K250">
        <v>2011</v>
      </c>
      <c r="L250" t="s">
        <v>223</v>
      </c>
      <c r="M250" t="s">
        <v>150</v>
      </c>
      <c r="N250">
        <v>8.1</v>
      </c>
      <c r="O250" t="s">
        <v>361</v>
      </c>
      <c r="P250" t="s">
        <v>226</v>
      </c>
    </row>
    <row r="251" spans="11:16" x14ac:dyDescent="0.2">
      <c r="K251">
        <v>2012</v>
      </c>
      <c r="L251" t="s">
        <v>223</v>
      </c>
      <c r="M251" t="s">
        <v>150</v>
      </c>
      <c r="N251">
        <v>8.1999999999999993</v>
      </c>
      <c r="O251" t="s">
        <v>362</v>
      </c>
      <c r="P251" t="s">
        <v>225</v>
      </c>
    </row>
    <row r="252" spans="11:16" x14ac:dyDescent="0.2">
      <c r="K252">
        <v>2012</v>
      </c>
      <c r="L252" t="s">
        <v>223</v>
      </c>
      <c r="M252" t="s">
        <v>150</v>
      </c>
      <c r="N252">
        <v>8.1999999999999993</v>
      </c>
      <c r="O252" t="s">
        <v>362</v>
      </c>
      <c r="P252" t="s">
        <v>226</v>
      </c>
    </row>
    <row r="253" spans="11:16" x14ac:dyDescent="0.2">
      <c r="K253">
        <v>2008</v>
      </c>
      <c r="L253" t="s">
        <v>235</v>
      </c>
      <c r="M253" t="s">
        <v>150</v>
      </c>
      <c r="N253">
        <v>8</v>
      </c>
      <c r="O253" t="s">
        <v>363</v>
      </c>
      <c r="P253" t="s">
        <v>225</v>
      </c>
    </row>
    <row r="254" spans="11:16" x14ac:dyDescent="0.2">
      <c r="K254">
        <v>2008</v>
      </c>
      <c r="L254" t="s">
        <v>235</v>
      </c>
      <c r="M254" t="s">
        <v>150</v>
      </c>
      <c r="N254">
        <v>8</v>
      </c>
      <c r="O254" t="s">
        <v>363</v>
      </c>
      <c r="P254" t="s">
        <v>226</v>
      </c>
    </row>
    <row r="255" spans="11:16" x14ac:dyDescent="0.2">
      <c r="K255">
        <v>2009</v>
      </c>
      <c r="L255" t="s">
        <v>235</v>
      </c>
      <c r="M255" t="s">
        <v>150</v>
      </c>
      <c r="N255">
        <v>8</v>
      </c>
      <c r="O255" t="s">
        <v>364</v>
      </c>
      <c r="P255" t="s">
        <v>225</v>
      </c>
    </row>
    <row r="256" spans="11:16" x14ac:dyDescent="0.2">
      <c r="K256">
        <v>2009</v>
      </c>
      <c r="L256" t="s">
        <v>235</v>
      </c>
      <c r="M256" t="s">
        <v>150</v>
      </c>
      <c r="N256">
        <v>8</v>
      </c>
      <c r="O256" t="s">
        <v>364</v>
      </c>
      <c r="P256" t="s">
        <v>226</v>
      </c>
    </row>
    <row r="257" spans="11:16" x14ac:dyDescent="0.2">
      <c r="K257">
        <v>2010</v>
      </c>
      <c r="L257" t="s">
        <v>235</v>
      </c>
      <c r="M257" t="s">
        <v>150</v>
      </c>
      <c r="N257">
        <v>7.9</v>
      </c>
      <c r="O257" t="s">
        <v>365</v>
      </c>
      <c r="P257" t="s">
        <v>225</v>
      </c>
    </row>
    <row r="258" spans="11:16" x14ac:dyDescent="0.2">
      <c r="K258">
        <v>2010</v>
      </c>
      <c r="L258" t="s">
        <v>235</v>
      </c>
      <c r="M258" t="s">
        <v>150</v>
      </c>
      <c r="N258">
        <v>7.9</v>
      </c>
      <c r="O258" t="s">
        <v>365</v>
      </c>
      <c r="P258" t="s">
        <v>226</v>
      </c>
    </row>
    <row r="259" spans="11:16" x14ac:dyDescent="0.2">
      <c r="K259">
        <v>2011</v>
      </c>
      <c r="L259" t="s">
        <v>235</v>
      </c>
      <c r="M259" t="s">
        <v>150</v>
      </c>
      <c r="N259">
        <v>8</v>
      </c>
      <c r="O259" t="s">
        <v>366</v>
      </c>
      <c r="P259" t="s">
        <v>225</v>
      </c>
    </row>
    <row r="260" spans="11:16" x14ac:dyDescent="0.2">
      <c r="K260">
        <v>2011</v>
      </c>
      <c r="L260" t="s">
        <v>235</v>
      </c>
      <c r="M260" t="s">
        <v>150</v>
      </c>
      <c r="N260">
        <v>8</v>
      </c>
      <c r="O260" t="s">
        <v>366</v>
      </c>
      <c r="P260" t="s">
        <v>226</v>
      </c>
    </row>
    <row r="261" spans="11:16" x14ac:dyDescent="0.2">
      <c r="K261">
        <v>2012</v>
      </c>
      <c r="L261" t="s">
        <v>235</v>
      </c>
      <c r="M261" t="s">
        <v>150</v>
      </c>
      <c r="N261">
        <v>7.7</v>
      </c>
      <c r="O261" t="s">
        <v>367</v>
      </c>
      <c r="P261" t="s">
        <v>225</v>
      </c>
    </row>
    <row r="262" spans="11:16" x14ac:dyDescent="0.2">
      <c r="K262">
        <v>2012</v>
      </c>
      <c r="L262" t="s">
        <v>235</v>
      </c>
      <c r="M262" t="s">
        <v>150</v>
      </c>
      <c r="N262">
        <v>7.7</v>
      </c>
      <c r="O262" t="s">
        <v>367</v>
      </c>
      <c r="P262" t="s">
        <v>226</v>
      </c>
    </row>
    <row r="263" spans="11:16" x14ac:dyDescent="0.2">
      <c r="K263">
        <v>2008</v>
      </c>
      <c r="L263" t="s">
        <v>223</v>
      </c>
      <c r="M263" t="s">
        <v>147</v>
      </c>
      <c r="N263">
        <v>8.6</v>
      </c>
      <c r="O263" t="s">
        <v>368</v>
      </c>
      <c r="P263" t="s">
        <v>225</v>
      </c>
    </row>
    <row r="264" spans="11:16" x14ac:dyDescent="0.2">
      <c r="K264">
        <v>2008</v>
      </c>
      <c r="L264" t="s">
        <v>223</v>
      </c>
      <c r="M264" t="s">
        <v>147</v>
      </c>
      <c r="N264">
        <v>8.6</v>
      </c>
      <c r="O264" t="s">
        <v>368</v>
      </c>
      <c r="P264" t="s">
        <v>226</v>
      </c>
    </row>
    <row r="265" spans="11:16" x14ac:dyDescent="0.2">
      <c r="K265">
        <v>2009</v>
      </c>
      <c r="L265" t="s">
        <v>223</v>
      </c>
      <c r="M265" t="s">
        <v>147</v>
      </c>
      <c r="N265">
        <v>8.6</v>
      </c>
      <c r="O265" t="s">
        <v>369</v>
      </c>
      <c r="P265" t="s">
        <v>225</v>
      </c>
    </row>
    <row r="266" spans="11:16" x14ac:dyDescent="0.2">
      <c r="K266">
        <v>2009</v>
      </c>
      <c r="L266" t="s">
        <v>223</v>
      </c>
      <c r="M266" t="s">
        <v>147</v>
      </c>
      <c r="N266">
        <v>8.6</v>
      </c>
      <c r="O266" t="s">
        <v>369</v>
      </c>
      <c r="P266" t="s">
        <v>226</v>
      </c>
    </row>
    <row r="267" spans="11:16" x14ac:dyDescent="0.2">
      <c r="K267">
        <v>2010</v>
      </c>
      <c r="L267" t="s">
        <v>223</v>
      </c>
      <c r="M267" t="s">
        <v>147</v>
      </c>
      <c r="N267">
        <v>8.3000000000000007</v>
      </c>
      <c r="O267" t="s">
        <v>370</v>
      </c>
      <c r="P267" t="s">
        <v>225</v>
      </c>
    </row>
    <row r="268" spans="11:16" x14ac:dyDescent="0.2">
      <c r="K268">
        <v>2010</v>
      </c>
      <c r="L268" t="s">
        <v>223</v>
      </c>
      <c r="M268" t="s">
        <v>147</v>
      </c>
      <c r="N268">
        <v>8.3000000000000007</v>
      </c>
      <c r="O268" t="s">
        <v>370</v>
      </c>
      <c r="P268" t="s">
        <v>226</v>
      </c>
    </row>
    <row r="269" spans="11:16" x14ac:dyDescent="0.2">
      <c r="K269">
        <v>2011</v>
      </c>
      <c r="L269" t="s">
        <v>223</v>
      </c>
      <c r="M269" t="s">
        <v>147</v>
      </c>
      <c r="N269">
        <v>8.4</v>
      </c>
      <c r="O269" t="s">
        <v>371</v>
      </c>
      <c r="P269" t="s">
        <v>225</v>
      </c>
    </row>
    <row r="270" spans="11:16" x14ac:dyDescent="0.2">
      <c r="K270">
        <v>2011</v>
      </c>
      <c r="L270" t="s">
        <v>223</v>
      </c>
      <c r="M270" t="s">
        <v>147</v>
      </c>
      <c r="N270">
        <v>8.4</v>
      </c>
      <c r="O270" t="s">
        <v>371</v>
      </c>
      <c r="P270" t="s">
        <v>226</v>
      </c>
    </row>
    <row r="271" spans="11:16" x14ac:dyDescent="0.2">
      <c r="K271">
        <v>2012</v>
      </c>
      <c r="L271" t="s">
        <v>223</v>
      </c>
      <c r="M271" t="s">
        <v>147</v>
      </c>
      <c r="N271">
        <v>8.5</v>
      </c>
      <c r="O271" t="s">
        <v>372</v>
      </c>
      <c r="P271" t="s">
        <v>225</v>
      </c>
    </row>
    <row r="272" spans="11:16" x14ac:dyDescent="0.2">
      <c r="K272">
        <v>2012</v>
      </c>
      <c r="L272" t="s">
        <v>223</v>
      </c>
      <c r="M272" t="s">
        <v>147</v>
      </c>
      <c r="N272">
        <v>8.5</v>
      </c>
      <c r="O272" t="s">
        <v>372</v>
      </c>
      <c r="P272" t="s">
        <v>226</v>
      </c>
    </row>
    <row r="273" spans="11:16" x14ac:dyDescent="0.2">
      <c r="K273">
        <v>2008</v>
      </c>
      <c r="L273" t="s">
        <v>235</v>
      </c>
      <c r="M273" t="s">
        <v>147</v>
      </c>
      <c r="N273">
        <v>8.1</v>
      </c>
      <c r="O273" t="s">
        <v>373</v>
      </c>
      <c r="P273" t="s">
        <v>225</v>
      </c>
    </row>
    <row r="274" spans="11:16" x14ac:dyDescent="0.2">
      <c r="K274">
        <v>2008</v>
      </c>
      <c r="L274" t="s">
        <v>235</v>
      </c>
      <c r="M274" t="s">
        <v>147</v>
      </c>
      <c r="N274">
        <v>8.1</v>
      </c>
      <c r="O274" t="s">
        <v>373</v>
      </c>
      <c r="P274" t="s">
        <v>226</v>
      </c>
    </row>
    <row r="275" spans="11:16" x14ac:dyDescent="0.2">
      <c r="K275">
        <v>2009</v>
      </c>
      <c r="L275" t="s">
        <v>235</v>
      </c>
      <c r="M275" t="s">
        <v>147</v>
      </c>
      <c r="N275">
        <v>8.1999999999999993</v>
      </c>
      <c r="O275" t="s">
        <v>374</v>
      </c>
      <c r="P275" t="s">
        <v>225</v>
      </c>
    </row>
    <row r="276" spans="11:16" x14ac:dyDescent="0.2">
      <c r="K276">
        <v>2009</v>
      </c>
      <c r="L276" t="s">
        <v>235</v>
      </c>
      <c r="M276" t="s">
        <v>147</v>
      </c>
      <c r="N276">
        <v>8.1999999999999993</v>
      </c>
      <c r="O276" t="s">
        <v>374</v>
      </c>
      <c r="P276" t="s">
        <v>226</v>
      </c>
    </row>
    <row r="277" spans="11:16" x14ac:dyDescent="0.2">
      <c r="K277">
        <v>2010</v>
      </c>
      <c r="L277" t="s">
        <v>235</v>
      </c>
      <c r="M277" t="s">
        <v>147</v>
      </c>
      <c r="N277">
        <v>8.3000000000000007</v>
      </c>
      <c r="O277" t="s">
        <v>375</v>
      </c>
      <c r="P277" t="s">
        <v>225</v>
      </c>
    </row>
    <row r="278" spans="11:16" x14ac:dyDescent="0.2">
      <c r="K278">
        <v>2010</v>
      </c>
      <c r="L278" t="s">
        <v>235</v>
      </c>
      <c r="M278" t="s">
        <v>147</v>
      </c>
      <c r="N278">
        <v>8.3000000000000007</v>
      </c>
      <c r="O278" t="s">
        <v>375</v>
      </c>
      <c r="P278" t="s">
        <v>226</v>
      </c>
    </row>
    <row r="279" spans="11:16" x14ac:dyDescent="0.2">
      <c r="K279">
        <v>2011</v>
      </c>
      <c r="L279" t="s">
        <v>235</v>
      </c>
      <c r="M279" t="s">
        <v>147</v>
      </c>
      <c r="N279">
        <v>8.3000000000000007</v>
      </c>
      <c r="O279" t="s">
        <v>376</v>
      </c>
      <c r="P279" t="s">
        <v>225</v>
      </c>
    </row>
    <row r="280" spans="11:16" x14ac:dyDescent="0.2">
      <c r="K280">
        <v>2011</v>
      </c>
      <c r="L280" t="s">
        <v>235</v>
      </c>
      <c r="M280" t="s">
        <v>147</v>
      </c>
      <c r="N280">
        <v>8.3000000000000007</v>
      </c>
      <c r="O280" t="s">
        <v>376</v>
      </c>
      <c r="P280" t="s">
        <v>226</v>
      </c>
    </row>
    <row r="281" spans="11:16" x14ac:dyDescent="0.2">
      <c r="K281">
        <v>2012</v>
      </c>
      <c r="L281" t="s">
        <v>235</v>
      </c>
      <c r="M281" t="s">
        <v>147</v>
      </c>
      <c r="N281">
        <v>8.1</v>
      </c>
      <c r="O281" t="s">
        <v>377</v>
      </c>
      <c r="P281" t="s">
        <v>225</v>
      </c>
    </row>
    <row r="282" spans="11:16" x14ac:dyDescent="0.2">
      <c r="K282">
        <v>2012</v>
      </c>
      <c r="L282" t="s">
        <v>235</v>
      </c>
      <c r="M282" t="s">
        <v>147</v>
      </c>
      <c r="N282">
        <v>8.1</v>
      </c>
      <c r="O282" t="s">
        <v>377</v>
      </c>
      <c r="P282" t="s">
        <v>226</v>
      </c>
    </row>
    <row r="283" spans="11:16" x14ac:dyDescent="0.2">
      <c r="K283">
        <v>2008</v>
      </c>
      <c r="L283" t="s">
        <v>223</v>
      </c>
      <c r="M283" t="s">
        <v>149</v>
      </c>
      <c r="N283">
        <v>9.3000000000000007</v>
      </c>
      <c r="O283" t="s">
        <v>378</v>
      </c>
      <c r="P283" t="s">
        <v>225</v>
      </c>
    </row>
    <row r="284" spans="11:16" x14ac:dyDescent="0.2">
      <c r="K284">
        <v>2008</v>
      </c>
      <c r="L284" t="s">
        <v>223</v>
      </c>
      <c r="M284" t="s">
        <v>149</v>
      </c>
      <c r="N284">
        <v>9.3000000000000007</v>
      </c>
      <c r="O284" t="s">
        <v>378</v>
      </c>
      <c r="P284" t="s">
        <v>226</v>
      </c>
    </row>
    <row r="285" spans="11:16" x14ac:dyDescent="0.2">
      <c r="K285">
        <v>2009</v>
      </c>
      <c r="L285" t="s">
        <v>223</v>
      </c>
      <c r="M285" t="s">
        <v>149</v>
      </c>
      <c r="N285">
        <v>9.5</v>
      </c>
      <c r="O285" t="s">
        <v>379</v>
      </c>
      <c r="P285" t="s">
        <v>225</v>
      </c>
    </row>
    <row r="286" spans="11:16" x14ac:dyDescent="0.2">
      <c r="K286">
        <v>2009</v>
      </c>
      <c r="L286" t="s">
        <v>223</v>
      </c>
      <c r="M286" t="s">
        <v>149</v>
      </c>
      <c r="N286">
        <v>9.5</v>
      </c>
      <c r="O286" t="s">
        <v>379</v>
      </c>
      <c r="P286" t="s">
        <v>226</v>
      </c>
    </row>
    <row r="287" spans="11:16" x14ac:dyDescent="0.2">
      <c r="K287">
        <v>2010</v>
      </c>
      <c r="L287" t="s">
        <v>223</v>
      </c>
      <c r="M287" t="s">
        <v>149</v>
      </c>
      <c r="N287">
        <v>8.9</v>
      </c>
      <c r="O287" t="s">
        <v>380</v>
      </c>
      <c r="P287" t="s">
        <v>225</v>
      </c>
    </row>
    <row r="288" spans="11:16" x14ac:dyDescent="0.2">
      <c r="K288">
        <v>2010</v>
      </c>
      <c r="L288" t="s">
        <v>223</v>
      </c>
      <c r="M288" t="s">
        <v>149</v>
      </c>
      <c r="N288">
        <v>8.9</v>
      </c>
      <c r="O288" t="s">
        <v>380</v>
      </c>
      <c r="P288" t="s">
        <v>226</v>
      </c>
    </row>
    <row r="289" spans="11:16" x14ac:dyDescent="0.2">
      <c r="K289">
        <v>2011</v>
      </c>
      <c r="L289" t="s">
        <v>223</v>
      </c>
      <c r="M289" t="s">
        <v>149</v>
      </c>
      <c r="N289">
        <v>9.1</v>
      </c>
      <c r="O289" t="s">
        <v>381</v>
      </c>
      <c r="P289" t="s">
        <v>225</v>
      </c>
    </row>
    <row r="290" spans="11:16" x14ac:dyDescent="0.2">
      <c r="K290">
        <v>2011</v>
      </c>
      <c r="L290" t="s">
        <v>223</v>
      </c>
      <c r="M290" t="s">
        <v>149</v>
      </c>
      <c r="N290">
        <v>9.1</v>
      </c>
      <c r="O290" t="s">
        <v>381</v>
      </c>
      <c r="P290" t="s">
        <v>226</v>
      </c>
    </row>
    <row r="291" spans="11:16" x14ac:dyDescent="0.2">
      <c r="K291">
        <v>2012</v>
      </c>
      <c r="L291" t="s">
        <v>223</v>
      </c>
      <c r="M291" t="s">
        <v>149</v>
      </c>
      <c r="N291">
        <v>9.1</v>
      </c>
      <c r="O291" t="s">
        <v>382</v>
      </c>
      <c r="P291" t="s">
        <v>225</v>
      </c>
    </row>
    <row r="292" spans="11:16" x14ac:dyDescent="0.2">
      <c r="K292">
        <v>2012</v>
      </c>
      <c r="L292" t="s">
        <v>223</v>
      </c>
      <c r="M292" t="s">
        <v>149</v>
      </c>
      <c r="N292">
        <v>9.1</v>
      </c>
      <c r="O292" t="s">
        <v>382</v>
      </c>
      <c r="P292" t="s">
        <v>226</v>
      </c>
    </row>
    <row r="293" spans="11:16" x14ac:dyDescent="0.2">
      <c r="K293">
        <v>2008</v>
      </c>
      <c r="L293" t="s">
        <v>235</v>
      </c>
      <c r="M293" t="s">
        <v>149</v>
      </c>
      <c r="N293">
        <v>9.1</v>
      </c>
      <c r="O293" t="s">
        <v>383</v>
      </c>
      <c r="P293" t="s">
        <v>225</v>
      </c>
    </row>
    <row r="294" spans="11:16" x14ac:dyDescent="0.2">
      <c r="K294">
        <v>2008</v>
      </c>
      <c r="L294" t="s">
        <v>235</v>
      </c>
      <c r="M294" t="s">
        <v>149</v>
      </c>
      <c r="N294">
        <v>9.1</v>
      </c>
      <c r="O294" t="s">
        <v>383</v>
      </c>
      <c r="P294" t="s">
        <v>226</v>
      </c>
    </row>
    <row r="295" spans="11:16" x14ac:dyDescent="0.2">
      <c r="K295">
        <v>2009</v>
      </c>
      <c r="L295" t="s">
        <v>235</v>
      </c>
      <c r="M295" t="s">
        <v>149</v>
      </c>
      <c r="N295">
        <v>9.5</v>
      </c>
      <c r="O295" t="s">
        <v>384</v>
      </c>
      <c r="P295" t="s">
        <v>225</v>
      </c>
    </row>
    <row r="296" spans="11:16" x14ac:dyDescent="0.2">
      <c r="K296">
        <v>2009</v>
      </c>
      <c r="L296" t="s">
        <v>235</v>
      </c>
      <c r="M296" t="s">
        <v>149</v>
      </c>
      <c r="N296">
        <v>9.5</v>
      </c>
      <c r="O296" t="s">
        <v>384</v>
      </c>
      <c r="P296" t="s">
        <v>226</v>
      </c>
    </row>
    <row r="297" spans="11:16" x14ac:dyDescent="0.2">
      <c r="K297">
        <v>2010</v>
      </c>
      <c r="L297" t="s">
        <v>235</v>
      </c>
      <c r="M297" t="s">
        <v>149</v>
      </c>
      <c r="N297">
        <v>8.6</v>
      </c>
      <c r="O297" t="s">
        <v>385</v>
      </c>
      <c r="P297" t="s">
        <v>225</v>
      </c>
    </row>
    <row r="298" spans="11:16" x14ac:dyDescent="0.2">
      <c r="K298">
        <v>2010</v>
      </c>
      <c r="L298" t="s">
        <v>235</v>
      </c>
      <c r="M298" t="s">
        <v>149</v>
      </c>
      <c r="N298">
        <v>8.6</v>
      </c>
      <c r="O298" t="s">
        <v>385</v>
      </c>
      <c r="P298" t="s">
        <v>226</v>
      </c>
    </row>
    <row r="299" spans="11:16" x14ac:dyDescent="0.2">
      <c r="K299">
        <v>2011</v>
      </c>
      <c r="L299" t="s">
        <v>235</v>
      </c>
      <c r="M299" t="s">
        <v>149</v>
      </c>
      <c r="N299">
        <v>9</v>
      </c>
      <c r="O299" t="s">
        <v>386</v>
      </c>
      <c r="P299" t="s">
        <v>225</v>
      </c>
    </row>
    <row r="300" spans="11:16" x14ac:dyDescent="0.2">
      <c r="K300">
        <v>2011</v>
      </c>
      <c r="L300" t="s">
        <v>235</v>
      </c>
      <c r="M300" t="s">
        <v>149</v>
      </c>
      <c r="N300">
        <v>9</v>
      </c>
      <c r="O300" t="s">
        <v>386</v>
      </c>
      <c r="P300" t="s">
        <v>226</v>
      </c>
    </row>
    <row r="301" spans="11:16" x14ac:dyDescent="0.2">
      <c r="K301">
        <v>2012</v>
      </c>
      <c r="L301" t="s">
        <v>235</v>
      </c>
      <c r="M301" t="s">
        <v>149</v>
      </c>
      <c r="N301">
        <v>8.6999999999999993</v>
      </c>
      <c r="O301" t="s">
        <v>387</v>
      </c>
      <c r="P301" t="s">
        <v>225</v>
      </c>
    </row>
    <row r="302" spans="11:16" x14ac:dyDescent="0.2">
      <c r="K302">
        <v>2012</v>
      </c>
      <c r="L302" t="s">
        <v>235</v>
      </c>
      <c r="M302" t="s">
        <v>149</v>
      </c>
      <c r="N302">
        <v>8.6999999999999993</v>
      </c>
      <c r="O302" t="s">
        <v>387</v>
      </c>
      <c r="P302" t="s">
        <v>226</v>
      </c>
    </row>
    <row r="303" spans="11:16" x14ac:dyDescent="0.2">
      <c r="K303">
        <v>2008</v>
      </c>
      <c r="L303" t="s">
        <v>223</v>
      </c>
      <c r="M303" t="s">
        <v>164</v>
      </c>
      <c r="N303">
        <v>46.7</v>
      </c>
      <c r="O303" t="s">
        <v>388</v>
      </c>
      <c r="P303" t="s">
        <v>225</v>
      </c>
    </row>
    <row r="304" spans="11:16" x14ac:dyDescent="0.2">
      <c r="K304">
        <v>2008</v>
      </c>
      <c r="L304" t="s">
        <v>223</v>
      </c>
      <c r="M304" t="s">
        <v>164</v>
      </c>
      <c r="N304">
        <v>46.7</v>
      </c>
      <c r="O304" t="s">
        <v>388</v>
      </c>
      <c r="P304" t="s">
        <v>226</v>
      </c>
    </row>
    <row r="305" spans="11:16" x14ac:dyDescent="0.2">
      <c r="K305">
        <v>2009</v>
      </c>
      <c r="L305" t="s">
        <v>223</v>
      </c>
      <c r="M305" t="s">
        <v>164</v>
      </c>
      <c r="N305">
        <v>48.7</v>
      </c>
      <c r="O305" t="s">
        <v>389</v>
      </c>
      <c r="P305" t="s">
        <v>225</v>
      </c>
    </row>
    <row r="306" spans="11:16" x14ac:dyDescent="0.2">
      <c r="K306">
        <v>2009</v>
      </c>
      <c r="L306" t="s">
        <v>223</v>
      </c>
      <c r="M306" t="s">
        <v>164</v>
      </c>
      <c r="N306">
        <v>48.7</v>
      </c>
      <c r="O306" t="s">
        <v>389</v>
      </c>
      <c r="P306" t="s">
        <v>226</v>
      </c>
    </row>
    <row r="307" spans="11:16" x14ac:dyDescent="0.2">
      <c r="K307">
        <v>2010</v>
      </c>
      <c r="L307" t="s">
        <v>223</v>
      </c>
      <c r="M307" t="s">
        <v>164</v>
      </c>
      <c r="N307">
        <v>46.6</v>
      </c>
      <c r="O307" t="s">
        <v>390</v>
      </c>
      <c r="P307" t="s">
        <v>225</v>
      </c>
    </row>
    <row r="308" spans="11:16" x14ac:dyDescent="0.2">
      <c r="K308">
        <v>2010</v>
      </c>
      <c r="L308" t="s">
        <v>223</v>
      </c>
      <c r="M308" t="s">
        <v>164</v>
      </c>
      <c r="N308">
        <v>46.6</v>
      </c>
      <c r="O308" t="s">
        <v>390</v>
      </c>
      <c r="P308" t="s">
        <v>226</v>
      </c>
    </row>
    <row r="309" spans="11:16" x14ac:dyDescent="0.2">
      <c r="K309">
        <v>2011</v>
      </c>
      <c r="L309" t="s">
        <v>223</v>
      </c>
      <c r="M309" t="s">
        <v>164</v>
      </c>
      <c r="N309">
        <v>46.7</v>
      </c>
      <c r="O309" t="s">
        <v>391</v>
      </c>
      <c r="P309" t="s">
        <v>225</v>
      </c>
    </row>
    <row r="310" spans="11:16" x14ac:dyDescent="0.2">
      <c r="K310">
        <v>2011</v>
      </c>
      <c r="L310" t="s">
        <v>223</v>
      </c>
      <c r="M310" t="s">
        <v>164</v>
      </c>
      <c r="N310">
        <v>46.7</v>
      </c>
      <c r="O310" t="s">
        <v>391</v>
      </c>
      <c r="P310" t="s">
        <v>226</v>
      </c>
    </row>
    <row r="311" spans="11:16" x14ac:dyDescent="0.2">
      <c r="K311">
        <v>2012</v>
      </c>
      <c r="L311" t="s">
        <v>223</v>
      </c>
      <c r="M311" t="s">
        <v>164</v>
      </c>
      <c r="N311">
        <v>46.7</v>
      </c>
      <c r="O311" t="s">
        <v>392</v>
      </c>
      <c r="P311" t="s">
        <v>225</v>
      </c>
    </row>
    <row r="312" spans="11:16" x14ac:dyDescent="0.2">
      <c r="K312">
        <v>2012</v>
      </c>
      <c r="L312" t="s">
        <v>223</v>
      </c>
      <c r="M312" t="s">
        <v>164</v>
      </c>
      <c r="N312">
        <v>46.7</v>
      </c>
      <c r="O312" t="s">
        <v>392</v>
      </c>
      <c r="P312" t="s">
        <v>226</v>
      </c>
    </row>
    <row r="313" spans="11:16" x14ac:dyDescent="0.2">
      <c r="K313">
        <v>2008</v>
      </c>
      <c r="L313" t="s">
        <v>235</v>
      </c>
      <c r="M313" t="s">
        <v>164</v>
      </c>
      <c r="N313">
        <v>45.7</v>
      </c>
      <c r="O313" t="s">
        <v>393</v>
      </c>
      <c r="P313" t="s">
        <v>225</v>
      </c>
    </row>
    <row r="314" spans="11:16" x14ac:dyDescent="0.2">
      <c r="K314">
        <v>2008</v>
      </c>
      <c r="L314" t="s">
        <v>235</v>
      </c>
      <c r="M314" t="s">
        <v>164</v>
      </c>
      <c r="N314">
        <v>45.7</v>
      </c>
      <c r="O314" t="s">
        <v>393</v>
      </c>
      <c r="P314" t="s">
        <v>226</v>
      </c>
    </row>
    <row r="315" spans="11:16" x14ac:dyDescent="0.2">
      <c r="K315">
        <v>2009</v>
      </c>
      <c r="L315" t="s">
        <v>235</v>
      </c>
      <c r="M315" t="s">
        <v>164</v>
      </c>
      <c r="N315">
        <v>45.7</v>
      </c>
      <c r="O315" t="s">
        <v>394</v>
      </c>
      <c r="P315" t="s">
        <v>225</v>
      </c>
    </row>
    <row r="316" spans="11:16" x14ac:dyDescent="0.2">
      <c r="K316">
        <v>2009</v>
      </c>
      <c r="L316" t="s">
        <v>235</v>
      </c>
      <c r="M316" t="s">
        <v>164</v>
      </c>
      <c r="N316">
        <v>45.7</v>
      </c>
      <c r="O316" t="s">
        <v>394</v>
      </c>
      <c r="P316" t="s">
        <v>226</v>
      </c>
    </row>
    <row r="317" spans="11:16" x14ac:dyDescent="0.2">
      <c r="K317">
        <v>2010</v>
      </c>
      <c r="L317" t="s">
        <v>235</v>
      </c>
      <c r="M317" t="s">
        <v>164</v>
      </c>
      <c r="N317">
        <v>45.7</v>
      </c>
      <c r="O317" t="s">
        <v>395</v>
      </c>
      <c r="P317" t="s">
        <v>225</v>
      </c>
    </row>
    <row r="318" spans="11:16" x14ac:dyDescent="0.2">
      <c r="K318">
        <v>2010</v>
      </c>
      <c r="L318" t="s">
        <v>235</v>
      </c>
      <c r="M318" t="s">
        <v>164</v>
      </c>
      <c r="N318">
        <v>45.7</v>
      </c>
      <c r="O318" t="s">
        <v>395</v>
      </c>
      <c r="P318" t="s">
        <v>226</v>
      </c>
    </row>
    <row r="319" spans="11:16" x14ac:dyDescent="0.2">
      <c r="K319">
        <v>2011</v>
      </c>
      <c r="L319" t="s">
        <v>235</v>
      </c>
      <c r="M319" t="s">
        <v>164</v>
      </c>
      <c r="N319">
        <v>45.7</v>
      </c>
      <c r="O319" t="s">
        <v>396</v>
      </c>
      <c r="P319" t="s">
        <v>225</v>
      </c>
    </row>
    <row r="320" spans="11:16" x14ac:dyDescent="0.2">
      <c r="K320">
        <v>2011</v>
      </c>
      <c r="L320" t="s">
        <v>235</v>
      </c>
      <c r="M320" t="s">
        <v>164</v>
      </c>
      <c r="N320">
        <v>45.7</v>
      </c>
      <c r="O320" t="s">
        <v>396</v>
      </c>
      <c r="P320" t="s">
        <v>226</v>
      </c>
    </row>
    <row r="321" spans="11:16" x14ac:dyDescent="0.2">
      <c r="K321">
        <v>2012</v>
      </c>
      <c r="L321" t="s">
        <v>235</v>
      </c>
      <c r="M321" t="s">
        <v>164</v>
      </c>
      <c r="N321">
        <v>37.9</v>
      </c>
      <c r="O321" t="s">
        <v>397</v>
      </c>
      <c r="P321" t="s">
        <v>225</v>
      </c>
    </row>
    <row r="322" spans="11:16" x14ac:dyDescent="0.2">
      <c r="K322">
        <v>2012</v>
      </c>
      <c r="L322" t="s">
        <v>235</v>
      </c>
      <c r="M322" t="s">
        <v>164</v>
      </c>
      <c r="N322">
        <v>37.9</v>
      </c>
      <c r="O322" t="s">
        <v>397</v>
      </c>
      <c r="P322" t="s">
        <v>226</v>
      </c>
    </row>
    <row r="323" spans="11:16" x14ac:dyDescent="0.2">
      <c r="K323">
        <v>2008</v>
      </c>
      <c r="L323" t="s">
        <v>223</v>
      </c>
      <c r="M323" t="s">
        <v>155</v>
      </c>
      <c r="N323">
        <v>24.8</v>
      </c>
      <c r="O323" t="s">
        <v>398</v>
      </c>
      <c r="P323" t="s">
        <v>225</v>
      </c>
    </row>
    <row r="324" spans="11:16" x14ac:dyDescent="0.2">
      <c r="K324">
        <v>2008</v>
      </c>
      <c r="L324" t="s">
        <v>223</v>
      </c>
      <c r="M324" t="s">
        <v>155</v>
      </c>
      <c r="N324">
        <v>24.8</v>
      </c>
      <c r="O324" t="s">
        <v>398</v>
      </c>
      <c r="P324" t="s">
        <v>226</v>
      </c>
    </row>
    <row r="325" spans="11:16" x14ac:dyDescent="0.2">
      <c r="K325">
        <v>2009</v>
      </c>
      <c r="L325" t="s">
        <v>223</v>
      </c>
      <c r="M325" t="s">
        <v>155</v>
      </c>
      <c r="N325">
        <v>24.9</v>
      </c>
      <c r="O325" t="s">
        <v>399</v>
      </c>
      <c r="P325" t="s">
        <v>225</v>
      </c>
    </row>
    <row r="326" spans="11:16" x14ac:dyDescent="0.2">
      <c r="K326">
        <v>2009</v>
      </c>
      <c r="L326" t="s">
        <v>223</v>
      </c>
      <c r="M326" t="s">
        <v>155</v>
      </c>
      <c r="N326">
        <v>24.9</v>
      </c>
      <c r="O326" t="s">
        <v>399</v>
      </c>
      <c r="P326" t="s">
        <v>226</v>
      </c>
    </row>
    <row r="327" spans="11:16" x14ac:dyDescent="0.2">
      <c r="K327">
        <v>2010</v>
      </c>
      <c r="L327" t="s">
        <v>223</v>
      </c>
      <c r="M327" t="s">
        <v>155</v>
      </c>
      <c r="N327">
        <v>24.6</v>
      </c>
      <c r="O327" t="s">
        <v>400</v>
      </c>
      <c r="P327" t="s">
        <v>225</v>
      </c>
    </row>
    <row r="328" spans="11:16" x14ac:dyDescent="0.2">
      <c r="K328">
        <v>2010</v>
      </c>
      <c r="L328" t="s">
        <v>223</v>
      </c>
      <c r="M328" t="s">
        <v>155</v>
      </c>
      <c r="N328">
        <v>24.6</v>
      </c>
      <c r="O328" t="s">
        <v>400</v>
      </c>
      <c r="P328" t="s">
        <v>226</v>
      </c>
    </row>
    <row r="329" spans="11:16" x14ac:dyDescent="0.2">
      <c r="K329">
        <v>2011</v>
      </c>
      <c r="L329" t="s">
        <v>223</v>
      </c>
      <c r="M329" t="s">
        <v>155</v>
      </c>
      <c r="N329">
        <v>25</v>
      </c>
      <c r="O329" t="s">
        <v>401</v>
      </c>
      <c r="P329" t="s">
        <v>225</v>
      </c>
    </row>
    <row r="330" spans="11:16" x14ac:dyDescent="0.2">
      <c r="K330">
        <v>2011</v>
      </c>
      <c r="L330" t="s">
        <v>223</v>
      </c>
      <c r="M330" t="s">
        <v>155</v>
      </c>
      <c r="N330">
        <v>25</v>
      </c>
      <c r="O330" t="s">
        <v>401</v>
      </c>
      <c r="P330" t="s">
        <v>226</v>
      </c>
    </row>
    <row r="331" spans="11:16" x14ac:dyDescent="0.2">
      <c r="K331">
        <v>2012</v>
      </c>
      <c r="L331" t="s">
        <v>223</v>
      </c>
      <c r="M331" t="s">
        <v>155</v>
      </c>
      <c r="N331">
        <v>24.8</v>
      </c>
      <c r="O331" t="s">
        <v>402</v>
      </c>
      <c r="P331" t="s">
        <v>225</v>
      </c>
    </row>
    <row r="332" spans="11:16" x14ac:dyDescent="0.2">
      <c r="K332">
        <v>2012</v>
      </c>
      <c r="L332" t="s">
        <v>223</v>
      </c>
      <c r="M332" t="s">
        <v>155</v>
      </c>
      <c r="N332">
        <v>24.8</v>
      </c>
      <c r="O332" t="s">
        <v>402</v>
      </c>
      <c r="P332" t="s">
        <v>226</v>
      </c>
    </row>
    <row r="333" spans="11:16" x14ac:dyDescent="0.2">
      <c r="K333">
        <v>2008</v>
      </c>
      <c r="L333" t="s">
        <v>235</v>
      </c>
      <c r="M333" t="s">
        <v>155</v>
      </c>
      <c r="N333">
        <v>23.8</v>
      </c>
      <c r="O333" t="s">
        <v>403</v>
      </c>
      <c r="P333" t="s">
        <v>225</v>
      </c>
    </row>
    <row r="334" spans="11:16" x14ac:dyDescent="0.2">
      <c r="K334">
        <v>2008</v>
      </c>
      <c r="L334" t="s">
        <v>235</v>
      </c>
      <c r="M334" t="s">
        <v>155</v>
      </c>
      <c r="N334">
        <v>23.8</v>
      </c>
      <c r="O334" t="s">
        <v>403</v>
      </c>
      <c r="P334" t="s">
        <v>226</v>
      </c>
    </row>
    <row r="335" spans="11:16" x14ac:dyDescent="0.2">
      <c r="K335">
        <v>2009</v>
      </c>
      <c r="L335" t="s">
        <v>235</v>
      </c>
      <c r="M335" t="s">
        <v>155</v>
      </c>
      <c r="N335">
        <v>24.2</v>
      </c>
      <c r="O335" t="s">
        <v>404</v>
      </c>
      <c r="P335" t="s">
        <v>225</v>
      </c>
    </row>
    <row r="336" spans="11:16" x14ac:dyDescent="0.2">
      <c r="K336">
        <v>2009</v>
      </c>
      <c r="L336" t="s">
        <v>235</v>
      </c>
      <c r="M336" t="s">
        <v>155</v>
      </c>
      <c r="N336">
        <v>24.2</v>
      </c>
      <c r="O336" t="s">
        <v>404</v>
      </c>
      <c r="P336" t="s">
        <v>226</v>
      </c>
    </row>
    <row r="337" spans="11:16" x14ac:dyDescent="0.2">
      <c r="K337">
        <v>2010</v>
      </c>
      <c r="L337" t="s">
        <v>235</v>
      </c>
      <c r="M337" t="s">
        <v>155</v>
      </c>
      <c r="N337">
        <v>23.6</v>
      </c>
      <c r="O337" t="s">
        <v>405</v>
      </c>
      <c r="P337" t="s">
        <v>225</v>
      </c>
    </row>
    <row r="338" spans="11:16" x14ac:dyDescent="0.2">
      <c r="K338">
        <v>2010</v>
      </c>
      <c r="L338" t="s">
        <v>235</v>
      </c>
      <c r="M338" t="s">
        <v>155</v>
      </c>
      <c r="N338">
        <v>23.6</v>
      </c>
      <c r="O338" t="s">
        <v>405</v>
      </c>
      <c r="P338" t="s">
        <v>226</v>
      </c>
    </row>
    <row r="339" spans="11:16" x14ac:dyDescent="0.2">
      <c r="K339">
        <v>2011</v>
      </c>
      <c r="L339" t="s">
        <v>235</v>
      </c>
      <c r="M339" t="s">
        <v>155</v>
      </c>
      <c r="N339">
        <v>24.5</v>
      </c>
      <c r="O339" t="s">
        <v>406</v>
      </c>
      <c r="P339" t="s">
        <v>225</v>
      </c>
    </row>
    <row r="340" spans="11:16" x14ac:dyDescent="0.2">
      <c r="K340">
        <v>2011</v>
      </c>
      <c r="L340" t="s">
        <v>235</v>
      </c>
      <c r="M340" t="s">
        <v>155</v>
      </c>
      <c r="N340">
        <v>24.5</v>
      </c>
      <c r="O340" t="s">
        <v>406</v>
      </c>
      <c r="P340" t="s">
        <v>226</v>
      </c>
    </row>
    <row r="341" spans="11:16" x14ac:dyDescent="0.2">
      <c r="K341">
        <v>2012</v>
      </c>
      <c r="L341" t="s">
        <v>235</v>
      </c>
      <c r="M341" t="s">
        <v>155</v>
      </c>
      <c r="N341">
        <v>23.5</v>
      </c>
      <c r="O341" t="s">
        <v>407</v>
      </c>
      <c r="P341" t="s">
        <v>225</v>
      </c>
    </row>
    <row r="342" spans="11:16" x14ac:dyDescent="0.2">
      <c r="K342">
        <v>2012</v>
      </c>
      <c r="L342" t="s">
        <v>235</v>
      </c>
      <c r="M342" t="s">
        <v>155</v>
      </c>
      <c r="N342">
        <v>23.5</v>
      </c>
      <c r="O342" t="s">
        <v>407</v>
      </c>
      <c r="P342" t="s">
        <v>226</v>
      </c>
    </row>
    <row r="343" spans="11:16" x14ac:dyDescent="0.2">
      <c r="K343">
        <v>2008</v>
      </c>
      <c r="L343" t="s">
        <v>223</v>
      </c>
      <c r="M343" t="s">
        <v>160</v>
      </c>
      <c r="N343">
        <v>23.5</v>
      </c>
      <c r="O343" t="s">
        <v>408</v>
      </c>
      <c r="P343" t="s">
        <v>225</v>
      </c>
    </row>
    <row r="344" spans="11:16" x14ac:dyDescent="0.2">
      <c r="K344">
        <v>2008</v>
      </c>
      <c r="L344" t="s">
        <v>223</v>
      </c>
      <c r="M344" t="s">
        <v>160</v>
      </c>
      <c r="N344">
        <v>23.5</v>
      </c>
      <c r="O344" t="s">
        <v>408</v>
      </c>
      <c r="P344" t="s">
        <v>226</v>
      </c>
    </row>
    <row r="345" spans="11:16" x14ac:dyDescent="0.2">
      <c r="K345">
        <v>2009</v>
      </c>
      <c r="L345" t="s">
        <v>223</v>
      </c>
      <c r="M345" t="s">
        <v>160</v>
      </c>
      <c r="N345">
        <v>23.5</v>
      </c>
      <c r="O345" t="s">
        <v>409</v>
      </c>
      <c r="P345" t="s">
        <v>225</v>
      </c>
    </row>
    <row r="346" spans="11:16" x14ac:dyDescent="0.2">
      <c r="K346">
        <v>2009</v>
      </c>
      <c r="L346" t="s">
        <v>223</v>
      </c>
      <c r="M346" t="s">
        <v>160</v>
      </c>
      <c r="N346">
        <v>23.5</v>
      </c>
      <c r="O346" t="s">
        <v>409</v>
      </c>
      <c r="P346" t="s">
        <v>226</v>
      </c>
    </row>
    <row r="347" spans="11:16" x14ac:dyDescent="0.2">
      <c r="K347">
        <v>2010</v>
      </c>
      <c r="L347" t="s">
        <v>223</v>
      </c>
      <c r="M347" t="s">
        <v>160</v>
      </c>
      <c r="N347">
        <v>23.4</v>
      </c>
      <c r="O347" t="s">
        <v>410</v>
      </c>
      <c r="P347" t="s">
        <v>225</v>
      </c>
    </row>
    <row r="348" spans="11:16" x14ac:dyDescent="0.2">
      <c r="K348">
        <v>2010</v>
      </c>
      <c r="L348" t="s">
        <v>223</v>
      </c>
      <c r="M348" t="s">
        <v>160</v>
      </c>
      <c r="N348">
        <v>23.4</v>
      </c>
      <c r="O348" t="s">
        <v>410</v>
      </c>
      <c r="P348" t="s">
        <v>226</v>
      </c>
    </row>
    <row r="349" spans="11:16" x14ac:dyDescent="0.2">
      <c r="K349">
        <v>2011</v>
      </c>
      <c r="L349" t="s">
        <v>223</v>
      </c>
      <c r="M349" t="s">
        <v>160</v>
      </c>
      <c r="N349">
        <v>23.8</v>
      </c>
      <c r="O349" t="s">
        <v>411</v>
      </c>
      <c r="P349" t="s">
        <v>225</v>
      </c>
    </row>
    <row r="350" spans="11:16" x14ac:dyDescent="0.2">
      <c r="K350">
        <v>2011</v>
      </c>
      <c r="L350" t="s">
        <v>223</v>
      </c>
      <c r="M350" t="s">
        <v>160</v>
      </c>
      <c r="N350">
        <v>23.8</v>
      </c>
      <c r="O350" t="s">
        <v>411</v>
      </c>
      <c r="P350" t="s">
        <v>226</v>
      </c>
    </row>
    <row r="351" spans="11:16" x14ac:dyDescent="0.2">
      <c r="K351">
        <v>2012</v>
      </c>
      <c r="L351" t="s">
        <v>223</v>
      </c>
      <c r="M351" t="s">
        <v>160</v>
      </c>
      <c r="N351">
        <v>23.5</v>
      </c>
      <c r="O351" t="s">
        <v>412</v>
      </c>
      <c r="P351" t="s">
        <v>225</v>
      </c>
    </row>
    <row r="352" spans="11:16" x14ac:dyDescent="0.2">
      <c r="K352">
        <v>2012</v>
      </c>
      <c r="L352" t="s">
        <v>223</v>
      </c>
      <c r="M352" t="s">
        <v>160</v>
      </c>
      <c r="N352">
        <v>23.5</v>
      </c>
      <c r="O352" t="s">
        <v>412</v>
      </c>
      <c r="P352" t="s">
        <v>226</v>
      </c>
    </row>
    <row r="353" spans="11:16" x14ac:dyDescent="0.2">
      <c r="K353">
        <v>2008</v>
      </c>
      <c r="L353" t="s">
        <v>235</v>
      </c>
      <c r="M353" t="s">
        <v>160</v>
      </c>
      <c r="N353">
        <v>22.5</v>
      </c>
      <c r="O353" t="s">
        <v>413</v>
      </c>
      <c r="P353" t="s">
        <v>225</v>
      </c>
    </row>
    <row r="354" spans="11:16" x14ac:dyDescent="0.2">
      <c r="K354">
        <v>2008</v>
      </c>
      <c r="L354" t="s">
        <v>235</v>
      </c>
      <c r="M354" t="s">
        <v>160</v>
      </c>
      <c r="N354">
        <v>22.5</v>
      </c>
      <c r="O354" t="s">
        <v>413</v>
      </c>
      <c r="P354" t="s">
        <v>226</v>
      </c>
    </row>
    <row r="355" spans="11:16" x14ac:dyDescent="0.2">
      <c r="K355">
        <v>2009</v>
      </c>
      <c r="L355" t="s">
        <v>235</v>
      </c>
      <c r="M355" t="s">
        <v>160</v>
      </c>
      <c r="N355">
        <v>23</v>
      </c>
      <c r="O355" t="s">
        <v>414</v>
      </c>
      <c r="P355" t="s">
        <v>225</v>
      </c>
    </row>
    <row r="356" spans="11:16" x14ac:dyDescent="0.2">
      <c r="K356">
        <v>2009</v>
      </c>
      <c r="L356" t="s">
        <v>235</v>
      </c>
      <c r="M356" t="s">
        <v>160</v>
      </c>
      <c r="N356">
        <v>23</v>
      </c>
      <c r="O356" t="s">
        <v>414</v>
      </c>
      <c r="P356" t="s">
        <v>226</v>
      </c>
    </row>
    <row r="357" spans="11:16" x14ac:dyDescent="0.2">
      <c r="K357">
        <v>2010</v>
      </c>
      <c r="L357" t="s">
        <v>235</v>
      </c>
      <c r="M357" t="s">
        <v>160</v>
      </c>
      <c r="N357">
        <v>22.5</v>
      </c>
      <c r="O357" t="s">
        <v>415</v>
      </c>
      <c r="P357" t="s">
        <v>225</v>
      </c>
    </row>
    <row r="358" spans="11:16" x14ac:dyDescent="0.2">
      <c r="K358">
        <v>2010</v>
      </c>
      <c r="L358" t="s">
        <v>235</v>
      </c>
      <c r="M358" t="s">
        <v>160</v>
      </c>
      <c r="N358">
        <v>22.5</v>
      </c>
      <c r="O358" t="s">
        <v>415</v>
      </c>
      <c r="P358" t="s">
        <v>226</v>
      </c>
    </row>
    <row r="359" spans="11:16" x14ac:dyDescent="0.2">
      <c r="K359">
        <v>2011</v>
      </c>
      <c r="L359" t="s">
        <v>235</v>
      </c>
      <c r="M359" t="s">
        <v>160</v>
      </c>
      <c r="N359">
        <v>22.9</v>
      </c>
      <c r="O359" t="s">
        <v>416</v>
      </c>
      <c r="P359" t="s">
        <v>225</v>
      </c>
    </row>
    <row r="360" spans="11:16" x14ac:dyDescent="0.2">
      <c r="K360">
        <v>2011</v>
      </c>
      <c r="L360" t="s">
        <v>235</v>
      </c>
      <c r="M360" t="s">
        <v>160</v>
      </c>
      <c r="N360">
        <v>22.9</v>
      </c>
      <c r="O360" t="s">
        <v>416</v>
      </c>
      <c r="P360" t="s">
        <v>226</v>
      </c>
    </row>
    <row r="361" spans="11:16" x14ac:dyDescent="0.2">
      <c r="K361">
        <v>2012</v>
      </c>
      <c r="L361" t="s">
        <v>235</v>
      </c>
      <c r="M361" t="s">
        <v>160</v>
      </c>
      <c r="N361">
        <v>22.6</v>
      </c>
      <c r="O361" t="s">
        <v>417</v>
      </c>
      <c r="P361" t="s">
        <v>225</v>
      </c>
    </row>
    <row r="362" spans="11:16" x14ac:dyDescent="0.2">
      <c r="K362">
        <v>2012</v>
      </c>
      <c r="L362" t="s">
        <v>235</v>
      </c>
      <c r="M362" t="s">
        <v>160</v>
      </c>
      <c r="N362">
        <v>22.6</v>
      </c>
      <c r="O362" t="s">
        <v>417</v>
      </c>
      <c r="P362" t="s">
        <v>226</v>
      </c>
    </row>
    <row r="363" spans="11:16" x14ac:dyDescent="0.2">
      <c r="K363">
        <v>2008</v>
      </c>
      <c r="L363" t="s">
        <v>223</v>
      </c>
      <c r="M363" t="s">
        <v>151</v>
      </c>
      <c r="N363">
        <v>10.6</v>
      </c>
      <c r="O363" t="s">
        <v>418</v>
      </c>
      <c r="P363" t="s">
        <v>225</v>
      </c>
    </row>
    <row r="364" spans="11:16" x14ac:dyDescent="0.2">
      <c r="K364">
        <v>2008</v>
      </c>
      <c r="L364" t="s">
        <v>223</v>
      </c>
      <c r="M364" t="s">
        <v>151</v>
      </c>
      <c r="N364">
        <v>10.6</v>
      </c>
      <c r="O364" t="s">
        <v>418</v>
      </c>
      <c r="P364" t="s">
        <v>226</v>
      </c>
    </row>
    <row r="365" spans="11:16" x14ac:dyDescent="0.2">
      <c r="K365">
        <v>2009</v>
      </c>
      <c r="L365" t="s">
        <v>223</v>
      </c>
      <c r="M365" t="s">
        <v>151</v>
      </c>
      <c r="N365">
        <v>10.7</v>
      </c>
      <c r="O365" t="s">
        <v>419</v>
      </c>
      <c r="P365" t="s">
        <v>225</v>
      </c>
    </row>
    <row r="366" spans="11:16" x14ac:dyDescent="0.2">
      <c r="K366">
        <v>2009</v>
      </c>
      <c r="L366" t="s">
        <v>223</v>
      </c>
      <c r="M366" t="s">
        <v>151</v>
      </c>
      <c r="N366">
        <v>10.7</v>
      </c>
      <c r="O366" t="s">
        <v>419</v>
      </c>
      <c r="P366" t="s">
        <v>226</v>
      </c>
    </row>
    <row r="367" spans="11:16" x14ac:dyDescent="0.2">
      <c r="K367">
        <v>2010</v>
      </c>
      <c r="L367" t="s">
        <v>223</v>
      </c>
      <c r="M367" t="s">
        <v>151</v>
      </c>
      <c r="N367">
        <v>10.199999999999999</v>
      </c>
      <c r="O367" t="s">
        <v>420</v>
      </c>
      <c r="P367" t="s">
        <v>225</v>
      </c>
    </row>
    <row r="368" spans="11:16" x14ac:dyDescent="0.2">
      <c r="K368">
        <v>2010</v>
      </c>
      <c r="L368" t="s">
        <v>223</v>
      </c>
      <c r="M368" t="s">
        <v>151</v>
      </c>
      <c r="N368">
        <v>10.199999999999999</v>
      </c>
      <c r="O368" t="s">
        <v>420</v>
      </c>
      <c r="P368" t="s">
        <v>226</v>
      </c>
    </row>
    <row r="369" spans="11:16" x14ac:dyDescent="0.2">
      <c r="K369">
        <v>2011</v>
      </c>
      <c r="L369" t="s">
        <v>223</v>
      </c>
      <c r="M369" t="s">
        <v>151</v>
      </c>
      <c r="N369">
        <v>10.5</v>
      </c>
      <c r="O369" t="s">
        <v>421</v>
      </c>
      <c r="P369" t="s">
        <v>225</v>
      </c>
    </row>
    <row r="370" spans="11:16" x14ac:dyDescent="0.2">
      <c r="K370">
        <v>2011</v>
      </c>
      <c r="L370" t="s">
        <v>223</v>
      </c>
      <c r="M370" t="s">
        <v>151</v>
      </c>
      <c r="N370">
        <v>10.5</v>
      </c>
      <c r="O370" t="s">
        <v>421</v>
      </c>
      <c r="P370" t="s">
        <v>226</v>
      </c>
    </row>
    <row r="371" spans="11:16" x14ac:dyDescent="0.2">
      <c r="K371">
        <v>2012</v>
      </c>
      <c r="L371" t="s">
        <v>223</v>
      </c>
      <c r="M371" t="s">
        <v>151</v>
      </c>
      <c r="N371">
        <v>9.9</v>
      </c>
      <c r="O371" t="s">
        <v>422</v>
      </c>
      <c r="P371" t="s">
        <v>225</v>
      </c>
    </row>
    <row r="372" spans="11:16" x14ac:dyDescent="0.2">
      <c r="K372">
        <v>2012</v>
      </c>
      <c r="L372" t="s">
        <v>223</v>
      </c>
      <c r="M372" t="s">
        <v>151</v>
      </c>
      <c r="N372">
        <v>9.9</v>
      </c>
      <c r="O372" t="s">
        <v>422</v>
      </c>
      <c r="P372" t="s">
        <v>226</v>
      </c>
    </row>
    <row r="373" spans="11:16" x14ac:dyDescent="0.2">
      <c r="K373">
        <v>2008</v>
      </c>
      <c r="L373" t="s">
        <v>235</v>
      </c>
      <c r="M373" t="s">
        <v>151</v>
      </c>
      <c r="N373">
        <v>10</v>
      </c>
      <c r="O373" t="s">
        <v>423</v>
      </c>
      <c r="P373" t="s">
        <v>225</v>
      </c>
    </row>
    <row r="374" spans="11:16" x14ac:dyDescent="0.2">
      <c r="K374">
        <v>2008</v>
      </c>
      <c r="L374" t="s">
        <v>235</v>
      </c>
      <c r="M374" t="s">
        <v>151</v>
      </c>
      <c r="N374">
        <v>10</v>
      </c>
      <c r="O374" t="s">
        <v>423</v>
      </c>
      <c r="P374" t="s">
        <v>226</v>
      </c>
    </row>
    <row r="375" spans="11:16" x14ac:dyDescent="0.2">
      <c r="K375">
        <v>2009</v>
      </c>
      <c r="L375" t="s">
        <v>235</v>
      </c>
      <c r="M375" t="s">
        <v>151</v>
      </c>
      <c r="N375">
        <v>10.199999999999999</v>
      </c>
      <c r="O375" t="s">
        <v>424</v>
      </c>
      <c r="P375" t="s">
        <v>225</v>
      </c>
    </row>
    <row r="376" spans="11:16" x14ac:dyDescent="0.2">
      <c r="K376">
        <v>2009</v>
      </c>
      <c r="L376" t="s">
        <v>235</v>
      </c>
      <c r="M376" t="s">
        <v>151</v>
      </c>
      <c r="N376">
        <v>10.199999999999999</v>
      </c>
      <c r="O376" t="s">
        <v>424</v>
      </c>
      <c r="P376" t="s">
        <v>226</v>
      </c>
    </row>
    <row r="377" spans="11:16" x14ac:dyDescent="0.2">
      <c r="K377">
        <v>2010</v>
      </c>
      <c r="L377" t="s">
        <v>235</v>
      </c>
      <c r="M377" t="s">
        <v>151</v>
      </c>
      <c r="N377">
        <v>10.1</v>
      </c>
      <c r="O377" t="s">
        <v>425</v>
      </c>
      <c r="P377" t="s">
        <v>225</v>
      </c>
    </row>
    <row r="378" spans="11:16" x14ac:dyDescent="0.2">
      <c r="K378">
        <v>2010</v>
      </c>
      <c r="L378" t="s">
        <v>235</v>
      </c>
      <c r="M378" t="s">
        <v>151</v>
      </c>
      <c r="N378">
        <v>10.1</v>
      </c>
      <c r="O378" t="s">
        <v>425</v>
      </c>
      <c r="P378" t="s">
        <v>226</v>
      </c>
    </row>
    <row r="379" spans="11:16" x14ac:dyDescent="0.2">
      <c r="K379">
        <v>2011</v>
      </c>
      <c r="L379" t="s">
        <v>235</v>
      </c>
      <c r="M379" t="s">
        <v>151</v>
      </c>
      <c r="N379">
        <v>10.199999999999999</v>
      </c>
      <c r="O379" t="s">
        <v>426</v>
      </c>
      <c r="P379" t="s">
        <v>225</v>
      </c>
    </row>
    <row r="380" spans="11:16" x14ac:dyDescent="0.2">
      <c r="K380">
        <v>2011</v>
      </c>
      <c r="L380" t="s">
        <v>235</v>
      </c>
      <c r="M380" t="s">
        <v>151</v>
      </c>
      <c r="N380">
        <v>10.199999999999999</v>
      </c>
      <c r="O380" t="s">
        <v>426</v>
      </c>
      <c r="P380" t="s">
        <v>226</v>
      </c>
    </row>
    <row r="381" spans="11:16" x14ac:dyDescent="0.2">
      <c r="K381">
        <v>2012</v>
      </c>
      <c r="L381" t="s">
        <v>235</v>
      </c>
      <c r="M381" t="s">
        <v>151</v>
      </c>
      <c r="N381">
        <v>10</v>
      </c>
      <c r="O381" t="s">
        <v>427</v>
      </c>
      <c r="P381" t="s">
        <v>225</v>
      </c>
    </row>
    <row r="382" spans="11:16" x14ac:dyDescent="0.2">
      <c r="K382">
        <v>2012</v>
      </c>
      <c r="L382" t="s">
        <v>235</v>
      </c>
      <c r="M382" t="s">
        <v>151</v>
      </c>
      <c r="N382">
        <v>10</v>
      </c>
      <c r="O382" t="s">
        <v>427</v>
      </c>
      <c r="P382" t="s">
        <v>226</v>
      </c>
    </row>
    <row r="383" spans="11:16" x14ac:dyDescent="0.2">
      <c r="K383">
        <v>2008</v>
      </c>
      <c r="L383" t="s">
        <v>223</v>
      </c>
      <c r="M383" t="s">
        <v>152</v>
      </c>
      <c r="N383">
        <v>11.3</v>
      </c>
      <c r="O383" t="s">
        <v>428</v>
      </c>
      <c r="P383" t="s">
        <v>225</v>
      </c>
    </row>
    <row r="384" spans="11:16" x14ac:dyDescent="0.2">
      <c r="K384">
        <v>2008</v>
      </c>
      <c r="L384" t="s">
        <v>223</v>
      </c>
      <c r="M384" t="s">
        <v>152</v>
      </c>
      <c r="N384">
        <v>11.3</v>
      </c>
      <c r="O384" t="s">
        <v>428</v>
      </c>
      <c r="P384" t="s">
        <v>226</v>
      </c>
    </row>
    <row r="385" spans="11:16" x14ac:dyDescent="0.2">
      <c r="K385">
        <v>2009</v>
      </c>
      <c r="L385" t="s">
        <v>223</v>
      </c>
      <c r="M385" t="s">
        <v>152</v>
      </c>
      <c r="N385">
        <v>14.4</v>
      </c>
      <c r="O385" t="s">
        <v>429</v>
      </c>
      <c r="P385" t="s">
        <v>225</v>
      </c>
    </row>
    <row r="386" spans="11:16" x14ac:dyDescent="0.2">
      <c r="K386">
        <v>2009</v>
      </c>
      <c r="L386" t="s">
        <v>223</v>
      </c>
      <c r="M386" t="s">
        <v>152</v>
      </c>
      <c r="N386">
        <v>14.4</v>
      </c>
      <c r="O386" t="s">
        <v>429</v>
      </c>
      <c r="P386" t="s">
        <v>226</v>
      </c>
    </row>
    <row r="387" spans="11:16" x14ac:dyDescent="0.2">
      <c r="K387">
        <v>2010</v>
      </c>
      <c r="L387" t="s">
        <v>223</v>
      </c>
      <c r="M387" t="s">
        <v>152</v>
      </c>
      <c r="N387">
        <v>11</v>
      </c>
      <c r="O387" t="s">
        <v>430</v>
      </c>
      <c r="P387" t="s">
        <v>225</v>
      </c>
    </row>
    <row r="388" spans="11:16" x14ac:dyDescent="0.2">
      <c r="K388">
        <v>2010</v>
      </c>
      <c r="L388" t="s">
        <v>223</v>
      </c>
      <c r="M388" t="s">
        <v>152</v>
      </c>
      <c r="N388">
        <v>11</v>
      </c>
      <c r="O388" t="s">
        <v>430</v>
      </c>
      <c r="P388" t="s">
        <v>226</v>
      </c>
    </row>
    <row r="389" spans="11:16" x14ac:dyDescent="0.2">
      <c r="K389">
        <v>2011</v>
      </c>
      <c r="L389" t="s">
        <v>223</v>
      </c>
      <c r="M389" t="s">
        <v>152</v>
      </c>
      <c r="N389">
        <v>11</v>
      </c>
      <c r="O389" t="s">
        <v>431</v>
      </c>
      <c r="P389" t="s">
        <v>225</v>
      </c>
    </row>
    <row r="390" spans="11:16" x14ac:dyDescent="0.2">
      <c r="K390">
        <v>2011</v>
      </c>
      <c r="L390" t="s">
        <v>223</v>
      </c>
      <c r="M390" t="s">
        <v>152</v>
      </c>
      <c r="N390">
        <v>11</v>
      </c>
      <c r="O390" t="s">
        <v>431</v>
      </c>
      <c r="P390" t="s">
        <v>226</v>
      </c>
    </row>
    <row r="391" spans="11:16" x14ac:dyDescent="0.2">
      <c r="K391">
        <v>2012</v>
      </c>
      <c r="L391" t="s">
        <v>223</v>
      </c>
      <c r="M391" t="s">
        <v>152</v>
      </c>
      <c r="N391">
        <v>11.2</v>
      </c>
      <c r="O391" t="s">
        <v>432</v>
      </c>
      <c r="P391" t="s">
        <v>225</v>
      </c>
    </row>
    <row r="392" spans="11:16" x14ac:dyDescent="0.2">
      <c r="K392">
        <v>2012</v>
      </c>
      <c r="L392" t="s">
        <v>223</v>
      </c>
      <c r="M392" t="s">
        <v>152</v>
      </c>
      <c r="N392">
        <v>11.2</v>
      </c>
      <c r="O392" t="s">
        <v>432</v>
      </c>
      <c r="P392" t="s">
        <v>226</v>
      </c>
    </row>
    <row r="393" spans="11:16" x14ac:dyDescent="0.2">
      <c r="K393">
        <v>2008</v>
      </c>
      <c r="L393" t="s">
        <v>235</v>
      </c>
      <c r="M393" t="s">
        <v>152</v>
      </c>
      <c r="N393">
        <v>10.7</v>
      </c>
      <c r="O393" t="s">
        <v>433</v>
      </c>
      <c r="P393" t="s">
        <v>225</v>
      </c>
    </row>
    <row r="394" spans="11:16" x14ac:dyDescent="0.2">
      <c r="K394">
        <v>2008</v>
      </c>
      <c r="L394" t="s">
        <v>235</v>
      </c>
      <c r="M394" t="s">
        <v>152</v>
      </c>
      <c r="N394">
        <v>10.7</v>
      </c>
      <c r="O394" t="s">
        <v>433</v>
      </c>
      <c r="P394" t="s">
        <v>226</v>
      </c>
    </row>
    <row r="395" spans="11:16" x14ac:dyDescent="0.2">
      <c r="K395">
        <v>2009</v>
      </c>
      <c r="L395" t="s">
        <v>235</v>
      </c>
      <c r="M395" t="s">
        <v>152</v>
      </c>
      <c r="N395">
        <v>10.9</v>
      </c>
      <c r="O395" t="s">
        <v>434</v>
      </c>
      <c r="P395" t="s">
        <v>225</v>
      </c>
    </row>
    <row r="396" spans="11:16" x14ac:dyDescent="0.2">
      <c r="K396">
        <v>2009</v>
      </c>
      <c r="L396" t="s">
        <v>235</v>
      </c>
      <c r="M396" t="s">
        <v>152</v>
      </c>
      <c r="N396">
        <v>10.9</v>
      </c>
      <c r="O396" t="s">
        <v>434</v>
      </c>
      <c r="P396" t="s">
        <v>226</v>
      </c>
    </row>
    <row r="397" spans="11:16" x14ac:dyDescent="0.2">
      <c r="K397">
        <v>2010</v>
      </c>
      <c r="L397" t="s">
        <v>235</v>
      </c>
      <c r="M397" t="s">
        <v>152</v>
      </c>
      <c r="N397">
        <v>10.7</v>
      </c>
      <c r="O397" t="s">
        <v>435</v>
      </c>
      <c r="P397" t="s">
        <v>225</v>
      </c>
    </row>
    <row r="398" spans="11:16" x14ac:dyDescent="0.2">
      <c r="K398">
        <v>2010</v>
      </c>
      <c r="L398" t="s">
        <v>235</v>
      </c>
      <c r="M398" t="s">
        <v>152</v>
      </c>
      <c r="N398">
        <v>10.7</v>
      </c>
      <c r="O398" t="s">
        <v>435</v>
      </c>
      <c r="P398" t="s">
        <v>226</v>
      </c>
    </row>
    <row r="399" spans="11:16" x14ac:dyDescent="0.2">
      <c r="K399">
        <v>2011</v>
      </c>
      <c r="L399" t="s">
        <v>235</v>
      </c>
      <c r="M399" t="s">
        <v>152</v>
      </c>
      <c r="N399">
        <v>10.9</v>
      </c>
      <c r="O399" t="s">
        <v>436</v>
      </c>
      <c r="P399" t="s">
        <v>225</v>
      </c>
    </row>
    <row r="400" spans="11:16" x14ac:dyDescent="0.2">
      <c r="K400">
        <v>2011</v>
      </c>
      <c r="L400" t="s">
        <v>235</v>
      </c>
      <c r="M400" t="s">
        <v>152</v>
      </c>
      <c r="N400">
        <v>10.9</v>
      </c>
      <c r="O400" t="s">
        <v>436</v>
      </c>
      <c r="P400" t="s">
        <v>226</v>
      </c>
    </row>
    <row r="401" spans="11:16" x14ac:dyDescent="0.2">
      <c r="K401">
        <v>2012</v>
      </c>
      <c r="L401" t="s">
        <v>235</v>
      </c>
      <c r="M401" t="s">
        <v>152</v>
      </c>
      <c r="N401">
        <v>10.7</v>
      </c>
      <c r="O401" t="s">
        <v>437</v>
      </c>
      <c r="P401" t="s">
        <v>225</v>
      </c>
    </row>
    <row r="402" spans="11:16" x14ac:dyDescent="0.2">
      <c r="K402">
        <v>2012</v>
      </c>
      <c r="L402" t="s">
        <v>235</v>
      </c>
      <c r="M402" t="s">
        <v>152</v>
      </c>
      <c r="N402">
        <v>10.7</v>
      </c>
      <c r="O402" t="s">
        <v>437</v>
      </c>
      <c r="P402" t="s">
        <v>226</v>
      </c>
    </row>
    <row r="403" spans="11:16" x14ac:dyDescent="0.2">
      <c r="K403">
        <v>2008</v>
      </c>
      <c r="L403" t="s">
        <v>223</v>
      </c>
      <c r="M403" t="s">
        <v>208</v>
      </c>
      <c r="N403">
        <v>7.3</v>
      </c>
      <c r="O403" t="s">
        <v>438</v>
      </c>
      <c r="P403" t="s">
        <v>225</v>
      </c>
    </row>
    <row r="404" spans="11:16" x14ac:dyDescent="0.2">
      <c r="K404">
        <v>2008</v>
      </c>
      <c r="L404" t="s">
        <v>223</v>
      </c>
      <c r="M404" t="s">
        <v>208</v>
      </c>
      <c r="N404">
        <v>7.3</v>
      </c>
      <c r="O404" t="s">
        <v>438</v>
      </c>
      <c r="P404" t="s">
        <v>226</v>
      </c>
    </row>
    <row r="405" spans="11:16" x14ac:dyDescent="0.2">
      <c r="K405">
        <v>2010</v>
      </c>
      <c r="L405" t="s">
        <v>223</v>
      </c>
      <c r="M405" t="s">
        <v>208</v>
      </c>
      <c r="N405">
        <v>7.2</v>
      </c>
      <c r="O405" t="s">
        <v>439</v>
      </c>
      <c r="P405" t="s">
        <v>225</v>
      </c>
    </row>
    <row r="406" spans="11:16" x14ac:dyDescent="0.2">
      <c r="K406">
        <v>2010</v>
      </c>
      <c r="L406" t="s">
        <v>223</v>
      </c>
      <c r="M406" t="s">
        <v>208</v>
      </c>
      <c r="N406">
        <v>7.2</v>
      </c>
      <c r="O406" t="s">
        <v>439</v>
      </c>
      <c r="P406" t="s">
        <v>226</v>
      </c>
    </row>
    <row r="407" spans="11:16" x14ac:dyDescent="0.2">
      <c r="K407">
        <v>2012</v>
      </c>
      <c r="L407" t="s">
        <v>223</v>
      </c>
      <c r="M407" t="s">
        <v>208</v>
      </c>
      <c r="N407">
        <v>7.4</v>
      </c>
      <c r="O407" t="s">
        <v>440</v>
      </c>
      <c r="P407" t="s">
        <v>225</v>
      </c>
    </row>
    <row r="408" spans="11:16" x14ac:dyDescent="0.2">
      <c r="K408">
        <v>2012</v>
      </c>
      <c r="L408" t="s">
        <v>223</v>
      </c>
      <c r="M408" t="s">
        <v>208</v>
      </c>
      <c r="N408">
        <v>7.4</v>
      </c>
      <c r="O408" t="s">
        <v>440</v>
      </c>
      <c r="P408" t="s">
        <v>226</v>
      </c>
    </row>
    <row r="409" spans="11:16" x14ac:dyDescent="0.2">
      <c r="K409">
        <v>2008</v>
      </c>
      <c r="L409" t="s">
        <v>235</v>
      </c>
      <c r="M409" t="s">
        <v>208</v>
      </c>
      <c r="N409">
        <v>7.2</v>
      </c>
      <c r="O409" t="s">
        <v>441</v>
      </c>
      <c r="P409" t="s">
        <v>225</v>
      </c>
    </row>
    <row r="410" spans="11:16" x14ac:dyDescent="0.2">
      <c r="K410">
        <v>2008</v>
      </c>
      <c r="L410" t="s">
        <v>235</v>
      </c>
      <c r="M410" t="s">
        <v>208</v>
      </c>
      <c r="N410">
        <v>7.2</v>
      </c>
      <c r="O410" t="s">
        <v>441</v>
      </c>
      <c r="P410" t="s">
        <v>226</v>
      </c>
    </row>
    <row r="411" spans="11:16" x14ac:dyDescent="0.2">
      <c r="K411">
        <v>2010</v>
      </c>
      <c r="L411" t="s">
        <v>235</v>
      </c>
      <c r="M411" t="s">
        <v>208</v>
      </c>
      <c r="N411">
        <v>7.5</v>
      </c>
      <c r="O411" t="s">
        <v>442</v>
      </c>
      <c r="P411" t="s">
        <v>225</v>
      </c>
    </row>
    <row r="412" spans="11:16" x14ac:dyDescent="0.2">
      <c r="K412">
        <v>2010</v>
      </c>
      <c r="L412" t="s">
        <v>235</v>
      </c>
      <c r="M412" t="s">
        <v>208</v>
      </c>
      <c r="N412">
        <v>7.5</v>
      </c>
      <c r="O412" t="s">
        <v>442</v>
      </c>
      <c r="P412" t="s">
        <v>226</v>
      </c>
    </row>
    <row r="413" spans="11:16" x14ac:dyDescent="0.2">
      <c r="K413">
        <v>2012</v>
      </c>
      <c r="L413" t="s">
        <v>235</v>
      </c>
      <c r="M413" t="s">
        <v>208</v>
      </c>
      <c r="N413">
        <v>7</v>
      </c>
      <c r="O413" t="s">
        <v>443</v>
      </c>
      <c r="P413" t="s">
        <v>225</v>
      </c>
    </row>
    <row r="414" spans="11:16" x14ac:dyDescent="0.2">
      <c r="K414">
        <v>2012</v>
      </c>
      <c r="L414" t="s">
        <v>235</v>
      </c>
      <c r="M414" t="s">
        <v>208</v>
      </c>
      <c r="N414">
        <v>7</v>
      </c>
      <c r="O414" t="s">
        <v>443</v>
      </c>
      <c r="P414" t="s">
        <v>226</v>
      </c>
    </row>
    <row r="415" spans="11:16" x14ac:dyDescent="0.2">
      <c r="K415">
        <v>2009</v>
      </c>
      <c r="L415" t="s">
        <v>223</v>
      </c>
      <c r="M415" t="s">
        <v>242</v>
      </c>
      <c r="N415">
        <v>32.4</v>
      </c>
      <c r="O415" t="s">
        <v>444</v>
      </c>
      <c r="P415" t="s">
        <v>225</v>
      </c>
    </row>
    <row r="416" spans="11:16" x14ac:dyDescent="0.2">
      <c r="K416">
        <v>2009</v>
      </c>
      <c r="L416" t="s">
        <v>223</v>
      </c>
      <c r="M416" t="s">
        <v>242</v>
      </c>
      <c r="N416">
        <v>32.4</v>
      </c>
      <c r="O416" t="s">
        <v>444</v>
      </c>
      <c r="P416" t="s">
        <v>226</v>
      </c>
    </row>
    <row r="417" spans="11:16" x14ac:dyDescent="0.2">
      <c r="K417">
        <v>2011</v>
      </c>
      <c r="L417" t="s">
        <v>223</v>
      </c>
      <c r="M417" t="s">
        <v>242</v>
      </c>
      <c r="N417">
        <v>32.1</v>
      </c>
      <c r="O417" t="s">
        <v>445</v>
      </c>
      <c r="P417" t="s">
        <v>225</v>
      </c>
    </row>
    <row r="418" spans="11:16" x14ac:dyDescent="0.2">
      <c r="K418">
        <v>2011</v>
      </c>
      <c r="L418" t="s">
        <v>223</v>
      </c>
      <c r="M418" t="s">
        <v>242</v>
      </c>
      <c r="N418">
        <v>32.1</v>
      </c>
      <c r="O418" t="s">
        <v>445</v>
      </c>
      <c r="P418" t="s">
        <v>226</v>
      </c>
    </row>
    <row r="419" spans="11:16" x14ac:dyDescent="0.2">
      <c r="K419">
        <v>2009</v>
      </c>
      <c r="L419" t="s">
        <v>235</v>
      </c>
      <c r="M419" t="s">
        <v>242</v>
      </c>
      <c r="N419">
        <v>31.1</v>
      </c>
      <c r="O419" t="s">
        <v>446</v>
      </c>
      <c r="P419" t="s">
        <v>225</v>
      </c>
    </row>
    <row r="420" spans="11:16" x14ac:dyDescent="0.2">
      <c r="K420">
        <v>2009</v>
      </c>
      <c r="L420" t="s">
        <v>235</v>
      </c>
      <c r="M420" t="s">
        <v>242</v>
      </c>
      <c r="N420">
        <v>31.1</v>
      </c>
      <c r="O420" t="s">
        <v>446</v>
      </c>
      <c r="P420" t="s">
        <v>226</v>
      </c>
    </row>
    <row r="421" spans="11:16" x14ac:dyDescent="0.2">
      <c r="K421">
        <v>2011</v>
      </c>
      <c r="L421" t="s">
        <v>235</v>
      </c>
      <c r="M421" t="s">
        <v>242</v>
      </c>
      <c r="N421">
        <v>31.1</v>
      </c>
      <c r="O421" t="s">
        <v>447</v>
      </c>
      <c r="P421" t="s">
        <v>225</v>
      </c>
    </row>
    <row r="422" spans="11:16" x14ac:dyDescent="0.2">
      <c r="K422">
        <v>2011</v>
      </c>
      <c r="L422" t="s">
        <v>235</v>
      </c>
      <c r="M422" t="s">
        <v>242</v>
      </c>
      <c r="N422">
        <v>31.1</v>
      </c>
      <c r="O422" t="s">
        <v>447</v>
      </c>
      <c r="P422" t="s">
        <v>226</v>
      </c>
    </row>
    <row r="423" spans="11:16" x14ac:dyDescent="0.2">
      <c r="K423">
        <v>2008</v>
      </c>
      <c r="L423" t="s">
        <v>223</v>
      </c>
      <c r="M423" t="s">
        <v>142</v>
      </c>
      <c r="N423">
        <v>51.5</v>
      </c>
      <c r="O423" t="s">
        <v>448</v>
      </c>
      <c r="P423" t="s">
        <v>225</v>
      </c>
    </row>
    <row r="424" spans="11:16" x14ac:dyDescent="0.2">
      <c r="K424">
        <v>2008</v>
      </c>
      <c r="L424" t="s">
        <v>223</v>
      </c>
      <c r="M424" t="s">
        <v>142</v>
      </c>
      <c r="N424">
        <v>51.5</v>
      </c>
      <c r="O424" t="s">
        <v>448</v>
      </c>
      <c r="P424" t="s">
        <v>226</v>
      </c>
    </row>
    <row r="425" spans="11:16" x14ac:dyDescent="0.2">
      <c r="K425">
        <v>2009</v>
      </c>
      <c r="L425" t="s">
        <v>223</v>
      </c>
      <c r="M425" t="s">
        <v>142</v>
      </c>
      <c r="N425">
        <v>54.5</v>
      </c>
      <c r="O425" t="s">
        <v>449</v>
      </c>
      <c r="P425" t="s">
        <v>225</v>
      </c>
    </row>
    <row r="426" spans="11:16" x14ac:dyDescent="0.2">
      <c r="K426">
        <v>2009</v>
      </c>
      <c r="L426" t="s">
        <v>223</v>
      </c>
      <c r="M426" t="s">
        <v>142</v>
      </c>
      <c r="N426">
        <v>54.5</v>
      </c>
      <c r="O426" t="s">
        <v>449</v>
      </c>
      <c r="P426" t="s">
        <v>226</v>
      </c>
    </row>
    <row r="427" spans="11:16" x14ac:dyDescent="0.2">
      <c r="K427">
        <v>2010</v>
      </c>
      <c r="L427" t="s">
        <v>223</v>
      </c>
      <c r="M427" t="s">
        <v>142</v>
      </c>
      <c r="N427">
        <v>51.6</v>
      </c>
      <c r="O427" t="s">
        <v>450</v>
      </c>
      <c r="P427" t="s">
        <v>225</v>
      </c>
    </row>
    <row r="428" spans="11:16" x14ac:dyDescent="0.2">
      <c r="K428">
        <v>2010</v>
      </c>
      <c r="L428" t="s">
        <v>223</v>
      </c>
      <c r="M428" t="s">
        <v>142</v>
      </c>
      <c r="N428">
        <v>51.6</v>
      </c>
      <c r="O428" t="s">
        <v>450</v>
      </c>
      <c r="P428" t="s">
        <v>226</v>
      </c>
    </row>
    <row r="429" spans="11:16" x14ac:dyDescent="0.2">
      <c r="K429">
        <v>2011</v>
      </c>
      <c r="L429" t="s">
        <v>223</v>
      </c>
      <c r="M429" t="s">
        <v>142</v>
      </c>
      <c r="N429">
        <v>51.6</v>
      </c>
      <c r="O429" t="s">
        <v>451</v>
      </c>
      <c r="P429" t="s">
        <v>225</v>
      </c>
    </row>
    <row r="430" spans="11:16" x14ac:dyDescent="0.2">
      <c r="K430">
        <v>2011</v>
      </c>
      <c r="L430" t="s">
        <v>223</v>
      </c>
      <c r="M430" t="s">
        <v>142</v>
      </c>
      <c r="N430">
        <v>51.6</v>
      </c>
      <c r="O430" t="s">
        <v>451</v>
      </c>
      <c r="P430" t="s">
        <v>226</v>
      </c>
    </row>
    <row r="431" spans="11:16" x14ac:dyDescent="0.2">
      <c r="K431">
        <v>2012</v>
      </c>
      <c r="L431" t="s">
        <v>223</v>
      </c>
      <c r="M431" t="s">
        <v>142</v>
      </c>
      <c r="N431">
        <v>51.6</v>
      </c>
      <c r="O431" t="s">
        <v>452</v>
      </c>
      <c r="P431" t="s">
        <v>225</v>
      </c>
    </row>
    <row r="432" spans="11:16" x14ac:dyDescent="0.2">
      <c r="K432">
        <v>2012</v>
      </c>
      <c r="L432" t="s">
        <v>223</v>
      </c>
      <c r="M432" t="s">
        <v>142</v>
      </c>
      <c r="N432">
        <v>51.6</v>
      </c>
      <c r="O432" t="s">
        <v>452</v>
      </c>
      <c r="P432" t="s">
        <v>226</v>
      </c>
    </row>
    <row r="433" spans="11:16" x14ac:dyDescent="0.2">
      <c r="K433">
        <v>2008</v>
      </c>
      <c r="L433" t="s">
        <v>235</v>
      </c>
      <c r="M433" t="s">
        <v>142</v>
      </c>
      <c r="N433">
        <v>50.6</v>
      </c>
      <c r="O433" t="s">
        <v>453</v>
      </c>
      <c r="P433" t="s">
        <v>225</v>
      </c>
    </row>
    <row r="434" spans="11:16" x14ac:dyDescent="0.2">
      <c r="K434">
        <v>2008</v>
      </c>
      <c r="L434" t="s">
        <v>235</v>
      </c>
      <c r="M434" t="s">
        <v>142</v>
      </c>
      <c r="N434">
        <v>50.6</v>
      </c>
      <c r="O434" t="s">
        <v>453</v>
      </c>
      <c r="P434" t="s">
        <v>226</v>
      </c>
    </row>
    <row r="435" spans="11:16" x14ac:dyDescent="0.2">
      <c r="K435">
        <v>2009</v>
      </c>
      <c r="L435" t="s">
        <v>235</v>
      </c>
      <c r="M435" t="s">
        <v>142</v>
      </c>
      <c r="N435">
        <v>51.5</v>
      </c>
      <c r="O435" t="s">
        <v>454</v>
      </c>
      <c r="P435" t="s">
        <v>225</v>
      </c>
    </row>
    <row r="436" spans="11:16" x14ac:dyDescent="0.2">
      <c r="K436">
        <v>2009</v>
      </c>
      <c r="L436" t="s">
        <v>235</v>
      </c>
      <c r="M436" t="s">
        <v>142</v>
      </c>
      <c r="N436">
        <v>51.5</v>
      </c>
      <c r="O436" t="s">
        <v>454</v>
      </c>
      <c r="P436" t="s">
        <v>226</v>
      </c>
    </row>
    <row r="437" spans="11:16" x14ac:dyDescent="0.2">
      <c r="K437">
        <v>2010</v>
      </c>
      <c r="L437" t="s">
        <v>235</v>
      </c>
      <c r="M437" t="s">
        <v>142</v>
      </c>
      <c r="N437">
        <v>50.6</v>
      </c>
      <c r="O437" t="s">
        <v>455</v>
      </c>
      <c r="P437" t="s">
        <v>225</v>
      </c>
    </row>
    <row r="438" spans="11:16" x14ac:dyDescent="0.2">
      <c r="K438">
        <v>2010</v>
      </c>
      <c r="L438" t="s">
        <v>235</v>
      </c>
      <c r="M438" t="s">
        <v>142</v>
      </c>
      <c r="N438">
        <v>50.6</v>
      </c>
      <c r="O438" t="s">
        <v>455</v>
      </c>
      <c r="P438" t="s">
        <v>226</v>
      </c>
    </row>
    <row r="439" spans="11:16" x14ac:dyDescent="0.2">
      <c r="K439">
        <v>2011</v>
      </c>
      <c r="L439" t="s">
        <v>235</v>
      </c>
      <c r="M439" t="s">
        <v>142</v>
      </c>
      <c r="N439">
        <v>51.6</v>
      </c>
      <c r="O439" t="s">
        <v>456</v>
      </c>
      <c r="P439" t="s">
        <v>225</v>
      </c>
    </row>
    <row r="440" spans="11:16" x14ac:dyDescent="0.2">
      <c r="K440">
        <v>2011</v>
      </c>
      <c r="L440" t="s">
        <v>235</v>
      </c>
      <c r="M440" t="s">
        <v>142</v>
      </c>
      <c r="N440">
        <v>51.6</v>
      </c>
      <c r="O440" t="s">
        <v>456</v>
      </c>
      <c r="P440" t="s">
        <v>226</v>
      </c>
    </row>
    <row r="441" spans="11:16" x14ac:dyDescent="0.2">
      <c r="K441">
        <v>2012</v>
      </c>
      <c r="L441" t="s">
        <v>235</v>
      </c>
      <c r="M441" t="s">
        <v>142</v>
      </c>
      <c r="N441">
        <v>50.6</v>
      </c>
      <c r="O441" t="s">
        <v>457</v>
      </c>
      <c r="P441" t="s">
        <v>225</v>
      </c>
    </row>
    <row r="442" spans="11:16" x14ac:dyDescent="0.2">
      <c r="K442">
        <v>2012</v>
      </c>
      <c r="L442" t="s">
        <v>235</v>
      </c>
      <c r="M442" t="s">
        <v>142</v>
      </c>
      <c r="N442">
        <v>50.6</v>
      </c>
      <c r="O442" t="s">
        <v>457</v>
      </c>
      <c r="P442" t="s">
        <v>226</v>
      </c>
    </row>
    <row r="443" spans="11:16" x14ac:dyDescent="0.2">
      <c r="K443">
        <v>2008</v>
      </c>
      <c r="L443" t="s">
        <v>223</v>
      </c>
      <c r="M443" t="s">
        <v>146</v>
      </c>
      <c r="N443">
        <v>60.3</v>
      </c>
      <c r="O443" t="s">
        <v>458</v>
      </c>
      <c r="P443" t="s">
        <v>225</v>
      </c>
    </row>
    <row r="444" spans="11:16" x14ac:dyDescent="0.2">
      <c r="K444">
        <v>2008</v>
      </c>
      <c r="L444" t="s">
        <v>223</v>
      </c>
      <c r="M444" t="s">
        <v>146</v>
      </c>
      <c r="N444">
        <v>60.3</v>
      </c>
      <c r="O444" t="s">
        <v>458</v>
      </c>
      <c r="P444" t="s">
        <v>226</v>
      </c>
    </row>
    <row r="445" spans="11:16" x14ac:dyDescent="0.2">
      <c r="K445">
        <v>2009</v>
      </c>
      <c r="L445" t="s">
        <v>223</v>
      </c>
      <c r="M445" t="s">
        <v>146</v>
      </c>
      <c r="N445">
        <v>60.6</v>
      </c>
      <c r="O445" t="s">
        <v>459</v>
      </c>
      <c r="P445" t="s">
        <v>225</v>
      </c>
    </row>
    <row r="446" spans="11:16" x14ac:dyDescent="0.2">
      <c r="K446">
        <v>2009</v>
      </c>
      <c r="L446" t="s">
        <v>223</v>
      </c>
      <c r="M446" t="s">
        <v>146</v>
      </c>
      <c r="N446">
        <v>60.6</v>
      </c>
      <c r="O446" t="s">
        <v>459</v>
      </c>
      <c r="P446" t="s">
        <v>226</v>
      </c>
    </row>
    <row r="447" spans="11:16" x14ac:dyDescent="0.2">
      <c r="K447">
        <v>2010</v>
      </c>
      <c r="L447" t="s">
        <v>223</v>
      </c>
      <c r="M447" t="s">
        <v>146</v>
      </c>
      <c r="N447">
        <v>60.3</v>
      </c>
      <c r="O447" t="s">
        <v>460</v>
      </c>
      <c r="P447" t="s">
        <v>225</v>
      </c>
    </row>
    <row r="448" spans="11:16" x14ac:dyDescent="0.2">
      <c r="K448">
        <v>2010</v>
      </c>
      <c r="L448" t="s">
        <v>223</v>
      </c>
      <c r="M448" t="s">
        <v>146</v>
      </c>
      <c r="N448">
        <v>60.3</v>
      </c>
      <c r="O448" t="s">
        <v>460</v>
      </c>
      <c r="P448" t="s">
        <v>226</v>
      </c>
    </row>
    <row r="449" spans="11:16" x14ac:dyDescent="0.2">
      <c r="K449">
        <v>2011</v>
      </c>
      <c r="L449" t="s">
        <v>223</v>
      </c>
      <c r="M449" t="s">
        <v>146</v>
      </c>
      <c r="N449">
        <v>60.3</v>
      </c>
      <c r="O449" t="s">
        <v>461</v>
      </c>
      <c r="P449" t="s">
        <v>225</v>
      </c>
    </row>
    <row r="450" spans="11:16" x14ac:dyDescent="0.2">
      <c r="K450">
        <v>2011</v>
      </c>
      <c r="L450" t="s">
        <v>223</v>
      </c>
      <c r="M450" t="s">
        <v>146</v>
      </c>
      <c r="N450">
        <v>60.3</v>
      </c>
      <c r="O450" t="s">
        <v>461</v>
      </c>
      <c r="P450" t="s">
        <v>226</v>
      </c>
    </row>
    <row r="451" spans="11:16" x14ac:dyDescent="0.2">
      <c r="K451">
        <v>2012</v>
      </c>
      <c r="L451" t="s">
        <v>223</v>
      </c>
      <c r="M451" t="s">
        <v>146</v>
      </c>
      <c r="N451">
        <v>60.3</v>
      </c>
      <c r="O451" t="s">
        <v>462</v>
      </c>
      <c r="P451" t="s">
        <v>225</v>
      </c>
    </row>
    <row r="452" spans="11:16" x14ac:dyDescent="0.2">
      <c r="K452">
        <v>2012</v>
      </c>
      <c r="L452" t="s">
        <v>223</v>
      </c>
      <c r="M452" t="s">
        <v>146</v>
      </c>
      <c r="N452">
        <v>60.3</v>
      </c>
      <c r="O452" t="s">
        <v>462</v>
      </c>
      <c r="P452" t="s">
        <v>226</v>
      </c>
    </row>
    <row r="453" spans="11:16" x14ac:dyDescent="0.2">
      <c r="K453">
        <v>2008</v>
      </c>
      <c r="L453" t="s">
        <v>235</v>
      </c>
      <c r="M453" t="s">
        <v>146</v>
      </c>
      <c r="N453">
        <v>59.4</v>
      </c>
      <c r="O453" t="s">
        <v>463</v>
      </c>
      <c r="P453" t="s">
        <v>225</v>
      </c>
    </row>
    <row r="454" spans="11:16" x14ac:dyDescent="0.2">
      <c r="K454">
        <v>2008</v>
      </c>
      <c r="L454" t="s">
        <v>235</v>
      </c>
      <c r="M454" t="s">
        <v>146</v>
      </c>
      <c r="N454">
        <v>59.4</v>
      </c>
      <c r="O454" t="s">
        <v>463</v>
      </c>
      <c r="P454" t="s">
        <v>226</v>
      </c>
    </row>
    <row r="455" spans="11:16" x14ac:dyDescent="0.2">
      <c r="K455">
        <v>2009</v>
      </c>
      <c r="L455" t="s">
        <v>235</v>
      </c>
      <c r="M455" t="s">
        <v>146</v>
      </c>
      <c r="N455">
        <v>59.4</v>
      </c>
      <c r="O455" t="s">
        <v>464</v>
      </c>
      <c r="P455" t="s">
        <v>225</v>
      </c>
    </row>
    <row r="456" spans="11:16" x14ac:dyDescent="0.2">
      <c r="K456">
        <v>2009</v>
      </c>
      <c r="L456" t="s">
        <v>235</v>
      </c>
      <c r="M456" t="s">
        <v>146</v>
      </c>
      <c r="N456">
        <v>59.4</v>
      </c>
      <c r="O456" t="s">
        <v>464</v>
      </c>
      <c r="P456" t="s">
        <v>226</v>
      </c>
    </row>
    <row r="457" spans="11:16" x14ac:dyDescent="0.2">
      <c r="K457">
        <v>2010</v>
      </c>
      <c r="L457" t="s">
        <v>235</v>
      </c>
      <c r="M457" t="s">
        <v>146</v>
      </c>
      <c r="N457">
        <v>59.4</v>
      </c>
      <c r="O457" t="s">
        <v>465</v>
      </c>
      <c r="P457" t="s">
        <v>225</v>
      </c>
    </row>
    <row r="458" spans="11:16" x14ac:dyDescent="0.2">
      <c r="K458">
        <v>2010</v>
      </c>
      <c r="L458" t="s">
        <v>235</v>
      </c>
      <c r="M458" t="s">
        <v>146</v>
      </c>
      <c r="N458">
        <v>59.4</v>
      </c>
      <c r="O458" t="s">
        <v>465</v>
      </c>
      <c r="P458" t="s">
        <v>226</v>
      </c>
    </row>
    <row r="459" spans="11:16" x14ac:dyDescent="0.2">
      <c r="K459">
        <v>2011</v>
      </c>
      <c r="L459" t="s">
        <v>235</v>
      </c>
      <c r="M459" t="s">
        <v>146</v>
      </c>
      <c r="N459">
        <v>59.5</v>
      </c>
      <c r="O459" t="s">
        <v>466</v>
      </c>
      <c r="P459" t="s">
        <v>225</v>
      </c>
    </row>
    <row r="460" spans="11:16" x14ac:dyDescent="0.2">
      <c r="K460">
        <v>2011</v>
      </c>
      <c r="L460" t="s">
        <v>235</v>
      </c>
      <c r="M460" t="s">
        <v>146</v>
      </c>
      <c r="N460">
        <v>59.5</v>
      </c>
      <c r="O460" t="s">
        <v>466</v>
      </c>
      <c r="P460" t="s">
        <v>226</v>
      </c>
    </row>
    <row r="461" spans="11:16" x14ac:dyDescent="0.2">
      <c r="K461">
        <v>2012</v>
      </c>
      <c r="L461" t="s">
        <v>235</v>
      </c>
      <c r="M461" t="s">
        <v>146</v>
      </c>
      <c r="N461">
        <v>59.4</v>
      </c>
      <c r="O461" t="s">
        <v>467</v>
      </c>
      <c r="P461" t="s">
        <v>225</v>
      </c>
    </row>
    <row r="462" spans="11:16" x14ac:dyDescent="0.2">
      <c r="K462">
        <v>2012</v>
      </c>
      <c r="L462" t="s">
        <v>235</v>
      </c>
      <c r="M462" t="s">
        <v>146</v>
      </c>
      <c r="N462">
        <v>59.4</v>
      </c>
      <c r="O462" t="s">
        <v>467</v>
      </c>
      <c r="P462" t="s">
        <v>226</v>
      </c>
    </row>
    <row r="463" spans="11:16" x14ac:dyDescent="0.2">
      <c r="K463">
        <v>2008</v>
      </c>
      <c r="L463" t="s">
        <v>223</v>
      </c>
      <c r="M463" t="s">
        <v>145</v>
      </c>
      <c r="N463">
        <v>89.5</v>
      </c>
      <c r="O463" t="s">
        <v>468</v>
      </c>
      <c r="P463" t="s">
        <v>225</v>
      </c>
    </row>
    <row r="464" spans="11:16" x14ac:dyDescent="0.2">
      <c r="K464">
        <v>2008</v>
      </c>
      <c r="L464" t="s">
        <v>223</v>
      </c>
      <c r="M464" t="s">
        <v>145</v>
      </c>
      <c r="N464">
        <v>89.5</v>
      </c>
      <c r="O464" t="s">
        <v>468</v>
      </c>
      <c r="P464" t="s">
        <v>226</v>
      </c>
    </row>
    <row r="465" spans="11:16" x14ac:dyDescent="0.2">
      <c r="K465">
        <v>2009</v>
      </c>
      <c r="L465" t="s">
        <v>223</v>
      </c>
      <c r="M465" t="s">
        <v>145</v>
      </c>
      <c r="N465">
        <v>89.7</v>
      </c>
      <c r="O465" t="s">
        <v>469</v>
      </c>
      <c r="P465" t="s">
        <v>225</v>
      </c>
    </row>
    <row r="466" spans="11:16" x14ac:dyDescent="0.2">
      <c r="K466">
        <v>2009</v>
      </c>
      <c r="L466" t="s">
        <v>223</v>
      </c>
      <c r="M466" t="s">
        <v>145</v>
      </c>
      <c r="N466">
        <v>89.7</v>
      </c>
      <c r="O466" t="s">
        <v>469</v>
      </c>
      <c r="P466" t="s">
        <v>226</v>
      </c>
    </row>
    <row r="467" spans="11:16" x14ac:dyDescent="0.2">
      <c r="K467">
        <v>2010</v>
      </c>
      <c r="L467" t="s">
        <v>223</v>
      </c>
      <c r="M467" t="s">
        <v>145</v>
      </c>
      <c r="N467">
        <v>89.5</v>
      </c>
      <c r="O467" t="s">
        <v>470</v>
      </c>
      <c r="P467" t="s">
        <v>225</v>
      </c>
    </row>
    <row r="468" spans="11:16" x14ac:dyDescent="0.2">
      <c r="K468">
        <v>2010</v>
      </c>
      <c r="L468" t="s">
        <v>223</v>
      </c>
      <c r="M468" t="s">
        <v>145</v>
      </c>
      <c r="N468">
        <v>89.5</v>
      </c>
      <c r="O468" t="s">
        <v>470</v>
      </c>
      <c r="P468" t="s">
        <v>226</v>
      </c>
    </row>
    <row r="469" spans="11:16" x14ac:dyDescent="0.2">
      <c r="K469">
        <v>2011</v>
      </c>
      <c r="L469" t="s">
        <v>223</v>
      </c>
      <c r="M469" t="s">
        <v>145</v>
      </c>
      <c r="N469">
        <v>90.5</v>
      </c>
      <c r="O469" t="s">
        <v>471</v>
      </c>
      <c r="P469" t="s">
        <v>225</v>
      </c>
    </row>
    <row r="470" spans="11:16" x14ac:dyDescent="0.2">
      <c r="K470">
        <v>2011</v>
      </c>
      <c r="L470" t="s">
        <v>223</v>
      </c>
      <c r="M470" t="s">
        <v>145</v>
      </c>
      <c r="N470">
        <v>90.5</v>
      </c>
      <c r="O470" t="s">
        <v>471</v>
      </c>
      <c r="P470" t="s">
        <v>226</v>
      </c>
    </row>
    <row r="471" spans="11:16" x14ac:dyDescent="0.2">
      <c r="K471">
        <v>2012</v>
      </c>
      <c r="L471" t="s">
        <v>223</v>
      </c>
      <c r="M471" t="s">
        <v>145</v>
      </c>
      <c r="N471">
        <v>89.5</v>
      </c>
      <c r="O471" t="s">
        <v>472</v>
      </c>
      <c r="P471" t="s">
        <v>225</v>
      </c>
    </row>
    <row r="472" spans="11:16" x14ac:dyDescent="0.2">
      <c r="K472">
        <v>2012</v>
      </c>
      <c r="L472" t="s">
        <v>223</v>
      </c>
      <c r="M472" t="s">
        <v>145</v>
      </c>
      <c r="N472">
        <v>89.5</v>
      </c>
      <c r="O472" t="s">
        <v>472</v>
      </c>
      <c r="P472" t="s">
        <v>226</v>
      </c>
    </row>
    <row r="473" spans="11:16" x14ac:dyDescent="0.2">
      <c r="K473">
        <v>2008</v>
      </c>
      <c r="L473" t="s">
        <v>235</v>
      </c>
      <c r="M473" t="s">
        <v>145</v>
      </c>
      <c r="N473">
        <v>88.5</v>
      </c>
      <c r="O473" t="s">
        <v>473</v>
      </c>
      <c r="P473" t="s">
        <v>225</v>
      </c>
    </row>
    <row r="474" spans="11:16" x14ac:dyDescent="0.2">
      <c r="K474">
        <v>2008</v>
      </c>
      <c r="L474" t="s">
        <v>235</v>
      </c>
      <c r="M474" t="s">
        <v>145</v>
      </c>
      <c r="N474">
        <v>88.5</v>
      </c>
      <c r="O474" t="s">
        <v>473</v>
      </c>
      <c r="P474" t="s">
        <v>226</v>
      </c>
    </row>
    <row r="475" spans="11:16" x14ac:dyDescent="0.2">
      <c r="K475">
        <v>2009</v>
      </c>
      <c r="L475" t="s">
        <v>235</v>
      </c>
      <c r="M475" t="s">
        <v>145</v>
      </c>
      <c r="N475">
        <v>88.5</v>
      </c>
      <c r="O475" t="s">
        <v>474</v>
      </c>
      <c r="P475" t="s">
        <v>225</v>
      </c>
    </row>
    <row r="476" spans="11:16" x14ac:dyDescent="0.2">
      <c r="K476">
        <v>2009</v>
      </c>
      <c r="L476" t="s">
        <v>235</v>
      </c>
      <c r="M476" t="s">
        <v>145</v>
      </c>
      <c r="N476">
        <v>88.5</v>
      </c>
      <c r="O476" t="s">
        <v>474</v>
      </c>
      <c r="P476" t="s">
        <v>226</v>
      </c>
    </row>
    <row r="477" spans="11:16" x14ac:dyDescent="0.2">
      <c r="K477">
        <v>2010</v>
      </c>
      <c r="L477" t="s">
        <v>235</v>
      </c>
      <c r="M477" t="s">
        <v>145</v>
      </c>
      <c r="N477">
        <v>88.5</v>
      </c>
      <c r="O477" t="s">
        <v>475</v>
      </c>
      <c r="P477" t="s">
        <v>225</v>
      </c>
    </row>
    <row r="478" spans="11:16" x14ac:dyDescent="0.2">
      <c r="K478">
        <v>2010</v>
      </c>
      <c r="L478" t="s">
        <v>235</v>
      </c>
      <c r="M478" t="s">
        <v>145</v>
      </c>
      <c r="N478">
        <v>88.5</v>
      </c>
      <c r="O478" t="s">
        <v>475</v>
      </c>
      <c r="P478" t="s">
        <v>226</v>
      </c>
    </row>
    <row r="479" spans="11:16" x14ac:dyDescent="0.2">
      <c r="K479">
        <v>2011</v>
      </c>
      <c r="L479" t="s">
        <v>235</v>
      </c>
      <c r="M479" t="s">
        <v>145</v>
      </c>
      <c r="N479">
        <v>88.5</v>
      </c>
      <c r="O479" t="s">
        <v>476</v>
      </c>
      <c r="P479" t="s">
        <v>225</v>
      </c>
    </row>
    <row r="480" spans="11:16" x14ac:dyDescent="0.2">
      <c r="K480">
        <v>2011</v>
      </c>
      <c r="L480" t="s">
        <v>235</v>
      </c>
      <c r="M480" t="s">
        <v>145</v>
      </c>
      <c r="N480">
        <v>88.5</v>
      </c>
      <c r="O480" t="s">
        <v>476</v>
      </c>
      <c r="P480" t="s">
        <v>226</v>
      </c>
    </row>
    <row r="481" spans="11:16" x14ac:dyDescent="0.2">
      <c r="K481">
        <v>2012</v>
      </c>
      <c r="L481" t="s">
        <v>235</v>
      </c>
      <c r="M481" t="s">
        <v>145</v>
      </c>
      <c r="N481">
        <v>87.5</v>
      </c>
      <c r="O481" t="s">
        <v>477</v>
      </c>
      <c r="P481" t="s">
        <v>225</v>
      </c>
    </row>
    <row r="482" spans="11:16" x14ac:dyDescent="0.2">
      <c r="K482">
        <v>2012</v>
      </c>
      <c r="L482" t="s">
        <v>235</v>
      </c>
      <c r="M482" t="s">
        <v>145</v>
      </c>
      <c r="N482">
        <v>87.5</v>
      </c>
      <c r="O482" t="s">
        <v>477</v>
      </c>
      <c r="P482" t="s">
        <v>226</v>
      </c>
    </row>
    <row r="483" spans="11:16" x14ac:dyDescent="0.2">
      <c r="K483">
        <v>2008</v>
      </c>
      <c r="L483" t="s">
        <v>223</v>
      </c>
      <c r="M483" t="s">
        <v>143</v>
      </c>
      <c r="N483">
        <v>68.099999999999994</v>
      </c>
      <c r="O483" t="s">
        <v>478</v>
      </c>
      <c r="P483" t="s">
        <v>225</v>
      </c>
    </row>
    <row r="484" spans="11:16" x14ac:dyDescent="0.2">
      <c r="K484">
        <v>2008</v>
      </c>
      <c r="L484" t="s">
        <v>223</v>
      </c>
      <c r="M484" t="s">
        <v>143</v>
      </c>
      <c r="N484">
        <v>68.099999999999994</v>
      </c>
      <c r="O484" t="s">
        <v>478</v>
      </c>
      <c r="P484" t="s">
        <v>226</v>
      </c>
    </row>
    <row r="485" spans="11:16" x14ac:dyDescent="0.2">
      <c r="K485">
        <v>2009</v>
      </c>
      <c r="L485" t="s">
        <v>223</v>
      </c>
      <c r="M485" t="s">
        <v>143</v>
      </c>
      <c r="N485">
        <v>65</v>
      </c>
      <c r="O485" t="s">
        <v>479</v>
      </c>
      <c r="P485" t="s">
        <v>225</v>
      </c>
    </row>
    <row r="486" spans="11:16" x14ac:dyDescent="0.2">
      <c r="K486">
        <v>2009</v>
      </c>
      <c r="L486" t="s">
        <v>223</v>
      </c>
      <c r="M486" t="s">
        <v>143</v>
      </c>
      <c r="N486">
        <v>65</v>
      </c>
      <c r="O486" t="s">
        <v>479</v>
      </c>
      <c r="P486" t="s">
        <v>226</v>
      </c>
    </row>
    <row r="487" spans="11:16" x14ac:dyDescent="0.2">
      <c r="K487">
        <v>2010</v>
      </c>
      <c r="L487" t="s">
        <v>223</v>
      </c>
      <c r="M487" t="s">
        <v>143</v>
      </c>
      <c r="N487">
        <v>69.099999999999994</v>
      </c>
      <c r="O487" t="s">
        <v>480</v>
      </c>
      <c r="P487" t="s">
        <v>225</v>
      </c>
    </row>
    <row r="488" spans="11:16" x14ac:dyDescent="0.2">
      <c r="K488">
        <v>2010</v>
      </c>
      <c r="L488" t="s">
        <v>223</v>
      </c>
      <c r="M488" t="s">
        <v>143</v>
      </c>
      <c r="N488">
        <v>69.099999999999994</v>
      </c>
      <c r="O488" t="s">
        <v>480</v>
      </c>
      <c r="P488" t="s">
        <v>226</v>
      </c>
    </row>
    <row r="489" spans="11:16" x14ac:dyDescent="0.2">
      <c r="K489">
        <v>2011</v>
      </c>
      <c r="L489" t="s">
        <v>223</v>
      </c>
      <c r="M489" t="s">
        <v>143</v>
      </c>
      <c r="N489">
        <v>69.099999999999994</v>
      </c>
      <c r="O489" t="s">
        <v>481</v>
      </c>
      <c r="P489" t="s">
        <v>225</v>
      </c>
    </row>
    <row r="490" spans="11:16" x14ac:dyDescent="0.2">
      <c r="K490">
        <v>2011</v>
      </c>
      <c r="L490" t="s">
        <v>223</v>
      </c>
      <c r="M490" t="s">
        <v>143</v>
      </c>
      <c r="N490">
        <v>69.099999999999994</v>
      </c>
      <c r="O490" t="s">
        <v>481</v>
      </c>
      <c r="P490" t="s">
        <v>226</v>
      </c>
    </row>
    <row r="491" spans="11:16" x14ac:dyDescent="0.2">
      <c r="K491">
        <v>2012</v>
      </c>
      <c r="L491" t="s">
        <v>223</v>
      </c>
      <c r="M491" t="s">
        <v>143</v>
      </c>
      <c r="N491">
        <v>68.099999999999994</v>
      </c>
      <c r="O491" t="s">
        <v>482</v>
      </c>
      <c r="P491" t="s">
        <v>225</v>
      </c>
    </row>
    <row r="492" spans="11:16" x14ac:dyDescent="0.2">
      <c r="K492">
        <v>2012</v>
      </c>
      <c r="L492" t="s">
        <v>223</v>
      </c>
      <c r="M492" t="s">
        <v>143</v>
      </c>
      <c r="N492">
        <v>68.099999999999994</v>
      </c>
      <c r="O492" t="s">
        <v>482</v>
      </c>
      <c r="P492" t="s">
        <v>226</v>
      </c>
    </row>
    <row r="493" spans="11:16" x14ac:dyDescent="0.2">
      <c r="K493">
        <v>2008</v>
      </c>
      <c r="L493" t="s">
        <v>235</v>
      </c>
      <c r="M493" t="s">
        <v>143</v>
      </c>
      <c r="N493">
        <v>68.099999999999994</v>
      </c>
      <c r="O493" t="s">
        <v>483</v>
      </c>
      <c r="P493" t="s">
        <v>225</v>
      </c>
    </row>
    <row r="494" spans="11:16" x14ac:dyDescent="0.2">
      <c r="K494">
        <v>2008</v>
      </c>
      <c r="L494" t="s">
        <v>235</v>
      </c>
      <c r="M494" t="s">
        <v>143</v>
      </c>
      <c r="N494">
        <v>68.099999999999994</v>
      </c>
      <c r="O494" t="s">
        <v>483</v>
      </c>
      <c r="P494" t="s">
        <v>226</v>
      </c>
    </row>
    <row r="495" spans="11:16" x14ac:dyDescent="0.2">
      <c r="K495">
        <v>2009</v>
      </c>
      <c r="L495" t="s">
        <v>235</v>
      </c>
      <c r="M495" t="s">
        <v>143</v>
      </c>
      <c r="N495">
        <v>66.2</v>
      </c>
      <c r="O495" t="s">
        <v>484</v>
      </c>
      <c r="P495" t="s">
        <v>225</v>
      </c>
    </row>
    <row r="496" spans="11:16" x14ac:dyDescent="0.2">
      <c r="K496">
        <v>2009</v>
      </c>
      <c r="L496" t="s">
        <v>235</v>
      </c>
      <c r="M496" t="s">
        <v>143</v>
      </c>
      <c r="N496">
        <v>66.2</v>
      </c>
      <c r="O496" t="s">
        <v>484</v>
      </c>
      <c r="P496" t="s">
        <v>226</v>
      </c>
    </row>
    <row r="497" spans="11:16" x14ac:dyDescent="0.2">
      <c r="K497">
        <v>2010</v>
      </c>
      <c r="L497" t="s">
        <v>235</v>
      </c>
      <c r="M497" t="s">
        <v>143</v>
      </c>
      <c r="N497">
        <v>67.91</v>
      </c>
      <c r="O497" t="s">
        <v>485</v>
      </c>
      <c r="P497" t="s">
        <v>225</v>
      </c>
    </row>
    <row r="498" spans="11:16" x14ac:dyDescent="0.2">
      <c r="K498">
        <v>2010</v>
      </c>
      <c r="L498" t="s">
        <v>235</v>
      </c>
      <c r="M498" t="s">
        <v>143</v>
      </c>
      <c r="N498">
        <v>67.91</v>
      </c>
      <c r="O498" t="s">
        <v>485</v>
      </c>
      <c r="P498" t="s">
        <v>226</v>
      </c>
    </row>
    <row r="499" spans="11:16" x14ac:dyDescent="0.2">
      <c r="K499">
        <v>2011</v>
      </c>
      <c r="L499" t="s">
        <v>235</v>
      </c>
      <c r="M499" t="s">
        <v>143</v>
      </c>
      <c r="N499">
        <v>68.099999999999994</v>
      </c>
      <c r="O499" t="s">
        <v>486</v>
      </c>
      <c r="P499" t="s">
        <v>225</v>
      </c>
    </row>
    <row r="500" spans="11:16" x14ac:dyDescent="0.2">
      <c r="K500">
        <v>2011</v>
      </c>
      <c r="L500" t="s">
        <v>235</v>
      </c>
      <c r="M500" t="s">
        <v>143</v>
      </c>
      <c r="N500">
        <v>68.099999999999994</v>
      </c>
      <c r="O500" t="s">
        <v>486</v>
      </c>
      <c r="P500" t="s">
        <v>226</v>
      </c>
    </row>
    <row r="501" spans="11:16" x14ac:dyDescent="0.2">
      <c r="K501">
        <v>2012</v>
      </c>
      <c r="L501" t="s">
        <v>235</v>
      </c>
      <c r="M501" t="s">
        <v>143</v>
      </c>
      <c r="N501">
        <v>67.099999999999994</v>
      </c>
      <c r="O501" t="s">
        <v>487</v>
      </c>
      <c r="P501" t="s">
        <v>225</v>
      </c>
    </row>
    <row r="502" spans="11:16" x14ac:dyDescent="0.2">
      <c r="K502">
        <v>2012</v>
      </c>
      <c r="L502" t="s">
        <v>235</v>
      </c>
      <c r="M502" t="s">
        <v>143</v>
      </c>
      <c r="N502">
        <v>67.099999999999994</v>
      </c>
      <c r="O502" t="s">
        <v>487</v>
      </c>
      <c r="P502" t="s">
        <v>226</v>
      </c>
    </row>
    <row r="503" spans="11:16" x14ac:dyDescent="0.2">
      <c r="K503">
        <v>2008</v>
      </c>
      <c r="L503" t="s">
        <v>223</v>
      </c>
      <c r="M503" t="s">
        <v>141</v>
      </c>
      <c r="N503">
        <v>56.4</v>
      </c>
      <c r="O503" t="s">
        <v>488</v>
      </c>
      <c r="P503" t="s">
        <v>225</v>
      </c>
    </row>
    <row r="504" spans="11:16" x14ac:dyDescent="0.2">
      <c r="K504">
        <v>2008</v>
      </c>
      <c r="L504" t="s">
        <v>223</v>
      </c>
      <c r="M504" t="s">
        <v>141</v>
      </c>
      <c r="N504">
        <v>56.4</v>
      </c>
      <c r="O504" t="s">
        <v>488</v>
      </c>
      <c r="P504" t="s">
        <v>226</v>
      </c>
    </row>
    <row r="505" spans="11:16" x14ac:dyDescent="0.2">
      <c r="K505">
        <v>2009</v>
      </c>
      <c r="L505" t="s">
        <v>223</v>
      </c>
      <c r="M505" t="s">
        <v>141</v>
      </c>
      <c r="N505">
        <v>55.3</v>
      </c>
      <c r="O505" t="s">
        <v>489</v>
      </c>
      <c r="P505" t="s">
        <v>225</v>
      </c>
    </row>
    <row r="506" spans="11:16" x14ac:dyDescent="0.2">
      <c r="K506">
        <v>2009</v>
      </c>
      <c r="L506" t="s">
        <v>223</v>
      </c>
      <c r="M506" t="s">
        <v>141</v>
      </c>
      <c r="N506">
        <v>55.3</v>
      </c>
      <c r="O506" t="s">
        <v>489</v>
      </c>
      <c r="P506" t="s">
        <v>226</v>
      </c>
    </row>
    <row r="507" spans="11:16" x14ac:dyDescent="0.2">
      <c r="K507">
        <v>2010</v>
      </c>
      <c r="L507" t="s">
        <v>223</v>
      </c>
      <c r="M507" t="s">
        <v>141</v>
      </c>
      <c r="N507">
        <v>56.5</v>
      </c>
      <c r="O507" t="s">
        <v>490</v>
      </c>
      <c r="P507" t="s">
        <v>225</v>
      </c>
    </row>
    <row r="508" spans="11:16" x14ac:dyDescent="0.2">
      <c r="K508">
        <v>2010</v>
      </c>
      <c r="L508" t="s">
        <v>223</v>
      </c>
      <c r="M508" t="s">
        <v>141</v>
      </c>
      <c r="N508">
        <v>56.5</v>
      </c>
      <c r="O508" t="s">
        <v>490</v>
      </c>
      <c r="P508" t="s">
        <v>226</v>
      </c>
    </row>
    <row r="509" spans="11:16" x14ac:dyDescent="0.2">
      <c r="K509">
        <v>2011</v>
      </c>
      <c r="L509" t="s">
        <v>223</v>
      </c>
      <c r="M509" t="s">
        <v>141</v>
      </c>
      <c r="N509">
        <v>56.4</v>
      </c>
      <c r="O509" t="s">
        <v>491</v>
      </c>
      <c r="P509" t="s">
        <v>225</v>
      </c>
    </row>
    <row r="510" spans="11:16" x14ac:dyDescent="0.2">
      <c r="K510">
        <v>2011</v>
      </c>
      <c r="L510" t="s">
        <v>223</v>
      </c>
      <c r="M510" t="s">
        <v>141</v>
      </c>
      <c r="N510">
        <v>56.4</v>
      </c>
      <c r="O510" t="s">
        <v>491</v>
      </c>
      <c r="P510" t="s">
        <v>226</v>
      </c>
    </row>
    <row r="511" spans="11:16" x14ac:dyDescent="0.2">
      <c r="K511">
        <v>2012</v>
      </c>
      <c r="L511" t="s">
        <v>223</v>
      </c>
      <c r="M511" t="s">
        <v>141</v>
      </c>
      <c r="N511">
        <v>56.4</v>
      </c>
      <c r="O511" t="s">
        <v>492</v>
      </c>
      <c r="P511" t="s">
        <v>225</v>
      </c>
    </row>
    <row r="512" spans="11:16" x14ac:dyDescent="0.2">
      <c r="K512">
        <v>2012</v>
      </c>
      <c r="L512" t="s">
        <v>223</v>
      </c>
      <c r="M512" t="s">
        <v>141</v>
      </c>
      <c r="N512">
        <v>56.4</v>
      </c>
      <c r="O512" t="s">
        <v>492</v>
      </c>
      <c r="P512" t="s">
        <v>226</v>
      </c>
    </row>
    <row r="513" spans="11:16" x14ac:dyDescent="0.2">
      <c r="K513">
        <v>2008</v>
      </c>
      <c r="L513" t="s">
        <v>235</v>
      </c>
      <c r="M513" t="s">
        <v>141</v>
      </c>
      <c r="N513">
        <v>55.4</v>
      </c>
      <c r="O513" t="s">
        <v>493</v>
      </c>
      <c r="P513" t="s">
        <v>225</v>
      </c>
    </row>
    <row r="514" spans="11:16" x14ac:dyDescent="0.2">
      <c r="K514">
        <v>2008</v>
      </c>
      <c r="L514" t="s">
        <v>235</v>
      </c>
      <c r="M514" t="s">
        <v>141</v>
      </c>
      <c r="N514">
        <v>55.4</v>
      </c>
      <c r="O514" t="s">
        <v>493</v>
      </c>
      <c r="P514" t="s">
        <v>226</v>
      </c>
    </row>
    <row r="515" spans="11:16" x14ac:dyDescent="0.2">
      <c r="K515">
        <v>2009</v>
      </c>
      <c r="L515" t="s">
        <v>235</v>
      </c>
      <c r="M515" t="s">
        <v>141</v>
      </c>
      <c r="N515">
        <v>56.4</v>
      </c>
      <c r="O515" t="s">
        <v>494</v>
      </c>
      <c r="P515" t="s">
        <v>225</v>
      </c>
    </row>
    <row r="516" spans="11:16" x14ac:dyDescent="0.2">
      <c r="K516">
        <v>2009</v>
      </c>
      <c r="L516" t="s">
        <v>235</v>
      </c>
      <c r="M516" t="s">
        <v>141</v>
      </c>
      <c r="N516">
        <v>56.4</v>
      </c>
      <c r="O516" t="s">
        <v>494</v>
      </c>
      <c r="P516" t="s">
        <v>226</v>
      </c>
    </row>
    <row r="517" spans="11:16" x14ac:dyDescent="0.2">
      <c r="K517">
        <v>2010</v>
      </c>
      <c r="L517" t="s">
        <v>235</v>
      </c>
      <c r="M517" t="s">
        <v>141</v>
      </c>
      <c r="N517">
        <v>54.5</v>
      </c>
      <c r="O517" t="s">
        <v>495</v>
      </c>
      <c r="P517" t="s">
        <v>225</v>
      </c>
    </row>
    <row r="518" spans="11:16" x14ac:dyDescent="0.2">
      <c r="K518">
        <v>2010</v>
      </c>
      <c r="L518" t="s">
        <v>235</v>
      </c>
      <c r="M518" t="s">
        <v>141</v>
      </c>
      <c r="N518">
        <v>54.5</v>
      </c>
      <c r="O518" t="s">
        <v>495</v>
      </c>
      <c r="P518" t="s">
        <v>226</v>
      </c>
    </row>
    <row r="519" spans="11:16" x14ac:dyDescent="0.2">
      <c r="K519">
        <v>2011</v>
      </c>
      <c r="L519" t="s">
        <v>235</v>
      </c>
      <c r="M519" t="s">
        <v>141</v>
      </c>
      <c r="N519">
        <v>55.5</v>
      </c>
      <c r="O519" t="s">
        <v>496</v>
      </c>
      <c r="P519" t="s">
        <v>225</v>
      </c>
    </row>
    <row r="520" spans="11:16" x14ac:dyDescent="0.2">
      <c r="K520">
        <v>2011</v>
      </c>
      <c r="L520" t="s">
        <v>235</v>
      </c>
      <c r="M520" t="s">
        <v>141</v>
      </c>
      <c r="N520">
        <v>55.5</v>
      </c>
      <c r="O520" t="s">
        <v>496</v>
      </c>
      <c r="P520" t="s">
        <v>226</v>
      </c>
    </row>
    <row r="521" spans="11:16" x14ac:dyDescent="0.2">
      <c r="K521">
        <v>2012</v>
      </c>
      <c r="L521" t="s">
        <v>235</v>
      </c>
      <c r="M521" t="s">
        <v>141</v>
      </c>
      <c r="N521">
        <v>54.4</v>
      </c>
      <c r="O521" t="s">
        <v>497</v>
      </c>
      <c r="P521" t="s">
        <v>225</v>
      </c>
    </row>
    <row r="522" spans="11:16" x14ac:dyDescent="0.2">
      <c r="K522">
        <v>2012</v>
      </c>
      <c r="L522" t="s">
        <v>235</v>
      </c>
      <c r="M522" t="s">
        <v>141</v>
      </c>
      <c r="N522">
        <v>54.4</v>
      </c>
      <c r="O522" t="s">
        <v>497</v>
      </c>
      <c r="P522" t="s">
        <v>226</v>
      </c>
    </row>
    <row r="523" spans="11:16" x14ac:dyDescent="0.2">
      <c r="K523">
        <v>2008</v>
      </c>
      <c r="L523" t="s">
        <v>223</v>
      </c>
      <c r="M523" t="s">
        <v>140</v>
      </c>
      <c r="N523">
        <v>84.6</v>
      </c>
      <c r="O523" t="s">
        <v>498</v>
      </c>
      <c r="P523" t="s">
        <v>225</v>
      </c>
    </row>
    <row r="524" spans="11:16" x14ac:dyDescent="0.2">
      <c r="K524">
        <v>2008</v>
      </c>
      <c r="L524" t="s">
        <v>223</v>
      </c>
      <c r="M524" t="s">
        <v>140</v>
      </c>
      <c r="N524">
        <v>84.6</v>
      </c>
      <c r="O524" t="s">
        <v>498</v>
      </c>
      <c r="P524" t="s">
        <v>226</v>
      </c>
    </row>
    <row r="525" spans="11:16" x14ac:dyDescent="0.2">
      <c r="K525">
        <v>2009</v>
      </c>
      <c r="L525" t="s">
        <v>223</v>
      </c>
      <c r="M525" t="s">
        <v>140</v>
      </c>
      <c r="N525">
        <v>87.6</v>
      </c>
      <c r="O525" t="s">
        <v>499</v>
      </c>
      <c r="P525" t="s">
        <v>225</v>
      </c>
    </row>
    <row r="526" spans="11:16" x14ac:dyDescent="0.2">
      <c r="K526">
        <v>2009</v>
      </c>
      <c r="L526" t="s">
        <v>223</v>
      </c>
      <c r="M526" t="s">
        <v>140</v>
      </c>
      <c r="N526">
        <v>87.6</v>
      </c>
      <c r="O526" t="s">
        <v>499</v>
      </c>
      <c r="P526" t="s">
        <v>226</v>
      </c>
    </row>
    <row r="527" spans="11:16" x14ac:dyDescent="0.2">
      <c r="K527">
        <v>2010</v>
      </c>
      <c r="L527" t="s">
        <v>223</v>
      </c>
      <c r="M527" t="s">
        <v>140</v>
      </c>
      <c r="N527">
        <v>83.5</v>
      </c>
      <c r="O527" t="s">
        <v>500</v>
      </c>
      <c r="P527" t="s">
        <v>225</v>
      </c>
    </row>
    <row r="528" spans="11:16" x14ac:dyDescent="0.2">
      <c r="K528">
        <v>2010</v>
      </c>
      <c r="L528" t="s">
        <v>223</v>
      </c>
      <c r="M528" t="s">
        <v>140</v>
      </c>
      <c r="N528">
        <v>83.5</v>
      </c>
      <c r="O528" t="s">
        <v>500</v>
      </c>
      <c r="P528" t="s">
        <v>226</v>
      </c>
    </row>
    <row r="529" spans="11:16" x14ac:dyDescent="0.2">
      <c r="K529">
        <v>2011</v>
      </c>
      <c r="L529" t="s">
        <v>223</v>
      </c>
      <c r="M529" t="s">
        <v>140</v>
      </c>
      <c r="N529">
        <v>82.7</v>
      </c>
      <c r="O529" t="s">
        <v>501</v>
      </c>
      <c r="P529" t="s">
        <v>225</v>
      </c>
    </row>
    <row r="530" spans="11:16" x14ac:dyDescent="0.2">
      <c r="K530">
        <v>2011</v>
      </c>
      <c r="L530" t="s">
        <v>223</v>
      </c>
      <c r="M530" t="s">
        <v>140</v>
      </c>
      <c r="N530">
        <v>82.7</v>
      </c>
      <c r="O530" t="s">
        <v>501</v>
      </c>
      <c r="P530" t="s">
        <v>226</v>
      </c>
    </row>
    <row r="531" spans="11:16" x14ac:dyDescent="0.2">
      <c r="K531">
        <v>2012</v>
      </c>
      <c r="L531" t="s">
        <v>223</v>
      </c>
      <c r="M531" t="s">
        <v>140</v>
      </c>
      <c r="N531">
        <v>81.7</v>
      </c>
      <c r="O531" t="s">
        <v>502</v>
      </c>
      <c r="P531" t="s">
        <v>225</v>
      </c>
    </row>
    <row r="532" spans="11:16" x14ac:dyDescent="0.2">
      <c r="K532">
        <v>2012</v>
      </c>
      <c r="L532" t="s">
        <v>223</v>
      </c>
      <c r="M532" t="s">
        <v>140</v>
      </c>
      <c r="N532">
        <v>81.7</v>
      </c>
      <c r="O532" t="s">
        <v>502</v>
      </c>
      <c r="P532" t="s">
        <v>226</v>
      </c>
    </row>
    <row r="533" spans="11:16" x14ac:dyDescent="0.2">
      <c r="K533">
        <v>2008</v>
      </c>
      <c r="L533" t="s">
        <v>235</v>
      </c>
      <c r="M533" t="s">
        <v>140</v>
      </c>
      <c r="N533">
        <v>81.7</v>
      </c>
      <c r="O533" t="s">
        <v>503</v>
      </c>
      <c r="P533" t="s">
        <v>225</v>
      </c>
    </row>
    <row r="534" spans="11:16" x14ac:dyDescent="0.2">
      <c r="K534">
        <v>2008</v>
      </c>
      <c r="L534" t="s">
        <v>235</v>
      </c>
      <c r="M534" t="s">
        <v>140</v>
      </c>
      <c r="N534">
        <v>81.7</v>
      </c>
      <c r="O534" t="s">
        <v>503</v>
      </c>
      <c r="P534" t="s">
        <v>226</v>
      </c>
    </row>
    <row r="535" spans="11:16" x14ac:dyDescent="0.2">
      <c r="K535">
        <v>2009</v>
      </c>
      <c r="L535" t="s">
        <v>235</v>
      </c>
      <c r="M535" t="s">
        <v>140</v>
      </c>
      <c r="N535">
        <v>81.7</v>
      </c>
      <c r="O535" t="s">
        <v>504</v>
      </c>
      <c r="P535" t="s">
        <v>225</v>
      </c>
    </row>
    <row r="536" spans="11:16" x14ac:dyDescent="0.2">
      <c r="K536">
        <v>2009</v>
      </c>
      <c r="L536" t="s">
        <v>235</v>
      </c>
      <c r="M536" t="s">
        <v>140</v>
      </c>
      <c r="N536">
        <v>81.7</v>
      </c>
      <c r="O536" t="s">
        <v>504</v>
      </c>
      <c r="P536" t="s">
        <v>226</v>
      </c>
    </row>
    <row r="537" spans="11:16" x14ac:dyDescent="0.2">
      <c r="K537">
        <v>2010</v>
      </c>
      <c r="L537" t="s">
        <v>235</v>
      </c>
      <c r="M537" t="s">
        <v>140</v>
      </c>
      <c r="N537">
        <v>83.7</v>
      </c>
      <c r="O537" t="s">
        <v>505</v>
      </c>
      <c r="P537" t="s">
        <v>225</v>
      </c>
    </row>
    <row r="538" spans="11:16" x14ac:dyDescent="0.2">
      <c r="K538">
        <v>2010</v>
      </c>
      <c r="L538" t="s">
        <v>235</v>
      </c>
      <c r="M538" t="s">
        <v>140</v>
      </c>
      <c r="N538">
        <v>83.7</v>
      </c>
      <c r="O538" t="s">
        <v>505</v>
      </c>
      <c r="P538" t="s">
        <v>226</v>
      </c>
    </row>
    <row r="539" spans="11:16" x14ac:dyDescent="0.2">
      <c r="K539">
        <v>2011</v>
      </c>
      <c r="L539" t="s">
        <v>235</v>
      </c>
      <c r="M539" t="s">
        <v>140</v>
      </c>
      <c r="N539">
        <v>80.8</v>
      </c>
      <c r="O539" t="s">
        <v>506</v>
      </c>
      <c r="P539" t="s">
        <v>225</v>
      </c>
    </row>
    <row r="540" spans="11:16" x14ac:dyDescent="0.2">
      <c r="K540">
        <v>2011</v>
      </c>
      <c r="L540" t="s">
        <v>235</v>
      </c>
      <c r="M540" t="s">
        <v>140</v>
      </c>
      <c r="N540">
        <v>80.8</v>
      </c>
      <c r="O540" t="s">
        <v>506</v>
      </c>
      <c r="P540" t="s">
        <v>226</v>
      </c>
    </row>
    <row r="541" spans="11:16" x14ac:dyDescent="0.2">
      <c r="K541">
        <v>2012</v>
      </c>
      <c r="L541" t="s">
        <v>235</v>
      </c>
      <c r="M541" t="s">
        <v>140</v>
      </c>
      <c r="N541">
        <v>82.2</v>
      </c>
      <c r="O541" t="s">
        <v>507</v>
      </c>
      <c r="P541" t="s">
        <v>225</v>
      </c>
    </row>
    <row r="542" spans="11:16" x14ac:dyDescent="0.2">
      <c r="K542">
        <v>2012</v>
      </c>
      <c r="L542" t="s">
        <v>235</v>
      </c>
      <c r="M542" t="s">
        <v>140</v>
      </c>
      <c r="N542">
        <v>82.2</v>
      </c>
      <c r="O542" t="s">
        <v>507</v>
      </c>
      <c r="P542" t="s">
        <v>226</v>
      </c>
    </row>
    <row r="543" spans="11:16" x14ac:dyDescent="0.2">
      <c r="K543">
        <v>2008</v>
      </c>
      <c r="L543" t="s">
        <v>223</v>
      </c>
      <c r="M543" t="s">
        <v>138</v>
      </c>
      <c r="N543">
        <v>75.8</v>
      </c>
      <c r="O543" t="s">
        <v>508</v>
      </c>
      <c r="P543" t="s">
        <v>225</v>
      </c>
    </row>
    <row r="544" spans="11:16" x14ac:dyDescent="0.2">
      <c r="K544">
        <v>2008</v>
      </c>
      <c r="L544" t="s">
        <v>223</v>
      </c>
      <c r="M544" t="s">
        <v>138</v>
      </c>
      <c r="N544">
        <v>75.8</v>
      </c>
      <c r="O544" t="s">
        <v>508</v>
      </c>
      <c r="P544" t="s">
        <v>226</v>
      </c>
    </row>
    <row r="545" spans="11:16" x14ac:dyDescent="0.2">
      <c r="K545">
        <v>2009</v>
      </c>
      <c r="L545" t="s">
        <v>223</v>
      </c>
      <c r="M545" t="s">
        <v>138</v>
      </c>
      <c r="N545">
        <v>75.900000000000006</v>
      </c>
      <c r="O545" t="s">
        <v>509</v>
      </c>
      <c r="P545" t="s">
        <v>225</v>
      </c>
    </row>
    <row r="546" spans="11:16" x14ac:dyDescent="0.2">
      <c r="K546">
        <v>2009</v>
      </c>
      <c r="L546" t="s">
        <v>223</v>
      </c>
      <c r="M546" t="s">
        <v>138</v>
      </c>
      <c r="N546">
        <v>75.900000000000006</v>
      </c>
      <c r="O546" t="s">
        <v>509</v>
      </c>
      <c r="P546" t="s">
        <v>226</v>
      </c>
    </row>
    <row r="547" spans="11:16" x14ac:dyDescent="0.2">
      <c r="K547">
        <v>2010</v>
      </c>
      <c r="L547" t="s">
        <v>223</v>
      </c>
      <c r="M547" t="s">
        <v>138</v>
      </c>
      <c r="N547">
        <v>75.7</v>
      </c>
      <c r="O547" t="s">
        <v>510</v>
      </c>
      <c r="P547" t="s">
        <v>225</v>
      </c>
    </row>
    <row r="548" spans="11:16" x14ac:dyDescent="0.2">
      <c r="K548">
        <v>2010</v>
      </c>
      <c r="L548" t="s">
        <v>223</v>
      </c>
      <c r="M548" t="s">
        <v>138</v>
      </c>
      <c r="N548">
        <v>75.7</v>
      </c>
      <c r="O548" t="s">
        <v>510</v>
      </c>
      <c r="P548" t="s">
        <v>226</v>
      </c>
    </row>
    <row r="549" spans="11:16" x14ac:dyDescent="0.2">
      <c r="K549">
        <v>2011</v>
      </c>
      <c r="L549" t="s">
        <v>223</v>
      </c>
      <c r="M549" t="s">
        <v>138</v>
      </c>
      <c r="N549">
        <v>75.8</v>
      </c>
      <c r="O549" t="s">
        <v>511</v>
      </c>
      <c r="P549" t="s">
        <v>225</v>
      </c>
    </row>
    <row r="550" spans="11:16" x14ac:dyDescent="0.2">
      <c r="K550">
        <v>2011</v>
      </c>
      <c r="L550" t="s">
        <v>223</v>
      </c>
      <c r="M550" t="s">
        <v>138</v>
      </c>
      <c r="N550">
        <v>75.8</v>
      </c>
      <c r="O550" t="s">
        <v>511</v>
      </c>
      <c r="P550" t="s">
        <v>226</v>
      </c>
    </row>
    <row r="551" spans="11:16" x14ac:dyDescent="0.2">
      <c r="K551">
        <v>2012</v>
      </c>
      <c r="L551" t="s">
        <v>223</v>
      </c>
      <c r="M551" t="s">
        <v>138</v>
      </c>
      <c r="N551">
        <v>75.900000000000006</v>
      </c>
      <c r="O551" t="s">
        <v>512</v>
      </c>
      <c r="P551" t="s">
        <v>225</v>
      </c>
    </row>
    <row r="552" spans="11:16" x14ac:dyDescent="0.2">
      <c r="K552">
        <v>2012</v>
      </c>
      <c r="L552" t="s">
        <v>223</v>
      </c>
      <c r="M552" t="s">
        <v>138</v>
      </c>
      <c r="N552">
        <v>75.900000000000006</v>
      </c>
      <c r="O552" t="s">
        <v>512</v>
      </c>
      <c r="P552" t="s">
        <v>226</v>
      </c>
    </row>
    <row r="553" spans="11:16" x14ac:dyDescent="0.2">
      <c r="K553">
        <v>2008</v>
      </c>
      <c r="L553" t="s">
        <v>235</v>
      </c>
      <c r="M553" t="s">
        <v>138</v>
      </c>
      <c r="N553">
        <v>74.900000000000006</v>
      </c>
      <c r="O553" t="s">
        <v>513</v>
      </c>
      <c r="P553" t="s">
        <v>225</v>
      </c>
    </row>
    <row r="554" spans="11:16" x14ac:dyDescent="0.2">
      <c r="K554">
        <v>2008</v>
      </c>
      <c r="L554" t="s">
        <v>235</v>
      </c>
      <c r="M554" t="s">
        <v>138</v>
      </c>
      <c r="N554">
        <v>74.900000000000006</v>
      </c>
      <c r="O554" t="s">
        <v>513</v>
      </c>
      <c r="P554" t="s">
        <v>226</v>
      </c>
    </row>
    <row r="555" spans="11:16" x14ac:dyDescent="0.2">
      <c r="K555">
        <v>2009</v>
      </c>
      <c r="L555" t="s">
        <v>235</v>
      </c>
      <c r="M555" t="s">
        <v>138</v>
      </c>
      <c r="N555">
        <v>74.900000000000006</v>
      </c>
      <c r="O555" t="s">
        <v>514</v>
      </c>
      <c r="P555" t="s">
        <v>225</v>
      </c>
    </row>
    <row r="556" spans="11:16" x14ac:dyDescent="0.2">
      <c r="K556">
        <v>2009</v>
      </c>
      <c r="L556" t="s">
        <v>235</v>
      </c>
      <c r="M556" t="s">
        <v>138</v>
      </c>
      <c r="N556">
        <v>74.900000000000006</v>
      </c>
      <c r="O556" t="s">
        <v>514</v>
      </c>
      <c r="P556" t="s">
        <v>226</v>
      </c>
    </row>
    <row r="557" spans="11:16" x14ac:dyDescent="0.2">
      <c r="K557">
        <v>2010</v>
      </c>
      <c r="L557" t="s">
        <v>235</v>
      </c>
      <c r="M557" t="s">
        <v>138</v>
      </c>
      <c r="N557">
        <v>74.900000000000006</v>
      </c>
      <c r="O557" t="s">
        <v>515</v>
      </c>
      <c r="P557" t="s">
        <v>225</v>
      </c>
    </row>
    <row r="558" spans="11:16" x14ac:dyDescent="0.2">
      <c r="K558">
        <v>2010</v>
      </c>
      <c r="L558" t="s">
        <v>235</v>
      </c>
      <c r="M558" t="s">
        <v>138</v>
      </c>
      <c r="N558">
        <v>74.900000000000006</v>
      </c>
      <c r="O558" t="s">
        <v>515</v>
      </c>
      <c r="P558" t="s">
        <v>226</v>
      </c>
    </row>
    <row r="559" spans="11:16" x14ac:dyDescent="0.2">
      <c r="K559">
        <v>2011</v>
      </c>
      <c r="L559" t="s">
        <v>235</v>
      </c>
      <c r="M559" t="s">
        <v>138</v>
      </c>
      <c r="N559">
        <v>74.900000000000006</v>
      </c>
      <c r="O559" t="s">
        <v>516</v>
      </c>
      <c r="P559" t="s">
        <v>225</v>
      </c>
    </row>
    <row r="560" spans="11:16" x14ac:dyDescent="0.2">
      <c r="K560">
        <v>2011</v>
      </c>
      <c r="L560" t="s">
        <v>235</v>
      </c>
      <c r="M560" t="s">
        <v>138</v>
      </c>
      <c r="N560">
        <v>74.900000000000006</v>
      </c>
      <c r="O560" t="s">
        <v>516</v>
      </c>
      <c r="P560" t="s">
        <v>226</v>
      </c>
    </row>
    <row r="561" spans="11:16" x14ac:dyDescent="0.2">
      <c r="K561">
        <v>2012</v>
      </c>
      <c r="L561" t="s">
        <v>235</v>
      </c>
      <c r="M561" t="s">
        <v>138</v>
      </c>
      <c r="N561">
        <v>73.900000000000006</v>
      </c>
      <c r="O561" t="s">
        <v>517</v>
      </c>
      <c r="P561" t="s">
        <v>225</v>
      </c>
    </row>
    <row r="562" spans="11:16" x14ac:dyDescent="0.2">
      <c r="K562">
        <v>2012</v>
      </c>
      <c r="L562" t="s">
        <v>235</v>
      </c>
      <c r="M562" t="s">
        <v>138</v>
      </c>
      <c r="N562">
        <v>73.900000000000006</v>
      </c>
      <c r="O562" t="s">
        <v>517</v>
      </c>
      <c r="P562" t="s">
        <v>226</v>
      </c>
    </row>
    <row r="563" spans="11:16" x14ac:dyDescent="0.2">
      <c r="K563">
        <v>2008</v>
      </c>
      <c r="L563" t="s">
        <v>223</v>
      </c>
      <c r="M563" t="s">
        <v>139</v>
      </c>
      <c r="N563">
        <v>139.1</v>
      </c>
      <c r="O563" t="s">
        <v>518</v>
      </c>
      <c r="P563" t="s">
        <v>225</v>
      </c>
    </row>
    <row r="564" spans="11:16" x14ac:dyDescent="0.2">
      <c r="K564">
        <v>2008</v>
      </c>
      <c r="L564" t="s">
        <v>223</v>
      </c>
      <c r="M564" t="s">
        <v>139</v>
      </c>
      <c r="N564">
        <v>139.1</v>
      </c>
      <c r="O564" t="s">
        <v>518</v>
      </c>
      <c r="P564" t="s">
        <v>226</v>
      </c>
    </row>
    <row r="565" spans="11:16" x14ac:dyDescent="0.2">
      <c r="K565">
        <v>2009</v>
      </c>
      <c r="L565" t="s">
        <v>223</v>
      </c>
      <c r="M565" t="s">
        <v>139</v>
      </c>
      <c r="N565">
        <v>139.1</v>
      </c>
      <c r="O565" t="s">
        <v>519</v>
      </c>
      <c r="P565" t="s">
        <v>225</v>
      </c>
    </row>
    <row r="566" spans="11:16" x14ac:dyDescent="0.2">
      <c r="K566">
        <v>2009</v>
      </c>
      <c r="L566" t="s">
        <v>223</v>
      </c>
      <c r="M566" t="s">
        <v>139</v>
      </c>
      <c r="N566">
        <v>139.1</v>
      </c>
      <c r="O566" t="s">
        <v>519</v>
      </c>
      <c r="P566" t="s">
        <v>226</v>
      </c>
    </row>
    <row r="567" spans="11:16" x14ac:dyDescent="0.2">
      <c r="K567">
        <v>2010</v>
      </c>
      <c r="L567" t="s">
        <v>223</v>
      </c>
      <c r="M567" t="s">
        <v>139</v>
      </c>
      <c r="N567">
        <v>139.1</v>
      </c>
      <c r="O567" t="s">
        <v>520</v>
      </c>
      <c r="P567" t="s">
        <v>225</v>
      </c>
    </row>
    <row r="568" spans="11:16" x14ac:dyDescent="0.2">
      <c r="K568">
        <v>2010</v>
      </c>
      <c r="L568" t="s">
        <v>223</v>
      </c>
      <c r="M568" t="s">
        <v>139</v>
      </c>
      <c r="N568">
        <v>139.1</v>
      </c>
      <c r="O568" t="s">
        <v>520</v>
      </c>
      <c r="P568" t="s">
        <v>226</v>
      </c>
    </row>
    <row r="569" spans="11:16" x14ac:dyDescent="0.2">
      <c r="K569">
        <v>2011</v>
      </c>
      <c r="L569" t="s">
        <v>223</v>
      </c>
      <c r="M569" t="s">
        <v>139</v>
      </c>
      <c r="N569">
        <v>139.1</v>
      </c>
      <c r="O569" t="s">
        <v>521</v>
      </c>
      <c r="P569" t="s">
        <v>225</v>
      </c>
    </row>
    <row r="570" spans="11:16" x14ac:dyDescent="0.2">
      <c r="K570">
        <v>2011</v>
      </c>
      <c r="L570" t="s">
        <v>223</v>
      </c>
      <c r="M570" t="s">
        <v>139</v>
      </c>
      <c r="N570">
        <v>139.1</v>
      </c>
      <c r="O570" t="s">
        <v>521</v>
      </c>
      <c r="P570" t="s">
        <v>226</v>
      </c>
    </row>
    <row r="571" spans="11:16" x14ac:dyDescent="0.2">
      <c r="K571">
        <v>2012</v>
      </c>
      <c r="L571" t="s">
        <v>223</v>
      </c>
      <c r="M571" t="s">
        <v>139</v>
      </c>
      <c r="N571">
        <v>138.19999999999999</v>
      </c>
      <c r="O571" t="s">
        <v>522</v>
      </c>
      <c r="P571" t="s">
        <v>225</v>
      </c>
    </row>
    <row r="572" spans="11:16" x14ac:dyDescent="0.2">
      <c r="K572">
        <v>2012</v>
      </c>
      <c r="L572" t="s">
        <v>223</v>
      </c>
      <c r="M572" t="s">
        <v>139</v>
      </c>
      <c r="N572">
        <v>138.19999999999999</v>
      </c>
      <c r="O572" t="s">
        <v>522</v>
      </c>
      <c r="P572" t="s">
        <v>226</v>
      </c>
    </row>
    <row r="573" spans="11:16" x14ac:dyDescent="0.2">
      <c r="K573">
        <v>2008</v>
      </c>
      <c r="L573" t="s">
        <v>235</v>
      </c>
      <c r="M573" t="s">
        <v>139</v>
      </c>
      <c r="N573">
        <v>138.1</v>
      </c>
      <c r="O573" t="s">
        <v>523</v>
      </c>
      <c r="P573" t="s">
        <v>225</v>
      </c>
    </row>
    <row r="574" spans="11:16" x14ac:dyDescent="0.2">
      <c r="K574">
        <v>2008</v>
      </c>
      <c r="L574" t="s">
        <v>235</v>
      </c>
      <c r="M574" t="s">
        <v>139</v>
      </c>
      <c r="N574">
        <v>138.1</v>
      </c>
      <c r="O574" t="s">
        <v>523</v>
      </c>
      <c r="P574" t="s">
        <v>226</v>
      </c>
    </row>
    <row r="575" spans="11:16" x14ac:dyDescent="0.2">
      <c r="K575">
        <v>2009</v>
      </c>
      <c r="L575" t="s">
        <v>235</v>
      </c>
      <c r="M575" t="s">
        <v>139</v>
      </c>
      <c r="N575">
        <v>138.19999999999999</v>
      </c>
      <c r="O575" t="s">
        <v>524</v>
      </c>
      <c r="P575" t="s">
        <v>225</v>
      </c>
    </row>
    <row r="576" spans="11:16" x14ac:dyDescent="0.2">
      <c r="K576">
        <v>2009</v>
      </c>
      <c r="L576" t="s">
        <v>235</v>
      </c>
      <c r="M576" t="s">
        <v>139</v>
      </c>
      <c r="N576">
        <v>138.19999999999999</v>
      </c>
      <c r="O576" t="s">
        <v>524</v>
      </c>
      <c r="P576" t="s">
        <v>226</v>
      </c>
    </row>
    <row r="577" spans="11:16" x14ac:dyDescent="0.2">
      <c r="K577">
        <v>2010</v>
      </c>
      <c r="L577" t="s">
        <v>235</v>
      </c>
      <c r="M577" t="s">
        <v>139</v>
      </c>
      <c r="N577">
        <v>136.19999999999999</v>
      </c>
      <c r="O577" t="s">
        <v>525</v>
      </c>
      <c r="P577" t="s">
        <v>225</v>
      </c>
    </row>
    <row r="578" spans="11:16" x14ac:dyDescent="0.2">
      <c r="K578">
        <v>2010</v>
      </c>
      <c r="L578" t="s">
        <v>235</v>
      </c>
      <c r="M578" t="s">
        <v>139</v>
      </c>
      <c r="N578">
        <v>136.19999999999999</v>
      </c>
      <c r="O578" t="s">
        <v>525</v>
      </c>
      <c r="P578" t="s">
        <v>226</v>
      </c>
    </row>
    <row r="579" spans="11:16" x14ac:dyDescent="0.2">
      <c r="K579">
        <v>2011</v>
      </c>
      <c r="L579" t="s">
        <v>235</v>
      </c>
      <c r="M579" t="s">
        <v>139</v>
      </c>
      <c r="N579">
        <v>134.5</v>
      </c>
      <c r="O579" t="s">
        <v>526</v>
      </c>
      <c r="P579" t="s">
        <v>225</v>
      </c>
    </row>
    <row r="580" spans="11:16" x14ac:dyDescent="0.2">
      <c r="K580">
        <v>2011</v>
      </c>
      <c r="L580" t="s">
        <v>235</v>
      </c>
      <c r="M580" t="s">
        <v>139</v>
      </c>
      <c r="N580">
        <v>134.5</v>
      </c>
      <c r="O580" t="s">
        <v>526</v>
      </c>
      <c r="P580" t="s">
        <v>226</v>
      </c>
    </row>
    <row r="581" spans="11:16" x14ac:dyDescent="0.2">
      <c r="K581">
        <v>2012</v>
      </c>
      <c r="L581" t="s">
        <v>235</v>
      </c>
      <c r="M581" t="s">
        <v>139</v>
      </c>
      <c r="N581">
        <v>136.19999999999999</v>
      </c>
      <c r="O581" t="s">
        <v>527</v>
      </c>
      <c r="P581" t="s">
        <v>225</v>
      </c>
    </row>
    <row r="582" spans="11:16" x14ac:dyDescent="0.2">
      <c r="K582">
        <v>2012</v>
      </c>
      <c r="L582" t="s">
        <v>235</v>
      </c>
      <c r="M582" t="s">
        <v>139</v>
      </c>
      <c r="N582">
        <v>136.19999999999999</v>
      </c>
      <c r="O582" t="s">
        <v>527</v>
      </c>
      <c r="P582" t="s">
        <v>226</v>
      </c>
    </row>
    <row r="583" spans="11:16" x14ac:dyDescent="0.2">
      <c r="K583">
        <v>2008</v>
      </c>
      <c r="L583" t="s">
        <v>223</v>
      </c>
      <c r="M583" t="s">
        <v>137</v>
      </c>
      <c r="N583">
        <v>100.2</v>
      </c>
      <c r="O583" t="s">
        <v>528</v>
      </c>
      <c r="P583" t="s">
        <v>225</v>
      </c>
    </row>
    <row r="584" spans="11:16" x14ac:dyDescent="0.2">
      <c r="K584">
        <v>2008</v>
      </c>
      <c r="L584" t="s">
        <v>223</v>
      </c>
      <c r="M584" t="s">
        <v>137</v>
      </c>
      <c r="N584">
        <v>100.2</v>
      </c>
      <c r="O584" t="s">
        <v>528</v>
      </c>
      <c r="P584" t="s">
        <v>226</v>
      </c>
    </row>
    <row r="585" spans="11:16" x14ac:dyDescent="0.2">
      <c r="K585">
        <v>2009</v>
      </c>
      <c r="L585" t="s">
        <v>223</v>
      </c>
      <c r="M585" t="s">
        <v>137</v>
      </c>
      <c r="N585">
        <v>101.2</v>
      </c>
      <c r="O585" t="s">
        <v>529</v>
      </c>
      <c r="P585" t="s">
        <v>225</v>
      </c>
    </row>
    <row r="586" spans="11:16" x14ac:dyDescent="0.2">
      <c r="K586">
        <v>2009</v>
      </c>
      <c r="L586" t="s">
        <v>223</v>
      </c>
      <c r="M586" t="s">
        <v>137</v>
      </c>
      <c r="N586">
        <v>101.2</v>
      </c>
      <c r="O586" t="s">
        <v>529</v>
      </c>
      <c r="P586" t="s">
        <v>226</v>
      </c>
    </row>
    <row r="587" spans="11:16" x14ac:dyDescent="0.2">
      <c r="K587">
        <v>2010</v>
      </c>
      <c r="L587" t="s">
        <v>223</v>
      </c>
      <c r="M587" t="s">
        <v>137</v>
      </c>
      <c r="N587">
        <v>99.4</v>
      </c>
      <c r="O587" t="s">
        <v>530</v>
      </c>
      <c r="P587" t="s">
        <v>225</v>
      </c>
    </row>
    <row r="588" spans="11:16" x14ac:dyDescent="0.2">
      <c r="K588">
        <v>2010</v>
      </c>
      <c r="L588" t="s">
        <v>223</v>
      </c>
      <c r="M588" t="s">
        <v>137</v>
      </c>
      <c r="N588">
        <v>99.4</v>
      </c>
      <c r="O588" t="s">
        <v>530</v>
      </c>
      <c r="P588" t="s">
        <v>226</v>
      </c>
    </row>
    <row r="589" spans="11:16" x14ac:dyDescent="0.2">
      <c r="K589">
        <v>2011</v>
      </c>
      <c r="L589" t="s">
        <v>223</v>
      </c>
      <c r="M589" t="s">
        <v>137</v>
      </c>
      <c r="N589">
        <v>100.2</v>
      </c>
      <c r="O589" t="s">
        <v>531</v>
      </c>
      <c r="P589" t="s">
        <v>225</v>
      </c>
    </row>
    <row r="590" spans="11:16" x14ac:dyDescent="0.2">
      <c r="K590">
        <v>2011</v>
      </c>
      <c r="L590" t="s">
        <v>223</v>
      </c>
      <c r="M590" t="s">
        <v>137</v>
      </c>
      <c r="N590">
        <v>100.2</v>
      </c>
      <c r="O590" t="s">
        <v>531</v>
      </c>
      <c r="P590" t="s">
        <v>226</v>
      </c>
    </row>
    <row r="591" spans="11:16" x14ac:dyDescent="0.2">
      <c r="K591">
        <v>2012</v>
      </c>
      <c r="L591" t="s">
        <v>223</v>
      </c>
      <c r="M591" t="s">
        <v>137</v>
      </c>
      <c r="N591">
        <v>95.3</v>
      </c>
      <c r="O591" t="s">
        <v>532</v>
      </c>
      <c r="P591" t="s">
        <v>225</v>
      </c>
    </row>
    <row r="592" spans="11:16" x14ac:dyDescent="0.2">
      <c r="K592">
        <v>2012</v>
      </c>
      <c r="L592" t="s">
        <v>223</v>
      </c>
      <c r="M592" t="s">
        <v>137</v>
      </c>
      <c r="N592">
        <v>95.3</v>
      </c>
      <c r="O592" t="s">
        <v>532</v>
      </c>
      <c r="P592" t="s">
        <v>226</v>
      </c>
    </row>
    <row r="593" spans="11:16" x14ac:dyDescent="0.2">
      <c r="K593">
        <v>2008</v>
      </c>
      <c r="L593" t="s">
        <v>235</v>
      </c>
      <c r="M593" t="s">
        <v>137</v>
      </c>
      <c r="N593">
        <v>97.3</v>
      </c>
      <c r="O593" t="s">
        <v>533</v>
      </c>
      <c r="P593" t="s">
        <v>225</v>
      </c>
    </row>
    <row r="594" spans="11:16" x14ac:dyDescent="0.2">
      <c r="K594">
        <v>2008</v>
      </c>
      <c r="L594" t="s">
        <v>235</v>
      </c>
      <c r="M594" t="s">
        <v>137</v>
      </c>
      <c r="N594">
        <v>97.3</v>
      </c>
      <c r="O594" t="s">
        <v>533</v>
      </c>
      <c r="P594" t="s">
        <v>226</v>
      </c>
    </row>
    <row r="595" spans="11:16" x14ac:dyDescent="0.2">
      <c r="K595">
        <v>2009</v>
      </c>
      <c r="L595" t="s">
        <v>235</v>
      </c>
      <c r="M595" t="s">
        <v>137</v>
      </c>
      <c r="N595">
        <v>100.2</v>
      </c>
      <c r="O595" t="s">
        <v>534</v>
      </c>
      <c r="P595" t="s">
        <v>225</v>
      </c>
    </row>
    <row r="596" spans="11:16" x14ac:dyDescent="0.2">
      <c r="K596">
        <v>2009</v>
      </c>
      <c r="L596" t="s">
        <v>235</v>
      </c>
      <c r="M596" t="s">
        <v>137</v>
      </c>
      <c r="N596">
        <v>100.2</v>
      </c>
      <c r="O596" t="s">
        <v>534</v>
      </c>
      <c r="P596" t="s">
        <v>226</v>
      </c>
    </row>
    <row r="597" spans="11:16" x14ac:dyDescent="0.2">
      <c r="K597">
        <v>2010</v>
      </c>
      <c r="L597" t="s">
        <v>235</v>
      </c>
      <c r="M597" t="s">
        <v>137</v>
      </c>
      <c r="N597">
        <v>100.2</v>
      </c>
      <c r="O597" t="s">
        <v>535</v>
      </c>
      <c r="P597" t="s">
        <v>225</v>
      </c>
    </row>
    <row r="598" spans="11:16" x14ac:dyDescent="0.2">
      <c r="K598">
        <v>2010</v>
      </c>
      <c r="L598" t="s">
        <v>235</v>
      </c>
      <c r="M598" t="s">
        <v>137</v>
      </c>
      <c r="N598">
        <v>100.2</v>
      </c>
      <c r="O598" t="s">
        <v>535</v>
      </c>
      <c r="P598" t="s">
        <v>226</v>
      </c>
    </row>
    <row r="599" spans="11:16" x14ac:dyDescent="0.2">
      <c r="K599">
        <v>2011</v>
      </c>
      <c r="L599" t="s">
        <v>235</v>
      </c>
      <c r="M599" t="s">
        <v>137</v>
      </c>
      <c r="N599">
        <v>98.3</v>
      </c>
      <c r="O599" t="s">
        <v>536</v>
      </c>
      <c r="P599" t="s">
        <v>225</v>
      </c>
    </row>
    <row r="600" spans="11:16" x14ac:dyDescent="0.2">
      <c r="K600">
        <v>2011</v>
      </c>
      <c r="L600" t="s">
        <v>235</v>
      </c>
      <c r="M600" t="s">
        <v>137</v>
      </c>
      <c r="N600">
        <v>98.3</v>
      </c>
      <c r="O600" t="s">
        <v>536</v>
      </c>
      <c r="P600" t="s">
        <v>226</v>
      </c>
    </row>
    <row r="601" spans="11:16" x14ac:dyDescent="0.2">
      <c r="K601">
        <v>2012</v>
      </c>
      <c r="L601" t="s">
        <v>235</v>
      </c>
      <c r="M601" t="s">
        <v>137</v>
      </c>
      <c r="N601">
        <v>98.8</v>
      </c>
      <c r="O601" t="s">
        <v>537</v>
      </c>
      <c r="P601" t="s">
        <v>225</v>
      </c>
    </row>
    <row r="602" spans="11:16" x14ac:dyDescent="0.2">
      <c r="K602">
        <v>2012</v>
      </c>
      <c r="L602" t="s">
        <v>235</v>
      </c>
      <c r="M602" t="s">
        <v>137</v>
      </c>
      <c r="N602">
        <v>98.8</v>
      </c>
      <c r="O602" t="s">
        <v>537</v>
      </c>
      <c r="P602" t="s">
        <v>226</v>
      </c>
    </row>
    <row r="603" spans="11:16" x14ac:dyDescent="0.2">
      <c r="K603">
        <v>2008</v>
      </c>
      <c r="L603" t="s">
        <v>223</v>
      </c>
      <c r="M603" t="s">
        <v>136</v>
      </c>
      <c r="N603">
        <v>113.8</v>
      </c>
      <c r="O603" t="s">
        <v>538</v>
      </c>
      <c r="P603" t="s">
        <v>225</v>
      </c>
    </row>
    <row r="604" spans="11:16" x14ac:dyDescent="0.2">
      <c r="K604">
        <v>2008</v>
      </c>
      <c r="L604" t="s">
        <v>223</v>
      </c>
      <c r="M604" t="s">
        <v>136</v>
      </c>
      <c r="N604">
        <v>113.8</v>
      </c>
      <c r="O604" t="s">
        <v>538</v>
      </c>
      <c r="P604" t="s">
        <v>226</v>
      </c>
    </row>
    <row r="605" spans="11:16" x14ac:dyDescent="0.2">
      <c r="K605">
        <v>2009</v>
      </c>
      <c r="L605" t="s">
        <v>223</v>
      </c>
      <c r="M605" t="s">
        <v>136</v>
      </c>
      <c r="N605">
        <v>116.8</v>
      </c>
      <c r="O605" t="s">
        <v>539</v>
      </c>
      <c r="P605" t="s">
        <v>225</v>
      </c>
    </row>
    <row r="606" spans="11:16" x14ac:dyDescent="0.2">
      <c r="K606">
        <v>2009</v>
      </c>
      <c r="L606" t="s">
        <v>223</v>
      </c>
      <c r="M606" t="s">
        <v>136</v>
      </c>
      <c r="N606">
        <v>116.8</v>
      </c>
      <c r="O606" t="s">
        <v>539</v>
      </c>
      <c r="P606" t="s">
        <v>226</v>
      </c>
    </row>
    <row r="607" spans="11:16" x14ac:dyDescent="0.2">
      <c r="K607">
        <v>2010</v>
      </c>
      <c r="L607" t="s">
        <v>223</v>
      </c>
      <c r="M607" t="s">
        <v>136</v>
      </c>
      <c r="N607">
        <v>112.9</v>
      </c>
      <c r="O607" t="s">
        <v>540</v>
      </c>
      <c r="P607" t="s">
        <v>225</v>
      </c>
    </row>
    <row r="608" spans="11:16" x14ac:dyDescent="0.2">
      <c r="K608">
        <v>2010</v>
      </c>
      <c r="L608" t="s">
        <v>223</v>
      </c>
      <c r="M608" t="s">
        <v>136</v>
      </c>
      <c r="N608">
        <v>112.9</v>
      </c>
      <c r="O608" t="s">
        <v>540</v>
      </c>
      <c r="P608" t="s">
        <v>226</v>
      </c>
    </row>
    <row r="609" spans="11:16" x14ac:dyDescent="0.2">
      <c r="K609">
        <v>2011</v>
      </c>
      <c r="L609" t="s">
        <v>223</v>
      </c>
      <c r="M609" t="s">
        <v>136</v>
      </c>
      <c r="N609">
        <v>112.9</v>
      </c>
      <c r="O609" t="s">
        <v>541</v>
      </c>
      <c r="P609" t="s">
        <v>225</v>
      </c>
    </row>
    <row r="610" spans="11:16" x14ac:dyDescent="0.2">
      <c r="K610">
        <v>2011</v>
      </c>
      <c r="L610" t="s">
        <v>223</v>
      </c>
      <c r="M610" t="s">
        <v>136</v>
      </c>
      <c r="N610">
        <v>112.9</v>
      </c>
      <c r="O610" t="s">
        <v>541</v>
      </c>
      <c r="P610" t="s">
        <v>226</v>
      </c>
    </row>
    <row r="611" spans="11:16" x14ac:dyDescent="0.2">
      <c r="K611">
        <v>2012</v>
      </c>
      <c r="L611" t="s">
        <v>223</v>
      </c>
      <c r="M611" t="s">
        <v>136</v>
      </c>
      <c r="N611">
        <v>115</v>
      </c>
      <c r="O611" t="s">
        <v>542</v>
      </c>
      <c r="P611" t="s">
        <v>225</v>
      </c>
    </row>
    <row r="612" spans="11:16" x14ac:dyDescent="0.2">
      <c r="K612">
        <v>2012</v>
      </c>
      <c r="L612" t="s">
        <v>223</v>
      </c>
      <c r="M612" t="s">
        <v>136</v>
      </c>
      <c r="N612">
        <v>115</v>
      </c>
      <c r="O612" t="s">
        <v>542</v>
      </c>
      <c r="P612" t="s">
        <v>226</v>
      </c>
    </row>
    <row r="613" spans="11:16" x14ac:dyDescent="0.2">
      <c r="K613">
        <v>2008</v>
      </c>
      <c r="L613" t="s">
        <v>235</v>
      </c>
      <c r="M613" t="s">
        <v>136</v>
      </c>
      <c r="N613">
        <v>111.8</v>
      </c>
      <c r="O613" t="s">
        <v>543</v>
      </c>
      <c r="P613" t="s">
        <v>225</v>
      </c>
    </row>
    <row r="614" spans="11:16" x14ac:dyDescent="0.2">
      <c r="K614">
        <v>2008</v>
      </c>
      <c r="L614" t="s">
        <v>235</v>
      </c>
      <c r="M614" t="s">
        <v>136</v>
      </c>
      <c r="N614">
        <v>111.8</v>
      </c>
      <c r="O614" t="s">
        <v>543</v>
      </c>
      <c r="P614" t="s">
        <v>226</v>
      </c>
    </row>
    <row r="615" spans="11:16" x14ac:dyDescent="0.2">
      <c r="K615">
        <v>2009</v>
      </c>
      <c r="L615" t="s">
        <v>235</v>
      </c>
      <c r="M615" t="s">
        <v>136</v>
      </c>
      <c r="N615">
        <v>112.9</v>
      </c>
      <c r="O615" t="s">
        <v>544</v>
      </c>
      <c r="P615" t="s">
        <v>225</v>
      </c>
    </row>
    <row r="616" spans="11:16" x14ac:dyDescent="0.2">
      <c r="K616">
        <v>2009</v>
      </c>
      <c r="L616" t="s">
        <v>235</v>
      </c>
      <c r="M616" t="s">
        <v>136</v>
      </c>
      <c r="N616">
        <v>112.9</v>
      </c>
      <c r="O616" t="s">
        <v>544</v>
      </c>
      <c r="P616" t="s">
        <v>226</v>
      </c>
    </row>
    <row r="617" spans="11:16" x14ac:dyDescent="0.2">
      <c r="K617">
        <v>2010</v>
      </c>
      <c r="L617" t="s">
        <v>235</v>
      </c>
      <c r="M617" t="s">
        <v>136</v>
      </c>
      <c r="N617">
        <v>112.9</v>
      </c>
      <c r="O617" t="s">
        <v>545</v>
      </c>
      <c r="P617" t="s">
        <v>225</v>
      </c>
    </row>
    <row r="618" spans="11:16" x14ac:dyDescent="0.2">
      <c r="K618">
        <v>2010</v>
      </c>
      <c r="L618" t="s">
        <v>235</v>
      </c>
      <c r="M618" t="s">
        <v>136</v>
      </c>
      <c r="N618">
        <v>112.9</v>
      </c>
      <c r="O618" t="s">
        <v>545</v>
      </c>
      <c r="P618" t="s">
        <v>226</v>
      </c>
    </row>
    <row r="619" spans="11:16" x14ac:dyDescent="0.2">
      <c r="K619">
        <v>2011</v>
      </c>
      <c r="L619" t="s">
        <v>235</v>
      </c>
      <c r="M619" t="s">
        <v>136</v>
      </c>
      <c r="N619">
        <v>112.9</v>
      </c>
      <c r="O619" t="s">
        <v>546</v>
      </c>
      <c r="P619" t="s">
        <v>225</v>
      </c>
    </row>
    <row r="620" spans="11:16" x14ac:dyDescent="0.2">
      <c r="K620">
        <v>2011</v>
      </c>
      <c r="L620" t="s">
        <v>235</v>
      </c>
      <c r="M620" t="s">
        <v>136</v>
      </c>
      <c r="N620">
        <v>112.9</v>
      </c>
      <c r="O620" t="s">
        <v>546</v>
      </c>
      <c r="P620" t="s">
        <v>226</v>
      </c>
    </row>
    <row r="621" spans="11:16" x14ac:dyDescent="0.2">
      <c r="K621">
        <v>2012</v>
      </c>
      <c r="L621" t="s">
        <v>235</v>
      </c>
      <c r="M621" t="s">
        <v>136</v>
      </c>
      <c r="N621">
        <v>111.9</v>
      </c>
      <c r="O621" t="s">
        <v>547</v>
      </c>
      <c r="P621" t="s">
        <v>225</v>
      </c>
    </row>
    <row r="622" spans="11:16" x14ac:dyDescent="0.2">
      <c r="K622">
        <v>2012</v>
      </c>
      <c r="L622" t="s">
        <v>235</v>
      </c>
      <c r="M622" t="s">
        <v>136</v>
      </c>
      <c r="N622">
        <v>111.9</v>
      </c>
      <c r="O622" t="s">
        <v>547</v>
      </c>
      <c r="P622" t="s">
        <v>226</v>
      </c>
    </row>
    <row r="623" spans="11:16" x14ac:dyDescent="0.2">
      <c r="K623">
        <v>2008</v>
      </c>
      <c r="L623" t="s">
        <v>223</v>
      </c>
      <c r="M623" t="s">
        <v>135</v>
      </c>
      <c r="N623">
        <v>93.4</v>
      </c>
      <c r="O623" t="s">
        <v>548</v>
      </c>
      <c r="P623" t="s">
        <v>225</v>
      </c>
    </row>
    <row r="624" spans="11:16" x14ac:dyDescent="0.2">
      <c r="K624">
        <v>2008</v>
      </c>
      <c r="L624" t="s">
        <v>223</v>
      </c>
      <c r="M624" t="s">
        <v>135</v>
      </c>
      <c r="N624">
        <v>93.4</v>
      </c>
      <c r="O624" t="s">
        <v>548</v>
      </c>
      <c r="P624" t="s">
        <v>226</v>
      </c>
    </row>
    <row r="625" spans="11:16" x14ac:dyDescent="0.2">
      <c r="K625">
        <v>2009</v>
      </c>
      <c r="L625" t="s">
        <v>223</v>
      </c>
      <c r="M625" t="s">
        <v>135</v>
      </c>
      <c r="N625">
        <v>93.4</v>
      </c>
      <c r="O625" t="s">
        <v>549</v>
      </c>
      <c r="P625" t="s">
        <v>225</v>
      </c>
    </row>
    <row r="626" spans="11:16" x14ac:dyDescent="0.2">
      <c r="K626">
        <v>2009</v>
      </c>
      <c r="L626" t="s">
        <v>223</v>
      </c>
      <c r="M626" t="s">
        <v>135</v>
      </c>
      <c r="N626">
        <v>93.4</v>
      </c>
      <c r="O626" t="s">
        <v>549</v>
      </c>
      <c r="P626" t="s">
        <v>226</v>
      </c>
    </row>
    <row r="627" spans="11:16" x14ac:dyDescent="0.2">
      <c r="K627">
        <v>2010</v>
      </c>
      <c r="L627" t="s">
        <v>223</v>
      </c>
      <c r="M627" t="s">
        <v>135</v>
      </c>
      <c r="N627">
        <v>94.4</v>
      </c>
      <c r="O627" t="s">
        <v>550</v>
      </c>
      <c r="P627" t="s">
        <v>225</v>
      </c>
    </row>
    <row r="628" spans="11:16" x14ac:dyDescent="0.2">
      <c r="K628">
        <v>2010</v>
      </c>
      <c r="L628" t="s">
        <v>223</v>
      </c>
      <c r="M628" t="s">
        <v>135</v>
      </c>
      <c r="N628">
        <v>94.4</v>
      </c>
      <c r="O628" t="s">
        <v>550</v>
      </c>
      <c r="P628" t="s">
        <v>226</v>
      </c>
    </row>
    <row r="629" spans="11:16" x14ac:dyDescent="0.2">
      <c r="K629">
        <v>2011</v>
      </c>
      <c r="L629" t="s">
        <v>223</v>
      </c>
      <c r="M629" t="s">
        <v>135</v>
      </c>
      <c r="N629">
        <v>93.4</v>
      </c>
      <c r="O629" t="s">
        <v>551</v>
      </c>
      <c r="P629" t="s">
        <v>225</v>
      </c>
    </row>
    <row r="630" spans="11:16" x14ac:dyDescent="0.2">
      <c r="K630">
        <v>2011</v>
      </c>
      <c r="L630" t="s">
        <v>223</v>
      </c>
      <c r="M630" t="s">
        <v>135</v>
      </c>
      <c r="N630">
        <v>93.4</v>
      </c>
      <c r="O630" t="s">
        <v>551</v>
      </c>
      <c r="P630" t="s">
        <v>226</v>
      </c>
    </row>
    <row r="631" spans="11:16" x14ac:dyDescent="0.2">
      <c r="K631">
        <v>2012</v>
      </c>
      <c r="L631" t="s">
        <v>223</v>
      </c>
      <c r="M631" t="s">
        <v>135</v>
      </c>
      <c r="N631">
        <v>93.4</v>
      </c>
      <c r="O631" t="s">
        <v>552</v>
      </c>
      <c r="P631" t="s">
        <v>225</v>
      </c>
    </row>
    <row r="632" spans="11:16" x14ac:dyDescent="0.2">
      <c r="K632">
        <v>2012</v>
      </c>
      <c r="L632" t="s">
        <v>223</v>
      </c>
      <c r="M632" t="s">
        <v>135</v>
      </c>
      <c r="N632">
        <v>93.4</v>
      </c>
      <c r="O632" t="s">
        <v>552</v>
      </c>
      <c r="P632" t="s">
        <v>226</v>
      </c>
    </row>
    <row r="633" spans="11:16" x14ac:dyDescent="0.2">
      <c r="K633">
        <v>2008</v>
      </c>
      <c r="L633" t="s">
        <v>235</v>
      </c>
      <c r="M633" t="s">
        <v>135</v>
      </c>
      <c r="N633">
        <v>91.4</v>
      </c>
      <c r="O633" t="s">
        <v>553</v>
      </c>
      <c r="P633" t="s">
        <v>225</v>
      </c>
    </row>
    <row r="634" spans="11:16" x14ac:dyDescent="0.2">
      <c r="K634">
        <v>2008</v>
      </c>
      <c r="L634" t="s">
        <v>235</v>
      </c>
      <c r="M634" t="s">
        <v>135</v>
      </c>
      <c r="N634">
        <v>91.4</v>
      </c>
      <c r="O634" t="s">
        <v>553</v>
      </c>
      <c r="P634" t="s">
        <v>226</v>
      </c>
    </row>
    <row r="635" spans="11:16" x14ac:dyDescent="0.2">
      <c r="K635">
        <v>2009</v>
      </c>
      <c r="L635" t="s">
        <v>235</v>
      </c>
      <c r="M635" t="s">
        <v>135</v>
      </c>
      <c r="N635">
        <v>92.4</v>
      </c>
      <c r="O635" t="s">
        <v>554</v>
      </c>
      <c r="P635" t="s">
        <v>225</v>
      </c>
    </row>
    <row r="636" spans="11:16" x14ac:dyDescent="0.2">
      <c r="K636">
        <v>2009</v>
      </c>
      <c r="L636" t="s">
        <v>235</v>
      </c>
      <c r="M636" t="s">
        <v>135</v>
      </c>
      <c r="N636">
        <v>92.4</v>
      </c>
      <c r="O636" t="s">
        <v>554</v>
      </c>
      <c r="P636" t="s">
        <v>226</v>
      </c>
    </row>
    <row r="637" spans="11:16" x14ac:dyDescent="0.2">
      <c r="K637">
        <v>2010</v>
      </c>
      <c r="L637" t="s">
        <v>235</v>
      </c>
      <c r="M637" t="s">
        <v>135</v>
      </c>
      <c r="N637">
        <v>92.4</v>
      </c>
      <c r="O637" t="s">
        <v>555</v>
      </c>
      <c r="P637" t="s">
        <v>225</v>
      </c>
    </row>
    <row r="638" spans="11:16" x14ac:dyDescent="0.2">
      <c r="K638">
        <v>2010</v>
      </c>
      <c r="L638" t="s">
        <v>235</v>
      </c>
      <c r="M638" t="s">
        <v>135</v>
      </c>
      <c r="N638">
        <v>92.4</v>
      </c>
      <c r="O638" t="s">
        <v>555</v>
      </c>
      <c r="P638" t="s">
        <v>226</v>
      </c>
    </row>
    <row r="639" spans="11:16" x14ac:dyDescent="0.2">
      <c r="K639">
        <v>2011</v>
      </c>
      <c r="L639" t="s">
        <v>235</v>
      </c>
      <c r="M639" t="s">
        <v>135</v>
      </c>
      <c r="N639">
        <v>91.5</v>
      </c>
      <c r="O639" t="s">
        <v>556</v>
      </c>
      <c r="P639" t="s">
        <v>225</v>
      </c>
    </row>
    <row r="640" spans="11:16" x14ac:dyDescent="0.2">
      <c r="K640">
        <v>2011</v>
      </c>
      <c r="L640" t="s">
        <v>235</v>
      </c>
      <c r="M640" t="s">
        <v>135</v>
      </c>
      <c r="N640">
        <v>91.5</v>
      </c>
      <c r="O640" t="s">
        <v>556</v>
      </c>
      <c r="P640" t="s">
        <v>226</v>
      </c>
    </row>
    <row r="641" spans="11:16" x14ac:dyDescent="0.2">
      <c r="K641">
        <v>2012</v>
      </c>
      <c r="L641" t="s">
        <v>235</v>
      </c>
      <c r="M641" t="s">
        <v>135</v>
      </c>
      <c r="N641">
        <v>91.4</v>
      </c>
      <c r="O641" t="s">
        <v>557</v>
      </c>
      <c r="P641" t="s">
        <v>225</v>
      </c>
    </row>
    <row r="642" spans="11:16" x14ac:dyDescent="0.2">
      <c r="K642">
        <v>2012</v>
      </c>
      <c r="L642" t="s">
        <v>235</v>
      </c>
      <c r="M642" t="s">
        <v>135</v>
      </c>
      <c r="N642">
        <v>91.4</v>
      </c>
      <c r="O642" t="s">
        <v>557</v>
      </c>
      <c r="P642" t="s">
        <v>226</v>
      </c>
    </row>
    <row r="643" spans="11:16" x14ac:dyDescent="0.2">
      <c r="K643">
        <v>2008</v>
      </c>
      <c r="L643" t="s">
        <v>223</v>
      </c>
      <c r="M643" t="s">
        <v>134</v>
      </c>
      <c r="N643">
        <v>125.5</v>
      </c>
      <c r="O643" t="s">
        <v>558</v>
      </c>
      <c r="P643" t="s">
        <v>225</v>
      </c>
    </row>
    <row r="644" spans="11:16" x14ac:dyDescent="0.2">
      <c r="K644">
        <v>2008</v>
      </c>
      <c r="L644" t="s">
        <v>223</v>
      </c>
      <c r="M644" t="s">
        <v>134</v>
      </c>
      <c r="N644">
        <v>125.5</v>
      </c>
      <c r="O644" t="s">
        <v>558</v>
      </c>
      <c r="P644" t="s">
        <v>226</v>
      </c>
    </row>
    <row r="645" spans="11:16" x14ac:dyDescent="0.2">
      <c r="K645">
        <v>2009</v>
      </c>
      <c r="L645" t="s">
        <v>223</v>
      </c>
      <c r="M645" t="s">
        <v>134</v>
      </c>
      <c r="N645">
        <v>132.30000000000001</v>
      </c>
      <c r="O645" t="s">
        <v>559</v>
      </c>
      <c r="P645" t="s">
        <v>225</v>
      </c>
    </row>
    <row r="646" spans="11:16" x14ac:dyDescent="0.2">
      <c r="K646">
        <v>2009</v>
      </c>
      <c r="L646" t="s">
        <v>223</v>
      </c>
      <c r="M646" t="s">
        <v>134</v>
      </c>
      <c r="N646">
        <v>132.30000000000001</v>
      </c>
      <c r="O646" t="s">
        <v>559</v>
      </c>
      <c r="P646" t="s">
        <v>226</v>
      </c>
    </row>
    <row r="647" spans="11:16" x14ac:dyDescent="0.2">
      <c r="K647">
        <v>2010</v>
      </c>
      <c r="L647" t="s">
        <v>223</v>
      </c>
      <c r="M647" t="s">
        <v>134</v>
      </c>
      <c r="N647">
        <v>132.30000000000001</v>
      </c>
      <c r="O647" t="s">
        <v>560</v>
      </c>
      <c r="P647" t="s">
        <v>225</v>
      </c>
    </row>
    <row r="648" spans="11:16" x14ac:dyDescent="0.2">
      <c r="K648">
        <v>2010</v>
      </c>
      <c r="L648" t="s">
        <v>223</v>
      </c>
      <c r="M648" t="s">
        <v>134</v>
      </c>
      <c r="N648">
        <v>132.30000000000001</v>
      </c>
      <c r="O648" t="s">
        <v>560</v>
      </c>
      <c r="P648" t="s">
        <v>226</v>
      </c>
    </row>
    <row r="649" spans="11:16" x14ac:dyDescent="0.2">
      <c r="K649">
        <v>2011</v>
      </c>
      <c r="L649" t="s">
        <v>223</v>
      </c>
      <c r="M649" t="s">
        <v>134</v>
      </c>
      <c r="N649">
        <v>135.19999999999999</v>
      </c>
      <c r="O649" t="s">
        <v>561</v>
      </c>
      <c r="P649" t="s">
        <v>225</v>
      </c>
    </row>
    <row r="650" spans="11:16" x14ac:dyDescent="0.2">
      <c r="K650">
        <v>2011</v>
      </c>
      <c r="L650" t="s">
        <v>223</v>
      </c>
      <c r="M650" t="s">
        <v>134</v>
      </c>
      <c r="N650">
        <v>135.19999999999999</v>
      </c>
      <c r="O650" t="s">
        <v>561</v>
      </c>
      <c r="P650" t="s">
        <v>226</v>
      </c>
    </row>
    <row r="651" spans="11:16" x14ac:dyDescent="0.2">
      <c r="K651">
        <v>2012</v>
      </c>
      <c r="L651" t="s">
        <v>223</v>
      </c>
      <c r="M651" t="s">
        <v>134</v>
      </c>
      <c r="N651">
        <v>131.4</v>
      </c>
      <c r="O651" t="s">
        <v>562</v>
      </c>
      <c r="P651" t="s">
        <v>225</v>
      </c>
    </row>
    <row r="652" spans="11:16" x14ac:dyDescent="0.2">
      <c r="K652">
        <v>2012</v>
      </c>
      <c r="L652" t="s">
        <v>223</v>
      </c>
      <c r="M652" t="s">
        <v>134</v>
      </c>
      <c r="N652">
        <v>131.4</v>
      </c>
      <c r="O652" t="s">
        <v>562</v>
      </c>
      <c r="P652" t="s">
        <v>226</v>
      </c>
    </row>
    <row r="653" spans="11:16" x14ac:dyDescent="0.2">
      <c r="K653">
        <v>2008</v>
      </c>
      <c r="L653" t="s">
        <v>235</v>
      </c>
      <c r="M653" t="s">
        <v>134</v>
      </c>
      <c r="N653">
        <v>128.4</v>
      </c>
      <c r="O653" t="s">
        <v>563</v>
      </c>
      <c r="P653" t="s">
        <v>225</v>
      </c>
    </row>
    <row r="654" spans="11:16" x14ac:dyDescent="0.2">
      <c r="K654">
        <v>2008</v>
      </c>
      <c r="L654" t="s">
        <v>235</v>
      </c>
      <c r="M654" t="s">
        <v>134</v>
      </c>
      <c r="N654">
        <v>128.4</v>
      </c>
      <c r="O654" t="s">
        <v>563</v>
      </c>
      <c r="P654" t="s">
        <v>226</v>
      </c>
    </row>
    <row r="655" spans="11:16" x14ac:dyDescent="0.2">
      <c r="K655">
        <v>2009</v>
      </c>
      <c r="L655" t="s">
        <v>235</v>
      </c>
      <c r="M655" t="s">
        <v>134</v>
      </c>
      <c r="N655">
        <v>128.4</v>
      </c>
      <c r="O655" t="s">
        <v>564</v>
      </c>
      <c r="P655" t="s">
        <v>225</v>
      </c>
    </row>
    <row r="656" spans="11:16" x14ac:dyDescent="0.2">
      <c r="K656">
        <v>2009</v>
      </c>
      <c r="L656" t="s">
        <v>235</v>
      </c>
      <c r="M656" t="s">
        <v>134</v>
      </c>
      <c r="N656">
        <v>128.4</v>
      </c>
      <c r="O656" t="s">
        <v>564</v>
      </c>
      <c r="P656" t="s">
        <v>226</v>
      </c>
    </row>
    <row r="657" spans="11:16" x14ac:dyDescent="0.2">
      <c r="K657">
        <v>2010</v>
      </c>
      <c r="L657" t="s">
        <v>235</v>
      </c>
      <c r="M657" t="s">
        <v>134</v>
      </c>
      <c r="N657">
        <v>132.30000000000001</v>
      </c>
      <c r="O657" t="s">
        <v>565</v>
      </c>
      <c r="P657" t="s">
        <v>225</v>
      </c>
    </row>
    <row r="658" spans="11:16" x14ac:dyDescent="0.2">
      <c r="K658">
        <v>2010</v>
      </c>
      <c r="L658" t="s">
        <v>235</v>
      </c>
      <c r="M658" t="s">
        <v>134</v>
      </c>
      <c r="N658">
        <v>132.30000000000001</v>
      </c>
      <c r="O658" t="s">
        <v>565</v>
      </c>
      <c r="P658" t="s">
        <v>226</v>
      </c>
    </row>
    <row r="659" spans="11:16" x14ac:dyDescent="0.2">
      <c r="K659">
        <v>2011</v>
      </c>
      <c r="L659" t="s">
        <v>235</v>
      </c>
      <c r="M659" t="s">
        <v>134</v>
      </c>
      <c r="N659">
        <v>131.4</v>
      </c>
      <c r="O659" t="s">
        <v>566</v>
      </c>
      <c r="P659" t="s">
        <v>225</v>
      </c>
    </row>
    <row r="660" spans="11:16" x14ac:dyDescent="0.2">
      <c r="K660">
        <v>2011</v>
      </c>
      <c r="L660" t="s">
        <v>235</v>
      </c>
      <c r="M660" t="s">
        <v>134</v>
      </c>
      <c r="N660">
        <v>131.4</v>
      </c>
      <c r="O660" t="s">
        <v>566</v>
      </c>
      <c r="P660" t="s">
        <v>226</v>
      </c>
    </row>
    <row r="661" spans="11:16" x14ac:dyDescent="0.2">
      <c r="K661">
        <v>2012</v>
      </c>
      <c r="L661" t="s">
        <v>235</v>
      </c>
      <c r="M661" t="s">
        <v>134</v>
      </c>
      <c r="N661">
        <v>115.7</v>
      </c>
      <c r="O661" t="s">
        <v>567</v>
      </c>
      <c r="P661" t="s">
        <v>225</v>
      </c>
    </row>
    <row r="662" spans="11:16" x14ac:dyDescent="0.2">
      <c r="K662">
        <v>2012</v>
      </c>
      <c r="L662" t="s">
        <v>235</v>
      </c>
      <c r="M662" t="s">
        <v>134</v>
      </c>
      <c r="N662">
        <v>115.7</v>
      </c>
      <c r="O662" t="s">
        <v>567</v>
      </c>
      <c r="P662" t="s">
        <v>226</v>
      </c>
    </row>
    <row r="663" spans="11:16" x14ac:dyDescent="0.2">
      <c r="K663">
        <v>2008</v>
      </c>
      <c r="L663" t="s">
        <v>223</v>
      </c>
      <c r="M663" t="s">
        <v>133</v>
      </c>
      <c r="N663">
        <v>119.6</v>
      </c>
      <c r="O663" t="s">
        <v>568</v>
      </c>
      <c r="P663" t="s">
        <v>225</v>
      </c>
    </row>
    <row r="664" spans="11:16" x14ac:dyDescent="0.2">
      <c r="K664">
        <v>2008</v>
      </c>
      <c r="L664" t="s">
        <v>223</v>
      </c>
      <c r="M664" t="s">
        <v>133</v>
      </c>
      <c r="N664">
        <v>119.6</v>
      </c>
      <c r="O664" t="s">
        <v>568</v>
      </c>
      <c r="P664" t="s">
        <v>226</v>
      </c>
    </row>
    <row r="665" spans="11:16" x14ac:dyDescent="0.2">
      <c r="K665">
        <v>2009</v>
      </c>
      <c r="L665" t="s">
        <v>223</v>
      </c>
      <c r="M665" t="s">
        <v>133</v>
      </c>
      <c r="N665">
        <v>120.6</v>
      </c>
      <c r="O665" t="s">
        <v>569</v>
      </c>
      <c r="P665" t="s">
        <v>225</v>
      </c>
    </row>
    <row r="666" spans="11:16" x14ac:dyDescent="0.2">
      <c r="K666">
        <v>2009</v>
      </c>
      <c r="L666" t="s">
        <v>223</v>
      </c>
      <c r="M666" t="s">
        <v>133</v>
      </c>
      <c r="N666">
        <v>120.6</v>
      </c>
      <c r="O666" t="s">
        <v>569</v>
      </c>
      <c r="P666" t="s">
        <v>226</v>
      </c>
    </row>
    <row r="667" spans="11:16" x14ac:dyDescent="0.2">
      <c r="K667">
        <v>2010</v>
      </c>
      <c r="L667" t="s">
        <v>223</v>
      </c>
      <c r="M667" t="s">
        <v>133</v>
      </c>
      <c r="N667">
        <v>120.4</v>
      </c>
      <c r="O667" t="s">
        <v>570</v>
      </c>
      <c r="P667" t="s">
        <v>225</v>
      </c>
    </row>
    <row r="668" spans="11:16" x14ac:dyDescent="0.2">
      <c r="K668">
        <v>2010</v>
      </c>
      <c r="L668" t="s">
        <v>223</v>
      </c>
      <c r="M668" t="s">
        <v>133</v>
      </c>
      <c r="N668">
        <v>120.4</v>
      </c>
      <c r="O668" t="s">
        <v>570</v>
      </c>
      <c r="P668" t="s">
        <v>226</v>
      </c>
    </row>
    <row r="669" spans="11:16" x14ac:dyDescent="0.2">
      <c r="K669">
        <v>2011</v>
      </c>
      <c r="L669" t="s">
        <v>223</v>
      </c>
      <c r="M669" t="s">
        <v>133</v>
      </c>
      <c r="N669">
        <v>127.4</v>
      </c>
      <c r="O669" t="s">
        <v>571</v>
      </c>
      <c r="P669" t="s">
        <v>225</v>
      </c>
    </row>
    <row r="670" spans="11:16" x14ac:dyDescent="0.2">
      <c r="K670">
        <v>2011</v>
      </c>
      <c r="L670" t="s">
        <v>223</v>
      </c>
      <c r="M670" t="s">
        <v>133</v>
      </c>
      <c r="N670">
        <v>127.4</v>
      </c>
      <c r="O670" t="s">
        <v>571</v>
      </c>
      <c r="P670" t="s">
        <v>226</v>
      </c>
    </row>
    <row r="671" spans="11:16" x14ac:dyDescent="0.2">
      <c r="K671">
        <v>2012</v>
      </c>
      <c r="L671" t="s">
        <v>223</v>
      </c>
      <c r="M671" t="s">
        <v>133</v>
      </c>
      <c r="N671">
        <v>119.7</v>
      </c>
      <c r="O671" t="s">
        <v>572</v>
      </c>
      <c r="P671" t="s">
        <v>225</v>
      </c>
    </row>
    <row r="672" spans="11:16" x14ac:dyDescent="0.2">
      <c r="K672">
        <v>2012</v>
      </c>
      <c r="L672" t="s">
        <v>223</v>
      </c>
      <c r="M672" t="s">
        <v>133</v>
      </c>
      <c r="N672">
        <v>119.7</v>
      </c>
      <c r="O672" t="s">
        <v>572</v>
      </c>
      <c r="P672" t="s">
        <v>226</v>
      </c>
    </row>
    <row r="673" spans="11:16" x14ac:dyDescent="0.2">
      <c r="K673">
        <v>2008</v>
      </c>
      <c r="L673" t="s">
        <v>235</v>
      </c>
      <c r="M673" t="s">
        <v>133</v>
      </c>
      <c r="N673">
        <v>118.7</v>
      </c>
      <c r="O673" t="s">
        <v>573</v>
      </c>
      <c r="P673" t="s">
        <v>225</v>
      </c>
    </row>
    <row r="674" spans="11:16" x14ac:dyDescent="0.2">
      <c r="K674">
        <v>2008</v>
      </c>
      <c r="L674" t="s">
        <v>235</v>
      </c>
      <c r="M674" t="s">
        <v>133</v>
      </c>
      <c r="N674">
        <v>118.7</v>
      </c>
      <c r="O674" t="s">
        <v>573</v>
      </c>
      <c r="P674" t="s">
        <v>226</v>
      </c>
    </row>
    <row r="675" spans="11:16" x14ac:dyDescent="0.2">
      <c r="K675">
        <v>2009</v>
      </c>
      <c r="L675" t="s">
        <v>235</v>
      </c>
      <c r="M675" t="s">
        <v>133</v>
      </c>
      <c r="N675">
        <v>119.6</v>
      </c>
      <c r="O675" t="s">
        <v>574</v>
      </c>
      <c r="P675" t="s">
        <v>225</v>
      </c>
    </row>
    <row r="676" spans="11:16" x14ac:dyDescent="0.2">
      <c r="K676">
        <v>2009</v>
      </c>
      <c r="L676" t="s">
        <v>235</v>
      </c>
      <c r="M676" t="s">
        <v>133</v>
      </c>
      <c r="N676">
        <v>119.6</v>
      </c>
      <c r="O676" t="s">
        <v>574</v>
      </c>
      <c r="P676" t="s">
        <v>226</v>
      </c>
    </row>
    <row r="677" spans="11:16" x14ac:dyDescent="0.2">
      <c r="K677">
        <v>2010</v>
      </c>
      <c r="L677" t="s">
        <v>235</v>
      </c>
      <c r="M677" t="s">
        <v>133</v>
      </c>
      <c r="N677">
        <v>118.7</v>
      </c>
      <c r="O677" t="s">
        <v>575</v>
      </c>
      <c r="P677" t="s">
        <v>225</v>
      </c>
    </row>
    <row r="678" spans="11:16" x14ac:dyDescent="0.2">
      <c r="K678">
        <v>2010</v>
      </c>
      <c r="L678" t="s">
        <v>235</v>
      </c>
      <c r="M678" t="s">
        <v>133</v>
      </c>
      <c r="N678">
        <v>118.7</v>
      </c>
      <c r="O678" t="s">
        <v>575</v>
      </c>
      <c r="P678" t="s">
        <v>226</v>
      </c>
    </row>
    <row r="679" spans="11:16" x14ac:dyDescent="0.2">
      <c r="K679">
        <v>2011</v>
      </c>
      <c r="L679" t="s">
        <v>235</v>
      </c>
      <c r="M679" t="s">
        <v>133</v>
      </c>
      <c r="N679">
        <v>118.7</v>
      </c>
      <c r="O679" t="s">
        <v>576</v>
      </c>
      <c r="P679" t="s">
        <v>225</v>
      </c>
    </row>
    <row r="680" spans="11:16" x14ac:dyDescent="0.2">
      <c r="K680">
        <v>2011</v>
      </c>
      <c r="L680" t="s">
        <v>235</v>
      </c>
      <c r="M680" t="s">
        <v>133</v>
      </c>
      <c r="N680">
        <v>118.7</v>
      </c>
      <c r="O680" t="s">
        <v>576</v>
      </c>
      <c r="P680" t="s">
        <v>226</v>
      </c>
    </row>
    <row r="681" spans="11:16" x14ac:dyDescent="0.2">
      <c r="K681">
        <v>2012</v>
      </c>
      <c r="L681" t="s">
        <v>235</v>
      </c>
      <c r="M681" t="s">
        <v>133</v>
      </c>
      <c r="N681">
        <v>118.4</v>
      </c>
      <c r="O681" t="s">
        <v>577</v>
      </c>
      <c r="P681" t="s">
        <v>225</v>
      </c>
    </row>
    <row r="682" spans="11:16" x14ac:dyDescent="0.2">
      <c r="K682">
        <v>2012</v>
      </c>
      <c r="L682" t="s">
        <v>235</v>
      </c>
      <c r="M682" t="s">
        <v>133</v>
      </c>
      <c r="N682">
        <v>118.4</v>
      </c>
      <c r="O682" t="s">
        <v>577</v>
      </c>
      <c r="P682" t="s">
        <v>226</v>
      </c>
    </row>
    <row r="683" spans="11:16" x14ac:dyDescent="0.2">
      <c r="K683">
        <v>2008</v>
      </c>
      <c r="L683" t="s">
        <v>223</v>
      </c>
      <c r="M683" t="s">
        <v>144</v>
      </c>
      <c r="N683">
        <v>90.4</v>
      </c>
      <c r="O683" t="s">
        <v>578</v>
      </c>
      <c r="P683" t="s">
        <v>225</v>
      </c>
    </row>
    <row r="684" spans="11:16" x14ac:dyDescent="0.2">
      <c r="K684">
        <v>2008</v>
      </c>
      <c r="L684" t="s">
        <v>223</v>
      </c>
      <c r="M684" t="s">
        <v>144</v>
      </c>
      <c r="N684">
        <v>90.4</v>
      </c>
      <c r="O684" t="s">
        <v>578</v>
      </c>
      <c r="P684" t="s">
        <v>226</v>
      </c>
    </row>
    <row r="685" spans="11:16" x14ac:dyDescent="0.2">
      <c r="K685">
        <v>2009</v>
      </c>
      <c r="L685" t="s">
        <v>223</v>
      </c>
      <c r="M685" t="s">
        <v>144</v>
      </c>
      <c r="N685">
        <v>91.4</v>
      </c>
      <c r="O685" t="s">
        <v>579</v>
      </c>
      <c r="P685" t="s">
        <v>225</v>
      </c>
    </row>
    <row r="686" spans="11:16" x14ac:dyDescent="0.2">
      <c r="K686">
        <v>2009</v>
      </c>
      <c r="L686" t="s">
        <v>223</v>
      </c>
      <c r="M686" t="s">
        <v>144</v>
      </c>
      <c r="N686">
        <v>91.4</v>
      </c>
      <c r="O686" t="s">
        <v>579</v>
      </c>
      <c r="P686" t="s">
        <v>226</v>
      </c>
    </row>
    <row r="687" spans="11:16" x14ac:dyDescent="0.2">
      <c r="K687">
        <v>2010</v>
      </c>
      <c r="L687" t="s">
        <v>223</v>
      </c>
      <c r="M687" t="s">
        <v>144</v>
      </c>
      <c r="N687">
        <v>90.8</v>
      </c>
      <c r="O687" t="s">
        <v>580</v>
      </c>
      <c r="P687" t="s">
        <v>225</v>
      </c>
    </row>
    <row r="688" spans="11:16" x14ac:dyDescent="0.2">
      <c r="K688">
        <v>2010</v>
      </c>
      <c r="L688" t="s">
        <v>223</v>
      </c>
      <c r="M688" t="s">
        <v>144</v>
      </c>
      <c r="N688">
        <v>90.8</v>
      </c>
      <c r="O688" t="s">
        <v>580</v>
      </c>
      <c r="P688" t="s">
        <v>226</v>
      </c>
    </row>
    <row r="689" spans="11:16" x14ac:dyDescent="0.2">
      <c r="K689">
        <v>2011</v>
      </c>
      <c r="L689" t="s">
        <v>223</v>
      </c>
      <c r="M689" t="s">
        <v>144</v>
      </c>
      <c r="N689">
        <v>91.5</v>
      </c>
      <c r="O689" t="s">
        <v>581</v>
      </c>
      <c r="P689" t="s">
        <v>225</v>
      </c>
    </row>
    <row r="690" spans="11:16" x14ac:dyDescent="0.2">
      <c r="K690">
        <v>2011</v>
      </c>
      <c r="L690" t="s">
        <v>223</v>
      </c>
      <c r="M690" t="s">
        <v>144</v>
      </c>
      <c r="N690">
        <v>91.5</v>
      </c>
      <c r="O690" t="s">
        <v>581</v>
      </c>
      <c r="P690" t="s">
        <v>226</v>
      </c>
    </row>
    <row r="691" spans="11:16" x14ac:dyDescent="0.2">
      <c r="K691">
        <v>2012</v>
      </c>
      <c r="L691" t="s">
        <v>223</v>
      </c>
      <c r="M691" t="s">
        <v>144</v>
      </c>
      <c r="N691">
        <v>90.5</v>
      </c>
      <c r="O691" t="s">
        <v>582</v>
      </c>
      <c r="P691" t="s">
        <v>225</v>
      </c>
    </row>
    <row r="692" spans="11:16" x14ac:dyDescent="0.2">
      <c r="K692">
        <v>2012</v>
      </c>
      <c r="L692" t="s">
        <v>223</v>
      </c>
      <c r="M692" t="s">
        <v>144</v>
      </c>
      <c r="N692">
        <v>90.5</v>
      </c>
      <c r="O692" t="s">
        <v>582</v>
      </c>
      <c r="P692" t="s">
        <v>226</v>
      </c>
    </row>
    <row r="693" spans="11:16" x14ac:dyDescent="0.2">
      <c r="K693">
        <v>2008</v>
      </c>
      <c r="L693" t="s">
        <v>235</v>
      </c>
      <c r="M693" t="s">
        <v>144</v>
      </c>
      <c r="N693">
        <v>89.5</v>
      </c>
      <c r="O693" t="s">
        <v>583</v>
      </c>
      <c r="P693" t="s">
        <v>225</v>
      </c>
    </row>
    <row r="694" spans="11:16" x14ac:dyDescent="0.2">
      <c r="K694">
        <v>2008</v>
      </c>
      <c r="L694" t="s">
        <v>235</v>
      </c>
      <c r="M694" t="s">
        <v>144</v>
      </c>
      <c r="N694">
        <v>89.5</v>
      </c>
      <c r="O694" t="s">
        <v>583</v>
      </c>
      <c r="P694" t="s">
        <v>226</v>
      </c>
    </row>
    <row r="695" spans="11:16" x14ac:dyDescent="0.2">
      <c r="K695">
        <v>2009</v>
      </c>
      <c r="L695" t="s">
        <v>235</v>
      </c>
      <c r="M695" t="s">
        <v>144</v>
      </c>
      <c r="N695">
        <v>90.5</v>
      </c>
      <c r="O695" t="s">
        <v>584</v>
      </c>
      <c r="P695" t="s">
        <v>225</v>
      </c>
    </row>
    <row r="696" spans="11:16" x14ac:dyDescent="0.2">
      <c r="K696">
        <v>2009</v>
      </c>
      <c r="L696" t="s">
        <v>235</v>
      </c>
      <c r="M696" t="s">
        <v>144</v>
      </c>
      <c r="N696">
        <v>90.5</v>
      </c>
      <c r="O696" t="s">
        <v>584</v>
      </c>
      <c r="P696" t="s">
        <v>226</v>
      </c>
    </row>
    <row r="697" spans="11:16" x14ac:dyDescent="0.2">
      <c r="K697">
        <v>2010</v>
      </c>
      <c r="L697" t="s">
        <v>235</v>
      </c>
      <c r="M697" t="s">
        <v>144</v>
      </c>
      <c r="N697">
        <v>89.5</v>
      </c>
      <c r="O697" t="s">
        <v>585</v>
      </c>
      <c r="P697" t="s">
        <v>225</v>
      </c>
    </row>
    <row r="698" spans="11:16" x14ac:dyDescent="0.2">
      <c r="K698">
        <v>2010</v>
      </c>
      <c r="L698" t="s">
        <v>235</v>
      </c>
      <c r="M698" t="s">
        <v>144</v>
      </c>
      <c r="N698">
        <v>89.5</v>
      </c>
      <c r="O698" t="s">
        <v>585</v>
      </c>
      <c r="P698" t="s">
        <v>226</v>
      </c>
    </row>
    <row r="699" spans="11:16" x14ac:dyDescent="0.2">
      <c r="K699">
        <v>2011</v>
      </c>
      <c r="L699" t="s">
        <v>235</v>
      </c>
      <c r="M699" t="s">
        <v>144</v>
      </c>
      <c r="N699">
        <v>89.5</v>
      </c>
      <c r="O699" t="s">
        <v>586</v>
      </c>
      <c r="P699" t="s">
        <v>225</v>
      </c>
    </row>
    <row r="700" spans="11:16" x14ac:dyDescent="0.2">
      <c r="K700">
        <v>2011</v>
      </c>
      <c r="L700" t="s">
        <v>235</v>
      </c>
      <c r="M700" t="s">
        <v>144</v>
      </c>
      <c r="N700">
        <v>89.5</v>
      </c>
      <c r="O700" t="s">
        <v>586</v>
      </c>
      <c r="P700" t="s">
        <v>226</v>
      </c>
    </row>
    <row r="701" spans="11:16" x14ac:dyDescent="0.2">
      <c r="K701">
        <v>2012</v>
      </c>
      <c r="L701" t="s">
        <v>235</v>
      </c>
      <c r="M701" t="s">
        <v>144</v>
      </c>
      <c r="N701">
        <v>89.5</v>
      </c>
      <c r="O701" t="s">
        <v>587</v>
      </c>
      <c r="P701" t="s">
        <v>225</v>
      </c>
    </row>
    <row r="702" spans="11:16" x14ac:dyDescent="0.2">
      <c r="K702">
        <v>2012</v>
      </c>
      <c r="L702" t="s">
        <v>235</v>
      </c>
      <c r="M702" t="s">
        <v>144</v>
      </c>
      <c r="N702">
        <v>89.5</v>
      </c>
      <c r="O702" t="s">
        <v>587</v>
      </c>
      <c r="P702" t="s">
        <v>226</v>
      </c>
    </row>
    <row r="703" spans="11:16" x14ac:dyDescent="0.2">
      <c r="K703">
        <v>2008</v>
      </c>
      <c r="L703" t="s">
        <v>223</v>
      </c>
      <c r="M703" t="s">
        <v>209</v>
      </c>
      <c r="N703">
        <v>114.8</v>
      </c>
      <c r="O703" t="s">
        <v>588</v>
      </c>
      <c r="P703" t="s">
        <v>225</v>
      </c>
    </row>
    <row r="704" spans="11:16" x14ac:dyDescent="0.2">
      <c r="K704">
        <v>2008</v>
      </c>
      <c r="L704" t="s">
        <v>223</v>
      </c>
      <c r="M704" t="s">
        <v>209</v>
      </c>
      <c r="N704">
        <v>114.8</v>
      </c>
      <c r="O704" t="s">
        <v>588</v>
      </c>
      <c r="P704" t="s">
        <v>226</v>
      </c>
    </row>
    <row r="705" spans="11:16" x14ac:dyDescent="0.2">
      <c r="K705">
        <v>2010</v>
      </c>
      <c r="L705" t="s">
        <v>223</v>
      </c>
      <c r="M705" t="s">
        <v>209</v>
      </c>
      <c r="N705">
        <v>114.8</v>
      </c>
      <c r="O705" t="s">
        <v>589</v>
      </c>
      <c r="P705" t="s">
        <v>225</v>
      </c>
    </row>
    <row r="706" spans="11:16" x14ac:dyDescent="0.2">
      <c r="K706">
        <v>2010</v>
      </c>
      <c r="L706" t="s">
        <v>223</v>
      </c>
      <c r="M706" t="s">
        <v>209</v>
      </c>
      <c r="N706">
        <v>114.8</v>
      </c>
      <c r="O706" t="s">
        <v>589</v>
      </c>
      <c r="P706" t="s">
        <v>226</v>
      </c>
    </row>
    <row r="707" spans="11:16" x14ac:dyDescent="0.2">
      <c r="K707">
        <v>2012</v>
      </c>
      <c r="L707" t="s">
        <v>223</v>
      </c>
      <c r="M707" t="s">
        <v>209</v>
      </c>
      <c r="N707">
        <v>114.8</v>
      </c>
      <c r="O707" t="s">
        <v>590</v>
      </c>
      <c r="P707" t="s">
        <v>225</v>
      </c>
    </row>
    <row r="708" spans="11:16" x14ac:dyDescent="0.2">
      <c r="K708">
        <v>2012</v>
      </c>
      <c r="L708" t="s">
        <v>223</v>
      </c>
      <c r="M708" t="s">
        <v>209</v>
      </c>
      <c r="N708">
        <v>114.8</v>
      </c>
      <c r="O708" t="s">
        <v>590</v>
      </c>
      <c r="P708" t="s">
        <v>226</v>
      </c>
    </row>
    <row r="709" spans="11:16" x14ac:dyDescent="0.2">
      <c r="K709">
        <v>2008</v>
      </c>
      <c r="L709" t="s">
        <v>235</v>
      </c>
      <c r="M709" t="s">
        <v>209</v>
      </c>
      <c r="N709">
        <v>114.8</v>
      </c>
      <c r="O709" t="s">
        <v>591</v>
      </c>
      <c r="P709" t="s">
        <v>225</v>
      </c>
    </row>
    <row r="710" spans="11:16" x14ac:dyDescent="0.2">
      <c r="K710">
        <v>2008</v>
      </c>
      <c r="L710" t="s">
        <v>235</v>
      </c>
      <c r="M710" t="s">
        <v>209</v>
      </c>
      <c r="N710">
        <v>114.8</v>
      </c>
      <c r="O710" t="s">
        <v>591</v>
      </c>
      <c r="P710" t="s">
        <v>226</v>
      </c>
    </row>
    <row r="711" spans="11:16" x14ac:dyDescent="0.2">
      <c r="K711">
        <v>2010</v>
      </c>
      <c r="L711" t="s">
        <v>235</v>
      </c>
      <c r="M711" t="s">
        <v>209</v>
      </c>
      <c r="N711">
        <v>114.8</v>
      </c>
      <c r="O711" t="s">
        <v>592</v>
      </c>
      <c r="P711" t="s">
        <v>225</v>
      </c>
    </row>
    <row r="712" spans="11:16" x14ac:dyDescent="0.2">
      <c r="K712">
        <v>2010</v>
      </c>
      <c r="L712" t="s">
        <v>235</v>
      </c>
      <c r="M712" t="s">
        <v>209</v>
      </c>
      <c r="N712">
        <v>114.8</v>
      </c>
      <c r="O712" t="s">
        <v>592</v>
      </c>
      <c r="P712" t="s">
        <v>226</v>
      </c>
    </row>
    <row r="713" spans="11:16" x14ac:dyDescent="0.2">
      <c r="K713">
        <v>2012</v>
      </c>
      <c r="L713" t="s">
        <v>235</v>
      </c>
      <c r="M713" t="s">
        <v>209</v>
      </c>
      <c r="N713">
        <v>114.5</v>
      </c>
      <c r="O713" t="s">
        <v>593</v>
      </c>
      <c r="P713" t="s">
        <v>225</v>
      </c>
    </row>
    <row r="714" spans="11:16" x14ac:dyDescent="0.2">
      <c r="K714">
        <v>2012</v>
      </c>
      <c r="L714" t="s">
        <v>235</v>
      </c>
      <c r="M714" t="s">
        <v>209</v>
      </c>
      <c r="N714">
        <v>114.5</v>
      </c>
      <c r="O714" t="s">
        <v>593</v>
      </c>
      <c r="P714" t="s">
        <v>226</v>
      </c>
    </row>
    <row r="715" spans="11:16" x14ac:dyDescent="0.2">
      <c r="K715">
        <v>2009</v>
      </c>
      <c r="L715" t="s">
        <v>223</v>
      </c>
      <c r="M715" t="s">
        <v>251</v>
      </c>
      <c r="N715">
        <v>37.9</v>
      </c>
      <c r="O715" t="s">
        <v>594</v>
      </c>
      <c r="P715" t="s">
        <v>225</v>
      </c>
    </row>
    <row r="716" spans="11:16" x14ac:dyDescent="0.2">
      <c r="K716">
        <v>2009</v>
      </c>
      <c r="L716" t="s">
        <v>223</v>
      </c>
      <c r="M716" t="s">
        <v>251</v>
      </c>
      <c r="N716">
        <v>37.9</v>
      </c>
      <c r="O716" t="s">
        <v>594</v>
      </c>
      <c r="P716" t="s">
        <v>226</v>
      </c>
    </row>
    <row r="717" spans="11:16" x14ac:dyDescent="0.2">
      <c r="K717">
        <v>2011</v>
      </c>
      <c r="L717" t="s">
        <v>223</v>
      </c>
      <c r="M717" t="s">
        <v>251</v>
      </c>
      <c r="N717">
        <v>37.9</v>
      </c>
      <c r="O717" t="s">
        <v>595</v>
      </c>
      <c r="P717" t="s">
        <v>225</v>
      </c>
    </row>
    <row r="718" spans="11:16" x14ac:dyDescent="0.2">
      <c r="K718">
        <v>2011</v>
      </c>
      <c r="L718" t="s">
        <v>223</v>
      </c>
      <c r="M718" t="s">
        <v>251</v>
      </c>
      <c r="N718">
        <v>37.9</v>
      </c>
      <c r="O718" t="s">
        <v>595</v>
      </c>
      <c r="P718" t="s">
        <v>226</v>
      </c>
    </row>
    <row r="719" spans="11:16" x14ac:dyDescent="0.2">
      <c r="K719">
        <v>2009</v>
      </c>
      <c r="L719" t="s">
        <v>235</v>
      </c>
      <c r="M719" t="s">
        <v>251</v>
      </c>
      <c r="N719">
        <v>37.9</v>
      </c>
      <c r="O719" t="s">
        <v>596</v>
      </c>
      <c r="P719" t="s">
        <v>225</v>
      </c>
    </row>
    <row r="720" spans="11:16" x14ac:dyDescent="0.2">
      <c r="K720">
        <v>2009</v>
      </c>
      <c r="L720" t="s">
        <v>235</v>
      </c>
      <c r="M720" t="s">
        <v>251</v>
      </c>
      <c r="N720">
        <v>37.9</v>
      </c>
      <c r="O720" t="s">
        <v>596</v>
      </c>
      <c r="P720" t="s">
        <v>226</v>
      </c>
    </row>
    <row r="721" spans="11:16" x14ac:dyDescent="0.2">
      <c r="K721">
        <v>2011</v>
      </c>
      <c r="L721" t="s">
        <v>235</v>
      </c>
      <c r="M721" t="s">
        <v>251</v>
      </c>
      <c r="N721">
        <v>37</v>
      </c>
      <c r="O721" t="s">
        <v>597</v>
      </c>
      <c r="P721" t="s">
        <v>225</v>
      </c>
    </row>
    <row r="722" spans="11:16" x14ac:dyDescent="0.2">
      <c r="K722">
        <v>2011</v>
      </c>
      <c r="L722" t="s">
        <v>235</v>
      </c>
      <c r="M722" t="s">
        <v>251</v>
      </c>
      <c r="N722">
        <v>37</v>
      </c>
      <c r="O722" t="s">
        <v>597</v>
      </c>
      <c r="P722" t="s">
        <v>226</v>
      </c>
    </row>
    <row r="723" spans="11:16" x14ac:dyDescent="0.2">
      <c r="K723">
        <v>2008</v>
      </c>
      <c r="L723" t="s">
        <v>223</v>
      </c>
      <c r="M723" t="s">
        <v>123</v>
      </c>
      <c r="N723">
        <v>128.5</v>
      </c>
      <c r="O723" t="s">
        <v>598</v>
      </c>
      <c r="P723" t="s">
        <v>225</v>
      </c>
    </row>
    <row r="724" spans="11:16" x14ac:dyDescent="0.2">
      <c r="K724">
        <v>2008</v>
      </c>
      <c r="L724" t="s">
        <v>223</v>
      </c>
      <c r="M724" t="s">
        <v>123</v>
      </c>
      <c r="N724">
        <v>128.5</v>
      </c>
      <c r="O724" t="s">
        <v>598</v>
      </c>
      <c r="P724" t="s">
        <v>226</v>
      </c>
    </row>
    <row r="725" spans="11:16" x14ac:dyDescent="0.2">
      <c r="K725">
        <v>2009</v>
      </c>
      <c r="L725" t="s">
        <v>223</v>
      </c>
      <c r="M725" t="s">
        <v>123</v>
      </c>
      <c r="N725">
        <v>128.4</v>
      </c>
      <c r="O725" t="s">
        <v>599</v>
      </c>
      <c r="P725" t="s">
        <v>225</v>
      </c>
    </row>
    <row r="726" spans="11:16" x14ac:dyDescent="0.2">
      <c r="K726">
        <v>2009</v>
      </c>
      <c r="L726" t="s">
        <v>223</v>
      </c>
      <c r="M726" t="s">
        <v>123</v>
      </c>
      <c r="N726">
        <v>128.4</v>
      </c>
      <c r="O726" t="s">
        <v>599</v>
      </c>
      <c r="P726" t="s">
        <v>226</v>
      </c>
    </row>
    <row r="727" spans="11:16" x14ac:dyDescent="0.2">
      <c r="K727">
        <v>2010</v>
      </c>
      <c r="L727" t="s">
        <v>223</v>
      </c>
      <c r="M727" t="s">
        <v>123</v>
      </c>
      <c r="N727">
        <v>132</v>
      </c>
      <c r="O727" t="s">
        <v>600</v>
      </c>
      <c r="P727" t="s">
        <v>225</v>
      </c>
    </row>
    <row r="728" spans="11:16" x14ac:dyDescent="0.2">
      <c r="K728">
        <v>2010</v>
      </c>
      <c r="L728" t="s">
        <v>223</v>
      </c>
      <c r="M728" t="s">
        <v>123</v>
      </c>
      <c r="N728">
        <v>132</v>
      </c>
      <c r="O728" t="s">
        <v>600</v>
      </c>
      <c r="P728" t="s">
        <v>226</v>
      </c>
    </row>
    <row r="729" spans="11:16" x14ac:dyDescent="0.2">
      <c r="K729">
        <v>2011</v>
      </c>
      <c r="L729" t="s">
        <v>223</v>
      </c>
      <c r="M729" t="s">
        <v>123</v>
      </c>
      <c r="N729">
        <v>128.4</v>
      </c>
      <c r="O729" t="s">
        <v>601</v>
      </c>
      <c r="P729" t="s">
        <v>225</v>
      </c>
    </row>
    <row r="730" spans="11:16" x14ac:dyDescent="0.2">
      <c r="K730">
        <v>2011</v>
      </c>
      <c r="L730" t="s">
        <v>223</v>
      </c>
      <c r="M730" t="s">
        <v>123</v>
      </c>
      <c r="N730">
        <v>128.4</v>
      </c>
      <c r="O730" t="s">
        <v>601</v>
      </c>
      <c r="P730" t="s">
        <v>226</v>
      </c>
    </row>
    <row r="731" spans="11:16" x14ac:dyDescent="0.2">
      <c r="K731">
        <v>2012</v>
      </c>
      <c r="L731" t="s">
        <v>223</v>
      </c>
      <c r="M731" t="s">
        <v>123</v>
      </c>
      <c r="N731">
        <v>130</v>
      </c>
      <c r="O731" t="s">
        <v>602</v>
      </c>
      <c r="P731" t="s">
        <v>225</v>
      </c>
    </row>
    <row r="732" spans="11:16" x14ac:dyDescent="0.2">
      <c r="K732">
        <v>2012</v>
      </c>
      <c r="L732" t="s">
        <v>223</v>
      </c>
      <c r="M732" t="s">
        <v>123</v>
      </c>
      <c r="N732">
        <v>130</v>
      </c>
      <c r="O732" t="s">
        <v>602</v>
      </c>
      <c r="P732" t="s">
        <v>226</v>
      </c>
    </row>
    <row r="733" spans="11:16" x14ac:dyDescent="0.2">
      <c r="K733">
        <v>2008</v>
      </c>
      <c r="L733" t="s">
        <v>235</v>
      </c>
      <c r="M733" t="s">
        <v>123</v>
      </c>
      <c r="N733">
        <v>126.5</v>
      </c>
      <c r="O733" t="s">
        <v>603</v>
      </c>
      <c r="P733" t="s">
        <v>225</v>
      </c>
    </row>
    <row r="734" spans="11:16" x14ac:dyDescent="0.2">
      <c r="K734">
        <v>2008</v>
      </c>
      <c r="L734" t="s">
        <v>235</v>
      </c>
      <c r="M734" t="s">
        <v>123</v>
      </c>
      <c r="N734">
        <v>126.5</v>
      </c>
      <c r="O734" t="s">
        <v>603</v>
      </c>
      <c r="P734" t="s">
        <v>226</v>
      </c>
    </row>
    <row r="735" spans="11:16" x14ac:dyDescent="0.2">
      <c r="K735">
        <v>2009</v>
      </c>
      <c r="L735" t="s">
        <v>235</v>
      </c>
      <c r="M735" t="s">
        <v>123</v>
      </c>
      <c r="N735">
        <v>128.4</v>
      </c>
      <c r="O735" t="s">
        <v>604</v>
      </c>
      <c r="P735" t="s">
        <v>225</v>
      </c>
    </row>
    <row r="736" spans="11:16" x14ac:dyDescent="0.2">
      <c r="K736">
        <v>2009</v>
      </c>
      <c r="L736" t="s">
        <v>235</v>
      </c>
      <c r="M736" t="s">
        <v>123</v>
      </c>
      <c r="N736">
        <v>128.4</v>
      </c>
      <c r="O736" t="s">
        <v>604</v>
      </c>
      <c r="P736" t="s">
        <v>226</v>
      </c>
    </row>
    <row r="737" spans="11:16" x14ac:dyDescent="0.2">
      <c r="K737">
        <v>2010</v>
      </c>
      <c r="L737" t="s">
        <v>235</v>
      </c>
      <c r="M737" t="s">
        <v>123</v>
      </c>
      <c r="N737">
        <v>123</v>
      </c>
      <c r="O737" t="s">
        <v>605</v>
      </c>
      <c r="P737" t="s">
        <v>225</v>
      </c>
    </row>
    <row r="738" spans="11:16" x14ac:dyDescent="0.2">
      <c r="K738">
        <v>2010</v>
      </c>
      <c r="L738" t="s">
        <v>235</v>
      </c>
      <c r="M738" t="s">
        <v>123</v>
      </c>
      <c r="N738">
        <v>123</v>
      </c>
      <c r="O738" t="s">
        <v>605</v>
      </c>
      <c r="P738" t="s">
        <v>226</v>
      </c>
    </row>
    <row r="739" spans="11:16" x14ac:dyDescent="0.2">
      <c r="K739">
        <v>2011</v>
      </c>
      <c r="L739" t="s">
        <v>235</v>
      </c>
      <c r="M739" t="s">
        <v>123</v>
      </c>
      <c r="N739">
        <v>126.5</v>
      </c>
      <c r="O739" t="s">
        <v>606</v>
      </c>
      <c r="P739" t="s">
        <v>225</v>
      </c>
    </row>
    <row r="740" spans="11:16" x14ac:dyDescent="0.2">
      <c r="K740">
        <v>2011</v>
      </c>
      <c r="L740" t="s">
        <v>235</v>
      </c>
      <c r="M740" t="s">
        <v>123</v>
      </c>
      <c r="N740">
        <v>126.5</v>
      </c>
      <c r="O740" t="s">
        <v>606</v>
      </c>
      <c r="P740" t="s">
        <v>226</v>
      </c>
    </row>
    <row r="741" spans="11:16" x14ac:dyDescent="0.2">
      <c r="K741">
        <v>2012</v>
      </c>
      <c r="L741" t="s">
        <v>235</v>
      </c>
      <c r="M741" t="s">
        <v>123</v>
      </c>
      <c r="N741">
        <v>127.2</v>
      </c>
      <c r="O741" t="s">
        <v>607</v>
      </c>
      <c r="P741" t="s">
        <v>225</v>
      </c>
    </row>
    <row r="742" spans="11:16" x14ac:dyDescent="0.2">
      <c r="K742">
        <v>2012</v>
      </c>
      <c r="L742" t="s">
        <v>235</v>
      </c>
      <c r="M742" t="s">
        <v>123</v>
      </c>
      <c r="N742">
        <v>127.2</v>
      </c>
      <c r="O742" t="s">
        <v>607</v>
      </c>
      <c r="P742" t="s">
        <v>226</v>
      </c>
    </row>
    <row r="743" spans="11:16" x14ac:dyDescent="0.2">
      <c r="K743">
        <v>2008</v>
      </c>
      <c r="L743" t="s">
        <v>223</v>
      </c>
      <c r="M743" t="s">
        <v>122</v>
      </c>
      <c r="N743">
        <v>102.1</v>
      </c>
      <c r="O743" t="s">
        <v>608</v>
      </c>
      <c r="P743" t="s">
        <v>225</v>
      </c>
    </row>
    <row r="744" spans="11:16" x14ac:dyDescent="0.2">
      <c r="K744">
        <v>2008</v>
      </c>
      <c r="L744" t="s">
        <v>223</v>
      </c>
      <c r="M744" t="s">
        <v>122</v>
      </c>
      <c r="N744">
        <v>102.1</v>
      </c>
      <c r="O744" t="s">
        <v>608</v>
      </c>
      <c r="P744" t="s">
        <v>226</v>
      </c>
    </row>
    <row r="745" spans="11:16" x14ac:dyDescent="0.2">
      <c r="K745">
        <v>2009</v>
      </c>
      <c r="L745" t="s">
        <v>223</v>
      </c>
      <c r="M745" t="s">
        <v>122</v>
      </c>
      <c r="N745">
        <v>102.2</v>
      </c>
      <c r="O745" t="s">
        <v>609</v>
      </c>
      <c r="P745" t="s">
        <v>225</v>
      </c>
    </row>
    <row r="746" spans="11:16" x14ac:dyDescent="0.2">
      <c r="K746">
        <v>2009</v>
      </c>
      <c r="L746" t="s">
        <v>223</v>
      </c>
      <c r="M746" t="s">
        <v>122</v>
      </c>
      <c r="N746">
        <v>102.2</v>
      </c>
      <c r="O746" t="s">
        <v>609</v>
      </c>
      <c r="P746" t="s">
        <v>226</v>
      </c>
    </row>
    <row r="747" spans="11:16" x14ac:dyDescent="0.2">
      <c r="K747">
        <v>2010</v>
      </c>
      <c r="L747" t="s">
        <v>223</v>
      </c>
      <c r="M747" t="s">
        <v>122</v>
      </c>
      <c r="N747">
        <v>102.2</v>
      </c>
      <c r="O747" t="s">
        <v>610</v>
      </c>
      <c r="P747" t="s">
        <v>225</v>
      </c>
    </row>
    <row r="748" spans="11:16" x14ac:dyDescent="0.2">
      <c r="K748">
        <v>2010</v>
      </c>
      <c r="L748" t="s">
        <v>223</v>
      </c>
      <c r="M748" t="s">
        <v>122</v>
      </c>
      <c r="N748">
        <v>102.2</v>
      </c>
      <c r="O748" t="s">
        <v>610</v>
      </c>
      <c r="P748" t="s">
        <v>226</v>
      </c>
    </row>
    <row r="749" spans="11:16" x14ac:dyDescent="0.2">
      <c r="K749">
        <v>2011</v>
      </c>
      <c r="L749" t="s">
        <v>223</v>
      </c>
      <c r="M749" t="s">
        <v>122</v>
      </c>
      <c r="N749">
        <v>102.2</v>
      </c>
      <c r="O749" t="s">
        <v>611</v>
      </c>
      <c r="P749" t="s">
        <v>225</v>
      </c>
    </row>
    <row r="750" spans="11:16" x14ac:dyDescent="0.2">
      <c r="K750">
        <v>2011</v>
      </c>
      <c r="L750" t="s">
        <v>223</v>
      </c>
      <c r="M750" t="s">
        <v>122</v>
      </c>
      <c r="N750">
        <v>102.2</v>
      </c>
      <c r="O750" t="s">
        <v>611</v>
      </c>
      <c r="P750" t="s">
        <v>226</v>
      </c>
    </row>
    <row r="751" spans="11:16" x14ac:dyDescent="0.2">
      <c r="K751">
        <v>2012</v>
      </c>
      <c r="L751" t="s">
        <v>223</v>
      </c>
      <c r="M751" t="s">
        <v>122</v>
      </c>
      <c r="N751">
        <v>101.2</v>
      </c>
      <c r="O751" t="s">
        <v>612</v>
      </c>
      <c r="P751" t="s">
        <v>225</v>
      </c>
    </row>
    <row r="752" spans="11:16" x14ac:dyDescent="0.2">
      <c r="K752">
        <v>2012</v>
      </c>
      <c r="L752" t="s">
        <v>223</v>
      </c>
      <c r="M752" t="s">
        <v>122</v>
      </c>
      <c r="N752">
        <v>101.2</v>
      </c>
      <c r="O752" t="s">
        <v>612</v>
      </c>
      <c r="P752" t="s">
        <v>226</v>
      </c>
    </row>
    <row r="753" spans="11:16" x14ac:dyDescent="0.2">
      <c r="K753">
        <v>2008</v>
      </c>
      <c r="L753" t="s">
        <v>235</v>
      </c>
      <c r="M753" t="s">
        <v>122</v>
      </c>
      <c r="N753">
        <v>101.1</v>
      </c>
      <c r="O753" t="s">
        <v>613</v>
      </c>
      <c r="P753" t="s">
        <v>225</v>
      </c>
    </row>
    <row r="754" spans="11:16" x14ac:dyDescent="0.2">
      <c r="K754">
        <v>2008</v>
      </c>
      <c r="L754" t="s">
        <v>235</v>
      </c>
      <c r="M754" t="s">
        <v>122</v>
      </c>
      <c r="N754">
        <v>101.1</v>
      </c>
      <c r="O754" t="s">
        <v>613</v>
      </c>
      <c r="P754" t="s">
        <v>226</v>
      </c>
    </row>
    <row r="755" spans="11:16" x14ac:dyDescent="0.2">
      <c r="K755">
        <v>2009</v>
      </c>
      <c r="L755" t="s">
        <v>235</v>
      </c>
      <c r="M755" t="s">
        <v>122</v>
      </c>
      <c r="N755">
        <v>102.2</v>
      </c>
      <c r="O755" t="s">
        <v>614</v>
      </c>
      <c r="P755" t="s">
        <v>225</v>
      </c>
    </row>
    <row r="756" spans="11:16" x14ac:dyDescent="0.2">
      <c r="K756">
        <v>2009</v>
      </c>
      <c r="L756" t="s">
        <v>235</v>
      </c>
      <c r="M756" t="s">
        <v>122</v>
      </c>
      <c r="N756">
        <v>102.2</v>
      </c>
      <c r="O756" t="s">
        <v>614</v>
      </c>
      <c r="P756" t="s">
        <v>226</v>
      </c>
    </row>
    <row r="757" spans="11:16" x14ac:dyDescent="0.2">
      <c r="K757">
        <v>2010</v>
      </c>
      <c r="L757" t="s">
        <v>235</v>
      </c>
      <c r="M757" t="s">
        <v>122</v>
      </c>
      <c r="N757">
        <v>101.2</v>
      </c>
      <c r="O757" t="s">
        <v>615</v>
      </c>
      <c r="P757" t="s">
        <v>225</v>
      </c>
    </row>
    <row r="758" spans="11:16" x14ac:dyDescent="0.2">
      <c r="K758">
        <v>2010</v>
      </c>
      <c r="L758" t="s">
        <v>235</v>
      </c>
      <c r="M758" t="s">
        <v>122</v>
      </c>
      <c r="N758">
        <v>101.2</v>
      </c>
      <c r="O758" t="s">
        <v>615</v>
      </c>
      <c r="P758" t="s">
        <v>226</v>
      </c>
    </row>
    <row r="759" spans="11:16" x14ac:dyDescent="0.2">
      <c r="K759">
        <v>2011</v>
      </c>
      <c r="L759" t="s">
        <v>235</v>
      </c>
      <c r="M759" t="s">
        <v>122</v>
      </c>
      <c r="N759">
        <v>101.2</v>
      </c>
      <c r="O759" t="s">
        <v>616</v>
      </c>
      <c r="P759" t="s">
        <v>225</v>
      </c>
    </row>
    <row r="760" spans="11:16" x14ac:dyDescent="0.2">
      <c r="K760">
        <v>2011</v>
      </c>
      <c r="L760" t="s">
        <v>235</v>
      </c>
      <c r="M760" t="s">
        <v>122</v>
      </c>
      <c r="N760">
        <v>101.2</v>
      </c>
      <c r="O760" t="s">
        <v>616</v>
      </c>
      <c r="P760" t="s">
        <v>226</v>
      </c>
    </row>
    <row r="761" spans="11:16" x14ac:dyDescent="0.2">
      <c r="K761">
        <v>2012</v>
      </c>
      <c r="L761" t="s">
        <v>235</v>
      </c>
      <c r="M761" t="s">
        <v>122</v>
      </c>
      <c r="N761">
        <v>100</v>
      </c>
      <c r="O761" t="s">
        <v>617</v>
      </c>
      <c r="P761" t="s">
        <v>225</v>
      </c>
    </row>
    <row r="762" spans="11:16" x14ac:dyDescent="0.2">
      <c r="K762">
        <v>2012</v>
      </c>
      <c r="L762" t="s">
        <v>235</v>
      </c>
      <c r="M762" t="s">
        <v>122</v>
      </c>
      <c r="N762">
        <v>100</v>
      </c>
      <c r="O762" t="s">
        <v>617</v>
      </c>
      <c r="P762" t="s">
        <v>226</v>
      </c>
    </row>
    <row r="763" spans="11:16" x14ac:dyDescent="0.2">
      <c r="K763">
        <v>2008</v>
      </c>
      <c r="L763" t="s">
        <v>223</v>
      </c>
      <c r="M763" t="s">
        <v>124</v>
      </c>
      <c r="N763">
        <v>161.5</v>
      </c>
      <c r="O763" t="s">
        <v>618</v>
      </c>
      <c r="P763" t="s">
        <v>225</v>
      </c>
    </row>
    <row r="764" spans="11:16" x14ac:dyDescent="0.2">
      <c r="K764">
        <v>2008</v>
      </c>
      <c r="L764" t="s">
        <v>223</v>
      </c>
      <c r="M764" t="s">
        <v>124</v>
      </c>
      <c r="N764">
        <v>161.5</v>
      </c>
      <c r="O764" t="s">
        <v>618</v>
      </c>
      <c r="P764" t="s">
        <v>226</v>
      </c>
    </row>
    <row r="765" spans="11:16" x14ac:dyDescent="0.2">
      <c r="K765">
        <v>2009</v>
      </c>
      <c r="L765" t="s">
        <v>223</v>
      </c>
      <c r="M765" t="s">
        <v>124</v>
      </c>
      <c r="N765">
        <v>161.5</v>
      </c>
      <c r="O765" t="s">
        <v>619</v>
      </c>
      <c r="P765" t="s">
        <v>225</v>
      </c>
    </row>
    <row r="766" spans="11:16" x14ac:dyDescent="0.2">
      <c r="K766">
        <v>2009</v>
      </c>
      <c r="L766" t="s">
        <v>223</v>
      </c>
      <c r="M766" t="s">
        <v>124</v>
      </c>
      <c r="N766">
        <v>161.5</v>
      </c>
      <c r="O766" t="s">
        <v>619</v>
      </c>
      <c r="P766" t="s">
        <v>226</v>
      </c>
    </row>
    <row r="767" spans="11:16" x14ac:dyDescent="0.2">
      <c r="K767">
        <v>2010</v>
      </c>
      <c r="L767" t="s">
        <v>223</v>
      </c>
      <c r="M767" t="s">
        <v>124</v>
      </c>
      <c r="N767">
        <v>161.5</v>
      </c>
      <c r="O767" t="s">
        <v>620</v>
      </c>
      <c r="P767" t="s">
        <v>225</v>
      </c>
    </row>
    <row r="768" spans="11:16" x14ac:dyDescent="0.2">
      <c r="K768">
        <v>2010</v>
      </c>
      <c r="L768" t="s">
        <v>223</v>
      </c>
      <c r="M768" t="s">
        <v>124</v>
      </c>
      <c r="N768">
        <v>161.5</v>
      </c>
      <c r="O768" t="s">
        <v>620</v>
      </c>
      <c r="P768" t="s">
        <v>226</v>
      </c>
    </row>
    <row r="769" spans="11:16" x14ac:dyDescent="0.2">
      <c r="K769">
        <v>2011</v>
      </c>
      <c r="L769" t="s">
        <v>223</v>
      </c>
      <c r="M769" t="s">
        <v>124</v>
      </c>
      <c r="N769">
        <v>161.5</v>
      </c>
      <c r="O769" t="s">
        <v>621</v>
      </c>
      <c r="P769" t="s">
        <v>225</v>
      </c>
    </row>
    <row r="770" spans="11:16" x14ac:dyDescent="0.2">
      <c r="K770">
        <v>2011</v>
      </c>
      <c r="L770" t="s">
        <v>223</v>
      </c>
      <c r="M770" t="s">
        <v>124</v>
      </c>
      <c r="N770">
        <v>161.5</v>
      </c>
      <c r="O770" t="s">
        <v>621</v>
      </c>
      <c r="P770" t="s">
        <v>226</v>
      </c>
    </row>
    <row r="771" spans="11:16" x14ac:dyDescent="0.2">
      <c r="K771">
        <v>2012</v>
      </c>
      <c r="L771" t="s">
        <v>223</v>
      </c>
      <c r="M771" t="s">
        <v>124</v>
      </c>
      <c r="N771">
        <v>160.54</v>
      </c>
      <c r="O771" t="s">
        <v>622</v>
      </c>
      <c r="P771" t="s">
        <v>225</v>
      </c>
    </row>
    <row r="772" spans="11:16" x14ac:dyDescent="0.2">
      <c r="K772">
        <v>2012</v>
      </c>
      <c r="L772" t="s">
        <v>223</v>
      </c>
      <c r="M772" t="s">
        <v>124</v>
      </c>
      <c r="N772">
        <v>160.54</v>
      </c>
      <c r="O772" t="s">
        <v>622</v>
      </c>
      <c r="P772" t="s">
        <v>226</v>
      </c>
    </row>
    <row r="773" spans="11:16" x14ac:dyDescent="0.2">
      <c r="K773">
        <v>2008</v>
      </c>
      <c r="L773" t="s">
        <v>235</v>
      </c>
      <c r="M773" t="s">
        <v>124</v>
      </c>
      <c r="N773">
        <v>160.5</v>
      </c>
      <c r="O773" t="s">
        <v>623</v>
      </c>
      <c r="P773" t="s">
        <v>225</v>
      </c>
    </row>
    <row r="774" spans="11:16" x14ac:dyDescent="0.2">
      <c r="K774">
        <v>2008</v>
      </c>
      <c r="L774" t="s">
        <v>235</v>
      </c>
      <c r="M774" t="s">
        <v>124</v>
      </c>
      <c r="N774">
        <v>160.5</v>
      </c>
      <c r="O774" t="s">
        <v>623</v>
      </c>
      <c r="P774" t="s">
        <v>226</v>
      </c>
    </row>
    <row r="775" spans="11:16" x14ac:dyDescent="0.2">
      <c r="K775">
        <v>2009</v>
      </c>
      <c r="L775" t="s">
        <v>235</v>
      </c>
      <c r="M775" t="s">
        <v>124</v>
      </c>
      <c r="N775">
        <v>160.5</v>
      </c>
      <c r="O775" t="s">
        <v>624</v>
      </c>
      <c r="P775" t="s">
        <v>225</v>
      </c>
    </row>
    <row r="776" spans="11:16" x14ac:dyDescent="0.2">
      <c r="K776">
        <v>2009</v>
      </c>
      <c r="L776" t="s">
        <v>235</v>
      </c>
      <c r="M776" t="s">
        <v>124</v>
      </c>
      <c r="N776">
        <v>160.5</v>
      </c>
      <c r="O776" t="s">
        <v>624</v>
      </c>
      <c r="P776" t="s">
        <v>226</v>
      </c>
    </row>
    <row r="777" spans="11:16" x14ac:dyDescent="0.2">
      <c r="K777">
        <v>2010</v>
      </c>
      <c r="L777" t="s">
        <v>235</v>
      </c>
      <c r="M777" t="s">
        <v>124</v>
      </c>
      <c r="N777">
        <v>160.5</v>
      </c>
      <c r="O777" t="s">
        <v>625</v>
      </c>
      <c r="P777" t="s">
        <v>225</v>
      </c>
    </row>
    <row r="778" spans="11:16" x14ac:dyDescent="0.2">
      <c r="K778">
        <v>2010</v>
      </c>
      <c r="L778" t="s">
        <v>235</v>
      </c>
      <c r="M778" t="s">
        <v>124</v>
      </c>
      <c r="N778">
        <v>160.5</v>
      </c>
      <c r="O778" t="s">
        <v>625</v>
      </c>
      <c r="P778" t="s">
        <v>226</v>
      </c>
    </row>
    <row r="779" spans="11:16" x14ac:dyDescent="0.2">
      <c r="K779">
        <v>2011</v>
      </c>
      <c r="L779" t="s">
        <v>235</v>
      </c>
      <c r="M779" t="s">
        <v>124</v>
      </c>
      <c r="N779">
        <v>160.5</v>
      </c>
      <c r="O779" t="s">
        <v>626</v>
      </c>
      <c r="P779" t="s">
        <v>225</v>
      </c>
    </row>
    <row r="780" spans="11:16" x14ac:dyDescent="0.2">
      <c r="K780">
        <v>2011</v>
      </c>
      <c r="L780" t="s">
        <v>235</v>
      </c>
      <c r="M780" t="s">
        <v>124</v>
      </c>
      <c r="N780">
        <v>160.5</v>
      </c>
      <c r="O780" t="s">
        <v>626</v>
      </c>
      <c r="P780" t="s">
        <v>226</v>
      </c>
    </row>
    <row r="781" spans="11:16" x14ac:dyDescent="0.2">
      <c r="K781">
        <v>2012</v>
      </c>
      <c r="L781" t="s">
        <v>235</v>
      </c>
      <c r="M781" t="s">
        <v>124</v>
      </c>
      <c r="N781">
        <v>160.4</v>
      </c>
      <c r="O781" t="s">
        <v>627</v>
      </c>
      <c r="P781" t="s">
        <v>225</v>
      </c>
    </row>
    <row r="782" spans="11:16" x14ac:dyDescent="0.2">
      <c r="K782">
        <v>2012</v>
      </c>
      <c r="L782" t="s">
        <v>235</v>
      </c>
      <c r="M782" t="s">
        <v>124</v>
      </c>
      <c r="N782">
        <v>160.4</v>
      </c>
      <c r="O782" t="s">
        <v>627</v>
      </c>
      <c r="P782" t="s">
        <v>226</v>
      </c>
    </row>
    <row r="783" spans="11:16" x14ac:dyDescent="0.2">
      <c r="K783">
        <v>2008</v>
      </c>
      <c r="L783" t="s">
        <v>223</v>
      </c>
      <c r="M783" t="s">
        <v>125</v>
      </c>
      <c r="N783">
        <v>91.4</v>
      </c>
      <c r="O783" t="s">
        <v>628</v>
      </c>
      <c r="P783" t="s">
        <v>225</v>
      </c>
    </row>
    <row r="784" spans="11:16" x14ac:dyDescent="0.2">
      <c r="K784">
        <v>2008</v>
      </c>
      <c r="L784" t="s">
        <v>223</v>
      </c>
      <c r="M784" t="s">
        <v>125</v>
      </c>
      <c r="N784">
        <v>91.4</v>
      </c>
      <c r="O784" t="s">
        <v>628</v>
      </c>
      <c r="P784" t="s">
        <v>226</v>
      </c>
    </row>
    <row r="785" spans="11:16" x14ac:dyDescent="0.2">
      <c r="K785">
        <v>2009</v>
      </c>
      <c r="L785" t="s">
        <v>223</v>
      </c>
      <c r="M785" t="s">
        <v>125</v>
      </c>
      <c r="N785">
        <v>91.5</v>
      </c>
      <c r="O785" t="s">
        <v>629</v>
      </c>
      <c r="P785" t="s">
        <v>225</v>
      </c>
    </row>
    <row r="786" spans="11:16" x14ac:dyDescent="0.2">
      <c r="K786">
        <v>2009</v>
      </c>
      <c r="L786" t="s">
        <v>223</v>
      </c>
      <c r="M786" t="s">
        <v>125</v>
      </c>
      <c r="N786">
        <v>91.5</v>
      </c>
      <c r="O786" t="s">
        <v>629</v>
      </c>
      <c r="P786" t="s">
        <v>226</v>
      </c>
    </row>
    <row r="787" spans="11:16" x14ac:dyDescent="0.2">
      <c r="K787">
        <v>2010</v>
      </c>
      <c r="L787" t="s">
        <v>223</v>
      </c>
      <c r="M787" t="s">
        <v>125</v>
      </c>
      <c r="N787">
        <v>91.6</v>
      </c>
      <c r="O787" t="s">
        <v>630</v>
      </c>
      <c r="P787" t="s">
        <v>225</v>
      </c>
    </row>
    <row r="788" spans="11:16" x14ac:dyDescent="0.2">
      <c r="K788">
        <v>2010</v>
      </c>
      <c r="L788" t="s">
        <v>223</v>
      </c>
      <c r="M788" t="s">
        <v>125</v>
      </c>
      <c r="N788">
        <v>91.6</v>
      </c>
      <c r="O788" t="s">
        <v>630</v>
      </c>
      <c r="P788" t="s">
        <v>226</v>
      </c>
    </row>
    <row r="789" spans="11:16" x14ac:dyDescent="0.2">
      <c r="K789">
        <v>2011</v>
      </c>
      <c r="L789" t="s">
        <v>223</v>
      </c>
      <c r="M789" t="s">
        <v>125</v>
      </c>
      <c r="N789">
        <v>92.4</v>
      </c>
      <c r="O789" t="s">
        <v>631</v>
      </c>
      <c r="P789" t="s">
        <v>225</v>
      </c>
    </row>
    <row r="790" spans="11:16" x14ac:dyDescent="0.2">
      <c r="K790">
        <v>2011</v>
      </c>
      <c r="L790" t="s">
        <v>223</v>
      </c>
      <c r="M790" t="s">
        <v>125</v>
      </c>
      <c r="N790">
        <v>92.4</v>
      </c>
      <c r="O790" t="s">
        <v>631</v>
      </c>
      <c r="P790" t="s">
        <v>226</v>
      </c>
    </row>
    <row r="791" spans="11:16" x14ac:dyDescent="0.2">
      <c r="K791">
        <v>2012</v>
      </c>
      <c r="L791" t="s">
        <v>223</v>
      </c>
      <c r="M791" t="s">
        <v>125</v>
      </c>
      <c r="N791">
        <v>91.5</v>
      </c>
      <c r="O791" t="s">
        <v>632</v>
      </c>
      <c r="P791" t="s">
        <v>225</v>
      </c>
    </row>
    <row r="792" spans="11:16" x14ac:dyDescent="0.2">
      <c r="K792">
        <v>2012</v>
      </c>
      <c r="L792" t="s">
        <v>223</v>
      </c>
      <c r="M792" t="s">
        <v>125</v>
      </c>
      <c r="N792">
        <v>91.5</v>
      </c>
      <c r="O792" t="s">
        <v>632</v>
      </c>
      <c r="P792" t="s">
        <v>226</v>
      </c>
    </row>
    <row r="793" spans="11:16" x14ac:dyDescent="0.2">
      <c r="K793">
        <v>2008</v>
      </c>
      <c r="L793" t="s">
        <v>235</v>
      </c>
      <c r="M793" t="s">
        <v>125</v>
      </c>
      <c r="N793">
        <v>90.5</v>
      </c>
      <c r="O793" t="s">
        <v>633</v>
      </c>
      <c r="P793" t="s">
        <v>225</v>
      </c>
    </row>
    <row r="794" spans="11:16" x14ac:dyDescent="0.2">
      <c r="K794">
        <v>2008</v>
      </c>
      <c r="L794" t="s">
        <v>235</v>
      </c>
      <c r="M794" t="s">
        <v>125</v>
      </c>
      <c r="N794">
        <v>90.5</v>
      </c>
      <c r="O794" t="s">
        <v>633</v>
      </c>
      <c r="P794" t="s">
        <v>226</v>
      </c>
    </row>
    <row r="795" spans="11:16" x14ac:dyDescent="0.2">
      <c r="K795">
        <v>2009</v>
      </c>
      <c r="L795" t="s">
        <v>235</v>
      </c>
      <c r="M795" t="s">
        <v>125</v>
      </c>
      <c r="N795">
        <v>90.4</v>
      </c>
      <c r="O795" t="s">
        <v>634</v>
      </c>
      <c r="P795" t="s">
        <v>225</v>
      </c>
    </row>
    <row r="796" spans="11:16" x14ac:dyDescent="0.2">
      <c r="K796">
        <v>2009</v>
      </c>
      <c r="L796" t="s">
        <v>235</v>
      </c>
      <c r="M796" t="s">
        <v>125</v>
      </c>
      <c r="N796">
        <v>90.4</v>
      </c>
      <c r="O796" t="s">
        <v>634</v>
      </c>
      <c r="P796" t="s">
        <v>226</v>
      </c>
    </row>
    <row r="797" spans="11:16" x14ac:dyDescent="0.2">
      <c r="K797">
        <v>2010</v>
      </c>
      <c r="L797" t="s">
        <v>235</v>
      </c>
      <c r="M797" t="s">
        <v>125</v>
      </c>
      <c r="N797">
        <v>87.5</v>
      </c>
      <c r="O797" t="s">
        <v>635</v>
      </c>
      <c r="P797" t="s">
        <v>225</v>
      </c>
    </row>
    <row r="798" spans="11:16" x14ac:dyDescent="0.2">
      <c r="K798">
        <v>2010</v>
      </c>
      <c r="L798" t="s">
        <v>235</v>
      </c>
      <c r="M798" t="s">
        <v>125</v>
      </c>
      <c r="N798">
        <v>87.5</v>
      </c>
      <c r="O798" t="s">
        <v>635</v>
      </c>
      <c r="P798" t="s">
        <v>226</v>
      </c>
    </row>
    <row r="799" spans="11:16" x14ac:dyDescent="0.2">
      <c r="K799">
        <v>2011</v>
      </c>
      <c r="L799" t="s">
        <v>235</v>
      </c>
      <c r="M799" t="s">
        <v>125</v>
      </c>
      <c r="N799">
        <v>90.5</v>
      </c>
      <c r="O799" t="s">
        <v>636</v>
      </c>
      <c r="P799" t="s">
        <v>225</v>
      </c>
    </row>
    <row r="800" spans="11:16" x14ac:dyDescent="0.2">
      <c r="K800">
        <v>2011</v>
      </c>
      <c r="L800" t="s">
        <v>235</v>
      </c>
      <c r="M800" t="s">
        <v>125</v>
      </c>
      <c r="N800">
        <v>90.5</v>
      </c>
      <c r="O800" t="s">
        <v>636</v>
      </c>
      <c r="P800" t="s">
        <v>226</v>
      </c>
    </row>
    <row r="801" spans="11:16" x14ac:dyDescent="0.2">
      <c r="K801">
        <v>2012</v>
      </c>
      <c r="L801" t="s">
        <v>235</v>
      </c>
      <c r="M801" t="s">
        <v>125</v>
      </c>
      <c r="N801">
        <v>89.5</v>
      </c>
      <c r="O801" t="s">
        <v>637</v>
      </c>
      <c r="P801" t="s">
        <v>225</v>
      </c>
    </row>
    <row r="802" spans="11:16" x14ac:dyDescent="0.2">
      <c r="K802">
        <v>2012</v>
      </c>
      <c r="L802" t="s">
        <v>235</v>
      </c>
      <c r="M802" t="s">
        <v>125</v>
      </c>
      <c r="N802">
        <v>89.5</v>
      </c>
      <c r="O802" t="s">
        <v>637</v>
      </c>
      <c r="P802" t="s">
        <v>226</v>
      </c>
    </row>
    <row r="803" spans="11:16" x14ac:dyDescent="0.2">
      <c r="K803">
        <v>2008</v>
      </c>
      <c r="L803" t="s">
        <v>223</v>
      </c>
      <c r="M803" t="s">
        <v>126</v>
      </c>
      <c r="N803">
        <v>93.4</v>
      </c>
      <c r="O803" t="s">
        <v>638</v>
      </c>
      <c r="P803" t="s">
        <v>225</v>
      </c>
    </row>
    <row r="804" spans="11:16" x14ac:dyDescent="0.2">
      <c r="K804">
        <v>2008</v>
      </c>
      <c r="L804" t="s">
        <v>223</v>
      </c>
      <c r="M804" t="s">
        <v>126</v>
      </c>
      <c r="N804">
        <v>93.4</v>
      </c>
      <c r="O804" t="s">
        <v>638</v>
      </c>
      <c r="P804" t="s">
        <v>226</v>
      </c>
    </row>
    <row r="805" spans="11:16" x14ac:dyDescent="0.2">
      <c r="K805">
        <v>2009</v>
      </c>
      <c r="L805" t="s">
        <v>223</v>
      </c>
      <c r="M805" t="s">
        <v>126</v>
      </c>
      <c r="N805">
        <v>93.4</v>
      </c>
      <c r="O805" t="s">
        <v>639</v>
      </c>
      <c r="P805" t="s">
        <v>225</v>
      </c>
    </row>
    <row r="806" spans="11:16" x14ac:dyDescent="0.2">
      <c r="K806">
        <v>2009</v>
      </c>
      <c r="L806" t="s">
        <v>223</v>
      </c>
      <c r="M806" t="s">
        <v>126</v>
      </c>
      <c r="N806">
        <v>93.4</v>
      </c>
      <c r="O806" t="s">
        <v>639</v>
      </c>
      <c r="P806" t="s">
        <v>226</v>
      </c>
    </row>
    <row r="807" spans="11:16" x14ac:dyDescent="0.2">
      <c r="K807">
        <v>2010</v>
      </c>
      <c r="L807" t="s">
        <v>223</v>
      </c>
      <c r="M807" t="s">
        <v>126</v>
      </c>
      <c r="N807">
        <v>93.4</v>
      </c>
      <c r="O807" t="s">
        <v>640</v>
      </c>
      <c r="P807" t="s">
        <v>225</v>
      </c>
    </row>
    <row r="808" spans="11:16" x14ac:dyDescent="0.2">
      <c r="K808">
        <v>2010</v>
      </c>
      <c r="L808" t="s">
        <v>223</v>
      </c>
      <c r="M808" t="s">
        <v>126</v>
      </c>
      <c r="N808">
        <v>93.4</v>
      </c>
      <c r="O808" t="s">
        <v>640</v>
      </c>
      <c r="P808" t="s">
        <v>226</v>
      </c>
    </row>
    <row r="809" spans="11:16" x14ac:dyDescent="0.2">
      <c r="K809">
        <v>2011</v>
      </c>
      <c r="L809" t="s">
        <v>223</v>
      </c>
      <c r="M809" t="s">
        <v>126</v>
      </c>
      <c r="N809">
        <v>93.4</v>
      </c>
      <c r="O809" t="s">
        <v>641</v>
      </c>
      <c r="P809" t="s">
        <v>225</v>
      </c>
    </row>
    <row r="810" spans="11:16" x14ac:dyDescent="0.2">
      <c r="K810">
        <v>2011</v>
      </c>
      <c r="L810" t="s">
        <v>223</v>
      </c>
      <c r="M810" t="s">
        <v>126</v>
      </c>
      <c r="N810">
        <v>93.4</v>
      </c>
      <c r="O810" t="s">
        <v>641</v>
      </c>
      <c r="P810" t="s">
        <v>226</v>
      </c>
    </row>
    <row r="811" spans="11:16" x14ac:dyDescent="0.2">
      <c r="K811">
        <v>2012</v>
      </c>
      <c r="L811" t="s">
        <v>223</v>
      </c>
      <c r="M811" t="s">
        <v>126</v>
      </c>
      <c r="N811">
        <v>92.4</v>
      </c>
      <c r="O811" t="s">
        <v>642</v>
      </c>
      <c r="P811" t="s">
        <v>225</v>
      </c>
    </row>
    <row r="812" spans="11:16" x14ac:dyDescent="0.2">
      <c r="K812">
        <v>2012</v>
      </c>
      <c r="L812" t="s">
        <v>223</v>
      </c>
      <c r="M812" t="s">
        <v>126</v>
      </c>
      <c r="N812">
        <v>92.4</v>
      </c>
      <c r="O812" t="s">
        <v>642</v>
      </c>
      <c r="P812" t="s">
        <v>226</v>
      </c>
    </row>
    <row r="813" spans="11:16" x14ac:dyDescent="0.2">
      <c r="K813">
        <v>2008</v>
      </c>
      <c r="L813" t="s">
        <v>235</v>
      </c>
      <c r="M813" t="s">
        <v>126</v>
      </c>
      <c r="N813">
        <v>91.4</v>
      </c>
      <c r="O813" t="s">
        <v>643</v>
      </c>
      <c r="P813" t="s">
        <v>225</v>
      </c>
    </row>
    <row r="814" spans="11:16" x14ac:dyDescent="0.2">
      <c r="K814">
        <v>2008</v>
      </c>
      <c r="L814" t="s">
        <v>235</v>
      </c>
      <c r="M814" t="s">
        <v>126</v>
      </c>
      <c r="N814">
        <v>91.4</v>
      </c>
      <c r="O814" t="s">
        <v>643</v>
      </c>
      <c r="P814" t="s">
        <v>226</v>
      </c>
    </row>
    <row r="815" spans="11:16" x14ac:dyDescent="0.2">
      <c r="K815">
        <v>2009</v>
      </c>
      <c r="L815" t="s">
        <v>235</v>
      </c>
      <c r="M815" t="s">
        <v>126</v>
      </c>
      <c r="N815">
        <v>92.4</v>
      </c>
      <c r="O815" t="s">
        <v>644</v>
      </c>
      <c r="P815" t="s">
        <v>225</v>
      </c>
    </row>
    <row r="816" spans="11:16" x14ac:dyDescent="0.2">
      <c r="K816">
        <v>2009</v>
      </c>
      <c r="L816" t="s">
        <v>235</v>
      </c>
      <c r="M816" t="s">
        <v>126</v>
      </c>
      <c r="N816">
        <v>92.4</v>
      </c>
      <c r="O816" t="s">
        <v>644</v>
      </c>
      <c r="P816" t="s">
        <v>226</v>
      </c>
    </row>
    <row r="817" spans="11:16" x14ac:dyDescent="0.2">
      <c r="K817">
        <v>2010</v>
      </c>
      <c r="L817" t="s">
        <v>235</v>
      </c>
      <c r="M817" t="s">
        <v>126</v>
      </c>
      <c r="N817">
        <v>91.5</v>
      </c>
      <c r="O817" t="s">
        <v>645</v>
      </c>
      <c r="P817" t="s">
        <v>225</v>
      </c>
    </row>
    <row r="818" spans="11:16" x14ac:dyDescent="0.2">
      <c r="K818">
        <v>2010</v>
      </c>
      <c r="L818" t="s">
        <v>235</v>
      </c>
      <c r="M818" t="s">
        <v>126</v>
      </c>
      <c r="N818">
        <v>91.5</v>
      </c>
      <c r="O818" t="s">
        <v>645</v>
      </c>
      <c r="P818" t="s">
        <v>226</v>
      </c>
    </row>
    <row r="819" spans="11:16" x14ac:dyDescent="0.2">
      <c r="K819">
        <v>2011</v>
      </c>
      <c r="L819" t="s">
        <v>235</v>
      </c>
      <c r="M819" t="s">
        <v>126</v>
      </c>
      <c r="N819">
        <v>91.5</v>
      </c>
      <c r="O819" t="s">
        <v>646</v>
      </c>
      <c r="P819" t="s">
        <v>225</v>
      </c>
    </row>
    <row r="820" spans="11:16" x14ac:dyDescent="0.2">
      <c r="K820">
        <v>2011</v>
      </c>
      <c r="L820" t="s">
        <v>235</v>
      </c>
      <c r="M820" t="s">
        <v>126</v>
      </c>
      <c r="N820">
        <v>91.5</v>
      </c>
      <c r="O820" t="s">
        <v>646</v>
      </c>
      <c r="P820" t="s">
        <v>226</v>
      </c>
    </row>
    <row r="821" spans="11:16" x14ac:dyDescent="0.2">
      <c r="K821">
        <v>2012</v>
      </c>
      <c r="L821" t="s">
        <v>235</v>
      </c>
      <c r="M821" t="s">
        <v>126</v>
      </c>
      <c r="N821">
        <v>92</v>
      </c>
      <c r="O821" t="s">
        <v>647</v>
      </c>
      <c r="P821" t="s">
        <v>225</v>
      </c>
    </row>
    <row r="822" spans="11:16" x14ac:dyDescent="0.2">
      <c r="K822">
        <v>2012</v>
      </c>
      <c r="L822" t="s">
        <v>235</v>
      </c>
      <c r="M822" t="s">
        <v>126</v>
      </c>
      <c r="N822">
        <v>92</v>
      </c>
      <c r="O822" t="s">
        <v>647</v>
      </c>
      <c r="P822" t="s">
        <v>226</v>
      </c>
    </row>
    <row r="823" spans="11:16" x14ac:dyDescent="0.2">
      <c r="K823">
        <v>2008</v>
      </c>
      <c r="L823" t="s">
        <v>223</v>
      </c>
      <c r="M823" t="s">
        <v>129</v>
      </c>
      <c r="N823">
        <v>105</v>
      </c>
      <c r="O823" t="s">
        <v>648</v>
      </c>
      <c r="P823" t="s">
        <v>225</v>
      </c>
    </row>
    <row r="824" spans="11:16" x14ac:dyDescent="0.2">
      <c r="K824">
        <v>2008</v>
      </c>
      <c r="L824" t="s">
        <v>223</v>
      </c>
      <c r="M824" t="s">
        <v>129</v>
      </c>
      <c r="N824">
        <v>105</v>
      </c>
      <c r="O824" t="s">
        <v>648</v>
      </c>
      <c r="P824" t="s">
        <v>226</v>
      </c>
    </row>
    <row r="825" spans="11:16" x14ac:dyDescent="0.2">
      <c r="K825">
        <v>2009</v>
      </c>
      <c r="L825" t="s">
        <v>223</v>
      </c>
      <c r="M825" t="s">
        <v>129</v>
      </c>
      <c r="N825">
        <v>109</v>
      </c>
      <c r="O825" t="s">
        <v>649</v>
      </c>
      <c r="P825" t="s">
        <v>225</v>
      </c>
    </row>
    <row r="826" spans="11:16" x14ac:dyDescent="0.2">
      <c r="K826">
        <v>2009</v>
      </c>
      <c r="L826" t="s">
        <v>223</v>
      </c>
      <c r="M826" t="s">
        <v>129</v>
      </c>
      <c r="N826">
        <v>109</v>
      </c>
      <c r="O826" t="s">
        <v>649</v>
      </c>
      <c r="P826" t="s">
        <v>226</v>
      </c>
    </row>
    <row r="827" spans="11:16" x14ac:dyDescent="0.2">
      <c r="K827">
        <v>2010</v>
      </c>
      <c r="L827" t="s">
        <v>223</v>
      </c>
      <c r="M827" t="s">
        <v>129</v>
      </c>
      <c r="N827">
        <v>107</v>
      </c>
      <c r="O827" t="s">
        <v>650</v>
      </c>
      <c r="P827" t="s">
        <v>225</v>
      </c>
    </row>
    <row r="828" spans="11:16" x14ac:dyDescent="0.2">
      <c r="K828">
        <v>2010</v>
      </c>
      <c r="L828" t="s">
        <v>223</v>
      </c>
      <c r="M828" t="s">
        <v>129</v>
      </c>
      <c r="N828">
        <v>107</v>
      </c>
      <c r="O828" t="s">
        <v>650</v>
      </c>
      <c r="P828" t="s">
        <v>226</v>
      </c>
    </row>
    <row r="829" spans="11:16" x14ac:dyDescent="0.2">
      <c r="K829">
        <v>2011</v>
      </c>
      <c r="L829" t="s">
        <v>223</v>
      </c>
      <c r="M829" t="s">
        <v>129</v>
      </c>
      <c r="N829">
        <v>106.1</v>
      </c>
      <c r="O829" t="s">
        <v>651</v>
      </c>
      <c r="P829" t="s">
        <v>225</v>
      </c>
    </row>
    <row r="830" spans="11:16" x14ac:dyDescent="0.2">
      <c r="K830">
        <v>2011</v>
      </c>
      <c r="L830" t="s">
        <v>223</v>
      </c>
      <c r="M830" t="s">
        <v>129</v>
      </c>
      <c r="N830">
        <v>106.1</v>
      </c>
      <c r="O830" t="s">
        <v>651</v>
      </c>
      <c r="P830" t="s">
        <v>226</v>
      </c>
    </row>
    <row r="831" spans="11:16" x14ac:dyDescent="0.2">
      <c r="K831">
        <v>2012</v>
      </c>
      <c r="L831" t="s">
        <v>223</v>
      </c>
      <c r="M831" t="s">
        <v>129</v>
      </c>
      <c r="N831">
        <v>106.1</v>
      </c>
      <c r="O831" t="s">
        <v>652</v>
      </c>
      <c r="P831" t="s">
        <v>225</v>
      </c>
    </row>
    <row r="832" spans="11:16" x14ac:dyDescent="0.2">
      <c r="K832">
        <v>2012</v>
      </c>
      <c r="L832" t="s">
        <v>223</v>
      </c>
      <c r="M832" t="s">
        <v>129</v>
      </c>
      <c r="N832">
        <v>106.1</v>
      </c>
      <c r="O832" t="s">
        <v>652</v>
      </c>
      <c r="P832" t="s">
        <v>226</v>
      </c>
    </row>
    <row r="833" spans="11:16" x14ac:dyDescent="0.2">
      <c r="K833">
        <v>2008</v>
      </c>
      <c r="L833" t="s">
        <v>235</v>
      </c>
      <c r="M833" t="s">
        <v>129</v>
      </c>
      <c r="N833">
        <v>104.1</v>
      </c>
      <c r="O833" t="s">
        <v>653</v>
      </c>
      <c r="P833" t="s">
        <v>225</v>
      </c>
    </row>
    <row r="834" spans="11:16" x14ac:dyDescent="0.2">
      <c r="K834">
        <v>2008</v>
      </c>
      <c r="L834" t="s">
        <v>235</v>
      </c>
      <c r="M834" t="s">
        <v>129</v>
      </c>
      <c r="N834">
        <v>104.1</v>
      </c>
      <c r="O834" t="s">
        <v>653</v>
      </c>
      <c r="P834" t="s">
        <v>226</v>
      </c>
    </row>
    <row r="835" spans="11:16" x14ac:dyDescent="0.2">
      <c r="K835">
        <v>2009</v>
      </c>
      <c r="L835" t="s">
        <v>235</v>
      </c>
      <c r="M835" t="s">
        <v>129</v>
      </c>
      <c r="N835">
        <v>102.2</v>
      </c>
      <c r="O835" t="s">
        <v>654</v>
      </c>
      <c r="P835" t="s">
        <v>225</v>
      </c>
    </row>
    <row r="836" spans="11:16" x14ac:dyDescent="0.2">
      <c r="K836">
        <v>2009</v>
      </c>
      <c r="L836" t="s">
        <v>235</v>
      </c>
      <c r="M836" t="s">
        <v>129</v>
      </c>
      <c r="N836">
        <v>102.2</v>
      </c>
      <c r="O836" t="s">
        <v>654</v>
      </c>
      <c r="P836" t="s">
        <v>226</v>
      </c>
    </row>
    <row r="837" spans="11:16" x14ac:dyDescent="0.2">
      <c r="K837">
        <v>2010</v>
      </c>
      <c r="L837" t="s">
        <v>235</v>
      </c>
      <c r="M837" t="s">
        <v>129</v>
      </c>
      <c r="N837">
        <v>104</v>
      </c>
      <c r="O837" t="s">
        <v>655</v>
      </c>
      <c r="P837" t="s">
        <v>225</v>
      </c>
    </row>
    <row r="838" spans="11:16" x14ac:dyDescent="0.2">
      <c r="K838">
        <v>2010</v>
      </c>
      <c r="L838" t="s">
        <v>235</v>
      </c>
      <c r="M838" t="s">
        <v>129</v>
      </c>
      <c r="N838">
        <v>104</v>
      </c>
      <c r="O838" t="s">
        <v>655</v>
      </c>
      <c r="P838" t="s">
        <v>226</v>
      </c>
    </row>
    <row r="839" spans="11:16" x14ac:dyDescent="0.2">
      <c r="K839">
        <v>2011</v>
      </c>
      <c r="L839" t="s">
        <v>235</v>
      </c>
      <c r="M839" t="s">
        <v>129</v>
      </c>
      <c r="N839">
        <v>105.1</v>
      </c>
      <c r="O839" t="s">
        <v>656</v>
      </c>
      <c r="P839" t="s">
        <v>225</v>
      </c>
    </row>
    <row r="840" spans="11:16" x14ac:dyDescent="0.2">
      <c r="K840">
        <v>2011</v>
      </c>
      <c r="L840" t="s">
        <v>235</v>
      </c>
      <c r="M840" t="s">
        <v>129</v>
      </c>
      <c r="N840">
        <v>105.1</v>
      </c>
      <c r="O840" t="s">
        <v>656</v>
      </c>
      <c r="P840" t="s">
        <v>226</v>
      </c>
    </row>
    <row r="841" spans="11:16" x14ac:dyDescent="0.2">
      <c r="K841">
        <v>2012</v>
      </c>
      <c r="L841" t="s">
        <v>235</v>
      </c>
      <c r="M841" t="s">
        <v>129</v>
      </c>
      <c r="N841">
        <v>105.1</v>
      </c>
      <c r="O841" t="s">
        <v>657</v>
      </c>
      <c r="P841" t="s">
        <v>225</v>
      </c>
    </row>
    <row r="842" spans="11:16" x14ac:dyDescent="0.2">
      <c r="K842">
        <v>2012</v>
      </c>
      <c r="L842" t="s">
        <v>235</v>
      </c>
      <c r="M842" t="s">
        <v>129</v>
      </c>
      <c r="N842">
        <v>105.1</v>
      </c>
      <c r="O842" t="s">
        <v>657</v>
      </c>
      <c r="P842" t="s">
        <v>226</v>
      </c>
    </row>
    <row r="843" spans="11:16" x14ac:dyDescent="0.2">
      <c r="K843">
        <v>2008</v>
      </c>
      <c r="L843" t="s">
        <v>223</v>
      </c>
      <c r="M843" t="s">
        <v>128</v>
      </c>
      <c r="N843">
        <v>164.4</v>
      </c>
      <c r="O843" t="s">
        <v>658</v>
      </c>
      <c r="P843" t="s">
        <v>225</v>
      </c>
    </row>
    <row r="844" spans="11:16" x14ac:dyDescent="0.2">
      <c r="K844">
        <v>2008</v>
      </c>
      <c r="L844" t="s">
        <v>223</v>
      </c>
      <c r="M844" t="s">
        <v>128</v>
      </c>
      <c r="N844">
        <v>164.4</v>
      </c>
      <c r="O844" t="s">
        <v>658</v>
      </c>
      <c r="P844" t="s">
        <v>226</v>
      </c>
    </row>
    <row r="845" spans="11:16" x14ac:dyDescent="0.2">
      <c r="K845">
        <v>2009</v>
      </c>
      <c r="L845" t="s">
        <v>223</v>
      </c>
      <c r="M845" t="s">
        <v>128</v>
      </c>
      <c r="N845">
        <v>166.3</v>
      </c>
      <c r="O845" t="s">
        <v>659</v>
      </c>
      <c r="P845" t="s">
        <v>225</v>
      </c>
    </row>
    <row r="846" spans="11:16" x14ac:dyDescent="0.2">
      <c r="K846">
        <v>2009</v>
      </c>
      <c r="L846" t="s">
        <v>223</v>
      </c>
      <c r="M846" t="s">
        <v>128</v>
      </c>
      <c r="N846">
        <v>166.3</v>
      </c>
      <c r="O846" t="s">
        <v>659</v>
      </c>
      <c r="P846" t="s">
        <v>226</v>
      </c>
    </row>
    <row r="847" spans="11:16" x14ac:dyDescent="0.2">
      <c r="K847">
        <v>2010</v>
      </c>
      <c r="L847" t="s">
        <v>223</v>
      </c>
      <c r="M847" t="s">
        <v>128</v>
      </c>
      <c r="N847">
        <v>164.2</v>
      </c>
      <c r="O847" t="s">
        <v>660</v>
      </c>
      <c r="P847" t="s">
        <v>225</v>
      </c>
    </row>
    <row r="848" spans="11:16" x14ac:dyDescent="0.2">
      <c r="K848">
        <v>2010</v>
      </c>
      <c r="L848" t="s">
        <v>223</v>
      </c>
      <c r="M848" t="s">
        <v>128</v>
      </c>
      <c r="N848">
        <v>164.2</v>
      </c>
      <c r="O848" t="s">
        <v>660</v>
      </c>
      <c r="P848" t="s">
        <v>226</v>
      </c>
    </row>
    <row r="849" spans="11:16" x14ac:dyDescent="0.2">
      <c r="K849">
        <v>2011</v>
      </c>
      <c r="L849" t="s">
        <v>223</v>
      </c>
      <c r="M849" t="s">
        <v>128</v>
      </c>
      <c r="N849">
        <v>164.4</v>
      </c>
      <c r="O849" t="s">
        <v>661</v>
      </c>
      <c r="P849" t="s">
        <v>225</v>
      </c>
    </row>
    <row r="850" spans="11:16" x14ac:dyDescent="0.2">
      <c r="K850">
        <v>2011</v>
      </c>
      <c r="L850" t="s">
        <v>223</v>
      </c>
      <c r="M850" t="s">
        <v>128</v>
      </c>
      <c r="N850">
        <v>164.4</v>
      </c>
      <c r="O850" t="s">
        <v>661</v>
      </c>
      <c r="P850" t="s">
        <v>226</v>
      </c>
    </row>
    <row r="851" spans="11:16" x14ac:dyDescent="0.2">
      <c r="K851">
        <v>2012</v>
      </c>
      <c r="L851" t="s">
        <v>223</v>
      </c>
      <c r="M851" t="s">
        <v>128</v>
      </c>
      <c r="N851">
        <v>164.4</v>
      </c>
      <c r="O851" t="s">
        <v>662</v>
      </c>
      <c r="P851" t="s">
        <v>225</v>
      </c>
    </row>
    <row r="852" spans="11:16" x14ac:dyDescent="0.2">
      <c r="K852">
        <v>2012</v>
      </c>
      <c r="L852" t="s">
        <v>223</v>
      </c>
      <c r="M852" t="s">
        <v>128</v>
      </c>
      <c r="N852">
        <v>164.4</v>
      </c>
      <c r="O852" t="s">
        <v>662</v>
      </c>
      <c r="P852" t="s">
        <v>226</v>
      </c>
    </row>
    <row r="853" spans="11:16" x14ac:dyDescent="0.2">
      <c r="K853">
        <v>2008</v>
      </c>
      <c r="L853" t="s">
        <v>235</v>
      </c>
      <c r="M853" t="s">
        <v>128</v>
      </c>
      <c r="N853">
        <v>164.4</v>
      </c>
      <c r="O853" t="s">
        <v>663</v>
      </c>
      <c r="P853" t="s">
        <v>225</v>
      </c>
    </row>
    <row r="854" spans="11:16" x14ac:dyDescent="0.2">
      <c r="K854">
        <v>2008</v>
      </c>
      <c r="L854" t="s">
        <v>235</v>
      </c>
      <c r="M854" t="s">
        <v>128</v>
      </c>
      <c r="N854">
        <v>164.4</v>
      </c>
      <c r="O854" t="s">
        <v>663</v>
      </c>
      <c r="P854" t="s">
        <v>226</v>
      </c>
    </row>
    <row r="855" spans="11:16" x14ac:dyDescent="0.2">
      <c r="K855">
        <v>2009</v>
      </c>
      <c r="L855" t="s">
        <v>235</v>
      </c>
      <c r="M855" t="s">
        <v>128</v>
      </c>
      <c r="N855">
        <v>164.4</v>
      </c>
      <c r="O855" t="s">
        <v>664</v>
      </c>
      <c r="P855" t="s">
        <v>225</v>
      </c>
    </row>
    <row r="856" spans="11:16" x14ac:dyDescent="0.2">
      <c r="K856">
        <v>2009</v>
      </c>
      <c r="L856" t="s">
        <v>235</v>
      </c>
      <c r="M856" t="s">
        <v>128</v>
      </c>
      <c r="N856">
        <v>164.4</v>
      </c>
      <c r="O856" t="s">
        <v>664</v>
      </c>
      <c r="P856" t="s">
        <v>226</v>
      </c>
    </row>
    <row r="857" spans="11:16" x14ac:dyDescent="0.2">
      <c r="K857">
        <v>2010</v>
      </c>
      <c r="L857" t="s">
        <v>235</v>
      </c>
      <c r="M857" t="s">
        <v>128</v>
      </c>
      <c r="N857">
        <v>164.4</v>
      </c>
      <c r="O857" t="s">
        <v>665</v>
      </c>
      <c r="P857" t="s">
        <v>225</v>
      </c>
    </row>
    <row r="858" spans="11:16" x14ac:dyDescent="0.2">
      <c r="K858">
        <v>2010</v>
      </c>
      <c r="L858" t="s">
        <v>235</v>
      </c>
      <c r="M858" t="s">
        <v>128</v>
      </c>
      <c r="N858">
        <v>164.4</v>
      </c>
      <c r="O858" t="s">
        <v>665</v>
      </c>
      <c r="P858" t="s">
        <v>226</v>
      </c>
    </row>
    <row r="859" spans="11:16" x14ac:dyDescent="0.2">
      <c r="K859">
        <v>2011</v>
      </c>
      <c r="L859" t="s">
        <v>235</v>
      </c>
      <c r="M859" t="s">
        <v>128</v>
      </c>
      <c r="N859">
        <v>164.4</v>
      </c>
      <c r="O859" t="s">
        <v>666</v>
      </c>
      <c r="P859" t="s">
        <v>225</v>
      </c>
    </row>
    <row r="860" spans="11:16" x14ac:dyDescent="0.2">
      <c r="K860">
        <v>2011</v>
      </c>
      <c r="L860" t="s">
        <v>235</v>
      </c>
      <c r="M860" t="s">
        <v>128</v>
      </c>
      <c r="N860">
        <v>164.4</v>
      </c>
      <c r="O860" t="s">
        <v>666</v>
      </c>
      <c r="P860" t="s">
        <v>226</v>
      </c>
    </row>
    <row r="861" spans="11:16" x14ac:dyDescent="0.2">
      <c r="K861">
        <v>2012</v>
      </c>
      <c r="L861" t="s">
        <v>235</v>
      </c>
      <c r="M861" t="s">
        <v>128</v>
      </c>
      <c r="N861">
        <v>163.5</v>
      </c>
      <c r="O861" t="s">
        <v>667</v>
      </c>
      <c r="P861" t="s">
        <v>225</v>
      </c>
    </row>
    <row r="862" spans="11:16" x14ac:dyDescent="0.2">
      <c r="K862">
        <v>2012</v>
      </c>
      <c r="L862" t="s">
        <v>235</v>
      </c>
      <c r="M862" t="s">
        <v>128</v>
      </c>
      <c r="N862">
        <v>163.5</v>
      </c>
      <c r="O862" t="s">
        <v>667</v>
      </c>
      <c r="P862" t="s">
        <v>226</v>
      </c>
    </row>
    <row r="863" spans="11:16" x14ac:dyDescent="0.2">
      <c r="K863">
        <v>2008</v>
      </c>
      <c r="L863" t="s">
        <v>223</v>
      </c>
      <c r="M863" t="s">
        <v>130</v>
      </c>
      <c r="N863">
        <v>159.5</v>
      </c>
      <c r="O863" t="s">
        <v>668</v>
      </c>
      <c r="P863" t="s">
        <v>225</v>
      </c>
    </row>
    <row r="864" spans="11:16" x14ac:dyDescent="0.2">
      <c r="K864">
        <v>2008</v>
      </c>
      <c r="L864" t="s">
        <v>223</v>
      </c>
      <c r="M864" t="s">
        <v>130</v>
      </c>
      <c r="N864">
        <v>159.5</v>
      </c>
      <c r="O864" t="s">
        <v>668</v>
      </c>
      <c r="P864" t="s">
        <v>226</v>
      </c>
    </row>
    <row r="865" spans="11:16" x14ac:dyDescent="0.2">
      <c r="K865">
        <v>2009</v>
      </c>
      <c r="L865" t="s">
        <v>223</v>
      </c>
      <c r="M865" t="s">
        <v>130</v>
      </c>
      <c r="N865">
        <v>160.5</v>
      </c>
      <c r="O865" t="s">
        <v>669</v>
      </c>
      <c r="P865" t="s">
        <v>225</v>
      </c>
    </row>
    <row r="866" spans="11:16" x14ac:dyDescent="0.2">
      <c r="K866">
        <v>2009</v>
      </c>
      <c r="L866" t="s">
        <v>223</v>
      </c>
      <c r="M866" t="s">
        <v>130</v>
      </c>
      <c r="N866">
        <v>160.5</v>
      </c>
      <c r="O866" t="s">
        <v>669</v>
      </c>
      <c r="P866" t="s">
        <v>226</v>
      </c>
    </row>
    <row r="867" spans="11:16" x14ac:dyDescent="0.2">
      <c r="K867">
        <v>2010</v>
      </c>
      <c r="L867" t="s">
        <v>223</v>
      </c>
      <c r="M867" t="s">
        <v>130</v>
      </c>
      <c r="N867">
        <v>159.9</v>
      </c>
      <c r="O867" t="s">
        <v>670</v>
      </c>
      <c r="P867" t="s">
        <v>225</v>
      </c>
    </row>
    <row r="868" spans="11:16" x14ac:dyDescent="0.2">
      <c r="K868">
        <v>2010</v>
      </c>
      <c r="L868" t="s">
        <v>223</v>
      </c>
      <c r="M868" t="s">
        <v>130</v>
      </c>
      <c r="N868">
        <v>159.9</v>
      </c>
      <c r="O868" t="s">
        <v>670</v>
      </c>
      <c r="P868" t="s">
        <v>226</v>
      </c>
    </row>
    <row r="869" spans="11:16" x14ac:dyDescent="0.2">
      <c r="K869">
        <v>2011</v>
      </c>
      <c r="L869" t="s">
        <v>223</v>
      </c>
      <c r="M869" t="s">
        <v>130</v>
      </c>
      <c r="N869">
        <v>160.5</v>
      </c>
      <c r="O869" t="s">
        <v>671</v>
      </c>
      <c r="P869" t="s">
        <v>225</v>
      </c>
    </row>
    <row r="870" spans="11:16" x14ac:dyDescent="0.2">
      <c r="K870">
        <v>2011</v>
      </c>
      <c r="L870" t="s">
        <v>223</v>
      </c>
      <c r="M870" t="s">
        <v>130</v>
      </c>
      <c r="N870">
        <v>160.5</v>
      </c>
      <c r="O870" t="s">
        <v>671</v>
      </c>
      <c r="P870" t="s">
        <v>226</v>
      </c>
    </row>
    <row r="871" spans="11:16" x14ac:dyDescent="0.2">
      <c r="K871">
        <v>2012</v>
      </c>
      <c r="L871" t="s">
        <v>223</v>
      </c>
      <c r="M871" t="s">
        <v>130</v>
      </c>
      <c r="N871">
        <v>159.6</v>
      </c>
      <c r="O871" t="s">
        <v>672</v>
      </c>
      <c r="P871" t="s">
        <v>225</v>
      </c>
    </row>
    <row r="872" spans="11:16" x14ac:dyDescent="0.2">
      <c r="K872">
        <v>2012</v>
      </c>
      <c r="L872" t="s">
        <v>223</v>
      </c>
      <c r="M872" t="s">
        <v>130</v>
      </c>
      <c r="N872">
        <v>159.6</v>
      </c>
      <c r="O872" t="s">
        <v>672</v>
      </c>
      <c r="P872" t="s">
        <v>226</v>
      </c>
    </row>
    <row r="873" spans="11:16" x14ac:dyDescent="0.2">
      <c r="K873">
        <v>2008</v>
      </c>
      <c r="L873" t="s">
        <v>235</v>
      </c>
      <c r="M873" t="s">
        <v>130</v>
      </c>
      <c r="N873">
        <v>159.6</v>
      </c>
      <c r="O873" t="s">
        <v>673</v>
      </c>
      <c r="P873" t="s">
        <v>225</v>
      </c>
    </row>
    <row r="874" spans="11:16" x14ac:dyDescent="0.2">
      <c r="K874">
        <v>2008</v>
      </c>
      <c r="L874" t="s">
        <v>235</v>
      </c>
      <c r="M874" t="s">
        <v>130</v>
      </c>
      <c r="N874">
        <v>159.6</v>
      </c>
      <c r="O874" t="s">
        <v>673</v>
      </c>
      <c r="P874" t="s">
        <v>226</v>
      </c>
    </row>
    <row r="875" spans="11:16" x14ac:dyDescent="0.2">
      <c r="K875">
        <v>2009</v>
      </c>
      <c r="L875" t="s">
        <v>235</v>
      </c>
      <c r="M875" t="s">
        <v>130</v>
      </c>
      <c r="N875">
        <v>159.6</v>
      </c>
      <c r="O875" t="s">
        <v>674</v>
      </c>
      <c r="P875" t="s">
        <v>225</v>
      </c>
    </row>
    <row r="876" spans="11:16" x14ac:dyDescent="0.2">
      <c r="K876">
        <v>2009</v>
      </c>
      <c r="L876" t="s">
        <v>235</v>
      </c>
      <c r="M876" t="s">
        <v>130</v>
      </c>
      <c r="N876">
        <v>159.6</v>
      </c>
      <c r="O876" t="s">
        <v>674</v>
      </c>
      <c r="P876" t="s">
        <v>226</v>
      </c>
    </row>
    <row r="877" spans="11:16" x14ac:dyDescent="0.2">
      <c r="K877">
        <v>2010</v>
      </c>
      <c r="L877" t="s">
        <v>235</v>
      </c>
      <c r="M877" t="s">
        <v>130</v>
      </c>
      <c r="N877">
        <v>159.6</v>
      </c>
      <c r="O877" t="s">
        <v>675</v>
      </c>
      <c r="P877" t="s">
        <v>225</v>
      </c>
    </row>
    <row r="878" spans="11:16" x14ac:dyDescent="0.2">
      <c r="K878">
        <v>2010</v>
      </c>
      <c r="L878" t="s">
        <v>235</v>
      </c>
      <c r="M878" t="s">
        <v>130</v>
      </c>
      <c r="N878">
        <v>159.6</v>
      </c>
      <c r="O878" t="s">
        <v>675</v>
      </c>
      <c r="P878" t="s">
        <v>226</v>
      </c>
    </row>
    <row r="879" spans="11:16" x14ac:dyDescent="0.2">
      <c r="K879">
        <v>2011</v>
      </c>
      <c r="L879" t="s">
        <v>235</v>
      </c>
      <c r="M879" t="s">
        <v>130</v>
      </c>
      <c r="N879">
        <v>159.6</v>
      </c>
      <c r="O879" t="s">
        <v>676</v>
      </c>
      <c r="P879" t="s">
        <v>225</v>
      </c>
    </row>
    <row r="880" spans="11:16" x14ac:dyDescent="0.2">
      <c r="K880">
        <v>2011</v>
      </c>
      <c r="L880" t="s">
        <v>235</v>
      </c>
      <c r="M880" t="s">
        <v>130</v>
      </c>
      <c r="N880">
        <v>159.6</v>
      </c>
      <c r="O880" t="s">
        <v>676</v>
      </c>
      <c r="P880" t="s">
        <v>226</v>
      </c>
    </row>
    <row r="881" spans="11:16" x14ac:dyDescent="0.2">
      <c r="K881">
        <v>2012</v>
      </c>
      <c r="L881" t="s">
        <v>235</v>
      </c>
      <c r="M881" t="s">
        <v>130</v>
      </c>
      <c r="N881">
        <v>157.6</v>
      </c>
      <c r="O881" t="s">
        <v>677</v>
      </c>
      <c r="P881" t="s">
        <v>225</v>
      </c>
    </row>
    <row r="882" spans="11:16" x14ac:dyDescent="0.2">
      <c r="K882">
        <v>2012</v>
      </c>
      <c r="L882" t="s">
        <v>235</v>
      </c>
      <c r="M882" t="s">
        <v>130</v>
      </c>
      <c r="N882">
        <v>157.6</v>
      </c>
      <c r="O882" t="s">
        <v>677</v>
      </c>
      <c r="P882" t="s">
        <v>226</v>
      </c>
    </row>
    <row r="883" spans="11:16" x14ac:dyDescent="0.2">
      <c r="K883">
        <v>2008</v>
      </c>
      <c r="L883" t="s">
        <v>223</v>
      </c>
      <c r="M883" t="s">
        <v>127</v>
      </c>
      <c r="N883">
        <v>170.2</v>
      </c>
      <c r="O883" t="s">
        <v>678</v>
      </c>
      <c r="P883" t="s">
        <v>225</v>
      </c>
    </row>
    <row r="884" spans="11:16" x14ac:dyDescent="0.2">
      <c r="K884">
        <v>2008</v>
      </c>
      <c r="L884" t="s">
        <v>223</v>
      </c>
      <c r="M884" t="s">
        <v>127</v>
      </c>
      <c r="N884">
        <v>170.2</v>
      </c>
      <c r="O884" t="s">
        <v>678</v>
      </c>
      <c r="P884" t="s">
        <v>226</v>
      </c>
    </row>
    <row r="885" spans="11:16" x14ac:dyDescent="0.2">
      <c r="K885">
        <v>2009</v>
      </c>
      <c r="L885" t="s">
        <v>223</v>
      </c>
      <c r="M885" t="s">
        <v>127</v>
      </c>
      <c r="N885">
        <v>174.2</v>
      </c>
      <c r="O885" t="s">
        <v>679</v>
      </c>
      <c r="P885" t="s">
        <v>225</v>
      </c>
    </row>
    <row r="886" spans="11:16" x14ac:dyDescent="0.2">
      <c r="K886">
        <v>2009</v>
      </c>
      <c r="L886" t="s">
        <v>223</v>
      </c>
      <c r="M886" t="s">
        <v>127</v>
      </c>
      <c r="N886">
        <v>174.2</v>
      </c>
      <c r="O886" t="s">
        <v>679</v>
      </c>
      <c r="P886" t="s">
        <v>226</v>
      </c>
    </row>
    <row r="887" spans="11:16" x14ac:dyDescent="0.2">
      <c r="K887">
        <v>2010</v>
      </c>
      <c r="L887" t="s">
        <v>223</v>
      </c>
      <c r="M887" t="s">
        <v>127</v>
      </c>
      <c r="N887">
        <v>171.2</v>
      </c>
      <c r="O887" t="s">
        <v>680</v>
      </c>
      <c r="P887" t="s">
        <v>225</v>
      </c>
    </row>
    <row r="888" spans="11:16" x14ac:dyDescent="0.2">
      <c r="K888">
        <v>2010</v>
      </c>
      <c r="L888" t="s">
        <v>223</v>
      </c>
      <c r="M888" t="s">
        <v>127</v>
      </c>
      <c r="N888">
        <v>171.2</v>
      </c>
      <c r="O888" t="s">
        <v>680</v>
      </c>
      <c r="P888" t="s">
        <v>226</v>
      </c>
    </row>
    <row r="889" spans="11:16" x14ac:dyDescent="0.2">
      <c r="K889">
        <v>2011</v>
      </c>
      <c r="L889" t="s">
        <v>223</v>
      </c>
      <c r="M889" t="s">
        <v>127</v>
      </c>
      <c r="N889">
        <v>171.2</v>
      </c>
      <c r="O889" t="s">
        <v>681</v>
      </c>
      <c r="P889" t="s">
        <v>225</v>
      </c>
    </row>
    <row r="890" spans="11:16" x14ac:dyDescent="0.2">
      <c r="K890">
        <v>2011</v>
      </c>
      <c r="L890" t="s">
        <v>223</v>
      </c>
      <c r="M890" t="s">
        <v>127</v>
      </c>
      <c r="N890">
        <v>171.2</v>
      </c>
      <c r="O890" t="s">
        <v>681</v>
      </c>
      <c r="P890" t="s">
        <v>226</v>
      </c>
    </row>
    <row r="891" spans="11:16" x14ac:dyDescent="0.2">
      <c r="K891">
        <v>2012</v>
      </c>
      <c r="L891" t="s">
        <v>223</v>
      </c>
      <c r="M891" t="s">
        <v>127</v>
      </c>
      <c r="N891">
        <v>171.2</v>
      </c>
      <c r="O891" t="s">
        <v>682</v>
      </c>
      <c r="P891" t="s">
        <v>225</v>
      </c>
    </row>
    <row r="892" spans="11:16" x14ac:dyDescent="0.2">
      <c r="K892">
        <v>2012</v>
      </c>
      <c r="L892" t="s">
        <v>223</v>
      </c>
      <c r="M892" t="s">
        <v>127</v>
      </c>
      <c r="N892">
        <v>171.2</v>
      </c>
      <c r="O892" t="s">
        <v>682</v>
      </c>
      <c r="P892" t="s">
        <v>226</v>
      </c>
    </row>
    <row r="893" spans="11:16" x14ac:dyDescent="0.2">
      <c r="K893">
        <v>2008</v>
      </c>
      <c r="L893" t="s">
        <v>235</v>
      </c>
      <c r="M893" t="s">
        <v>127</v>
      </c>
      <c r="N893">
        <v>170.3</v>
      </c>
      <c r="O893" t="s">
        <v>683</v>
      </c>
      <c r="P893" t="s">
        <v>225</v>
      </c>
    </row>
    <row r="894" spans="11:16" x14ac:dyDescent="0.2">
      <c r="K894">
        <v>2008</v>
      </c>
      <c r="L894" t="s">
        <v>235</v>
      </c>
      <c r="M894" t="s">
        <v>127</v>
      </c>
      <c r="N894">
        <v>170.3</v>
      </c>
      <c r="O894" t="s">
        <v>683</v>
      </c>
      <c r="P894" t="s">
        <v>226</v>
      </c>
    </row>
    <row r="895" spans="11:16" x14ac:dyDescent="0.2">
      <c r="K895">
        <v>2009</v>
      </c>
      <c r="L895" t="s">
        <v>235</v>
      </c>
      <c r="M895" t="s">
        <v>127</v>
      </c>
      <c r="N895">
        <v>170.2</v>
      </c>
      <c r="O895" t="s">
        <v>684</v>
      </c>
      <c r="P895" t="s">
        <v>225</v>
      </c>
    </row>
    <row r="896" spans="11:16" x14ac:dyDescent="0.2">
      <c r="K896">
        <v>2009</v>
      </c>
      <c r="L896" t="s">
        <v>235</v>
      </c>
      <c r="M896" t="s">
        <v>127</v>
      </c>
      <c r="N896">
        <v>170.2</v>
      </c>
      <c r="O896" t="s">
        <v>684</v>
      </c>
      <c r="P896" t="s">
        <v>226</v>
      </c>
    </row>
    <row r="897" spans="11:16" x14ac:dyDescent="0.2">
      <c r="K897">
        <v>2010</v>
      </c>
      <c r="L897" t="s">
        <v>235</v>
      </c>
      <c r="M897" t="s">
        <v>127</v>
      </c>
      <c r="N897">
        <v>170.3</v>
      </c>
      <c r="O897" t="s">
        <v>685</v>
      </c>
      <c r="P897" t="s">
        <v>225</v>
      </c>
    </row>
    <row r="898" spans="11:16" x14ac:dyDescent="0.2">
      <c r="K898">
        <v>2010</v>
      </c>
      <c r="L898" t="s">
        <v>235</v>
      </c>
      <c r="M898" t="s">
        <v>127</v>
      </c>
      <c r="N898">
        <v>170.3</v>
      </c>
      <c r="O898" t="s">
        <v>685</v>
      </c>
      <c r="P898" t="s">
        <v>226</v>
      </c>
    </row>
    <row r="899" spans="11:16" x14ac:dyDescent="0.2">
      <c r="K899">
        <v>2011</v>
      </c>
      <c r="L899" t="s">
        <v>235</v>
      </c>
      <c r="M899" t="s">
        <v>127</v>
      </c>
      <c r="N899">
        <v>170.3</v>
      </c>
      <c r="O899" t="s">
        <v>686</v>
      </c>
      <c r="P899" t="s">
        <v>225</v>
      </c>
    </row>
    <row r="900" spans="11:16" x14ac:dyDescent="0.2">
      <c r="K900">
        <v>2011</v>
      </c>
      <c r="L900" t="s">
        <v>235</v>
      </c>
      <c r="M900" t="s">
        <v>127</v>
      </c>
      <c r="N900">
        <v>170.3</v>
      </c>
      <c r="O900" t="s">
        <v>686</v>
      </c>
      <c r="P900" t="s">
        <v>226</v>
      </c>
    </row>
    <row r="901" spans="11:16" x14ac:dyDescent="0.2">
      <c r="K901">
        <v>2012</v>
      </c>
      <c r="L901" t="s">
        <v>235</v>
      </c>
      <c r="M901" t="s">
        <v>127</v>
      </c>
      <c r="N901">
        <v>169.3</v>
      </c>
      <c r="O901" t="s">
        <v>687</v>
      </c>
      <c r="P901" t="s">
        <v>225</v>
      </c>
    </row>
    <row r="902" spans="11:16" x14ac:dyDescent="0.2">
      <c r="K902">
        <v>2012</v>
      </c>
      <c r="L902" t="s">
        <v>235</v>
      </c>
      <c r="M902" t="s">
        <v>127</v>
      </c>
      <c r="N902">
        <v>169.3</v>
      </c>
      <c r="O902" t="s">
        <v>687</v>
      </c>
      <c r="P902" t="s">
        <v>226</v>
      </c>
    </row>
    <row r="903" spans="11:16" x14ac:dyDescent="0.2">
      <c r="K903">
        <v>2008</v>
      </c>
      <c r="L903" t="s">
        <v>223</v>
      </c>
      <c r="M903" t="s">
        <v>131</v>
      </c>
      <c r="N903">
        <v>265.60000000000002</v>
      </c>
      <c r="O903" t="s">
        <v>688</v>
      </c>
      <c r="P903" t="s">
        <v>225</v>
      </c>
    </row>
    <row r="904" spans="11:16" x14ac:dyDescent="0.2">
      <c r="K904">
        <v>2008</v>
      </c>
      <c r="L904" t="s">
        <v>223</v>
      </c>
      <c r="M904" t="s">
        <v>131</v>
      </c>
      <c r="N904">
        <v>265.60000000000002</v>
      </c>
      <c r="O904" t="s">
        <v>688</v>
      </c>
      <c r="P904" t="s">
        <v>226</v>
      </c>
    </row>
    <row r="905" spans="11:16" x14ac:dyDescent="0.2">
      <c r="K905">
        <v>2009</v>
      </c>
      <c r="L905" t="s">
        <v>223</v>
      </c>
      <c r="M905" t="s">
        <v>131</v>
      </c>
      <c r="N905">
        <v>268.60000000000002</v>
      </c>
      <c r="O905" t="s">
        <v>689</v>
      </c>
      <c r="P905" t="s">
        <v>225</v>
      </c>
    </row>
    <row r="906" spans="11:16" x14ac:dyDescent="0.2">
      <c r="K906">
        <v>2009</v>
      </c>
      <c r="L906" t="s">
        <v>223</v>
      </c>
      <c r="M906" t="s">
        <v>131</v>
      </c>
      <c r="N906">
        <v>268.60000000000002</v>
      </c>
      <c r="O906" t="s">
        <v>689</v>
      </c>
      <c r="P906" t="s">
        <v>226</v>
      </c>
    </row>
    <row r="907" spans="11:16" x14ac:dyDescent="0.2">
      <c r="K907">
        <v>2010</v>
      </c>
      <c r="L907" t="s">
        <v>223</v>
      </c>
      <c r="M907" t="s">
        <v>131</v>
      </c>
      <c r="N907">
        <v>265.60000000000002</v>
      </c>
      <c r="O907" t="s">
        <v>690</v>
      </c>
      <c r="P907" t="s">
        <v>225</v>
      </c>
    </row>
    <row r="908" spans="11:16" x14ac:dyDescent="0.2">
      <c r="K908">
        <v>2010</v>
      </c>
      <c r="L908" t="s">
        <v>223</v>
      </c>
      <c r="M908" t="s">
        <v>131</v>
      </c>
      <c r="N908">
        <v>265.60000000000002</v>
      </c>
      <c r="O908" t="s">
        <v>690</v>
      </c>
      <c r="P908" t="s">
        <v>226</v>
      </c>
    </row>
    <row r="909" spans="11:16" x14ac:dyDescent="0.2">
      <c r="K909">
        <v>2011</v>
      </c>
      <c r="L909" t="s">
        <v>223</v>
      </c>
      <c r="M909" t="s">
        <v>131</v>
      </c>
      <c r="N909">
        <v>265.60000000000002</v>
      </c>
      <c r="O909" t="s">
        <v>691</v>
      </c>
      <c r="P909" t="s">
        <v>225</v>
      </c>
    </row>
    <row r="910" spans="11:16" x14ac:dyDescent="0.2">
      <c r="K910">
        <v>2011</v>
      </c>
      <c r="L910" t="s">
        <v>223</v>
      </c>
      <c r="M910" t="s">
        <v>131</v>
      </c>
      <c r="N910">
        <v>265.60000000000002</v>
      </c>
      <c r="O910" t="s">
        <v>691</v>
      </c>
      <c r="P910" t="s">
        <v>226</v>
      </c>
    </row>
    <row r="911" spans="11:16" x14ac:dyDescent="0.2">
      <c r="K911">
        <v>2012</v>
      </c>
      <c r="L911" t="s">
        <v>223</v>
      </c>
      <c r="M911" t="s">
        <v>131</v>
      </c>
      <c r="N911">
        <v>264.7</v>
      </c>
      <c r="O911" t="s">
        <v>692</v>
      </c>
      <c r="P911" t="s">
        <v>225</v>
      </c>
    </row>
    <row r="912" spans="11:16" x14ac:dyDescent="0.2">
      <c r="K912">
        <v>2012</v>
      </c>
      <c r="L912" t="s">
        <v>223</v>
      </c>
      <c r="M912" t="s">
        <v>131</v>
      </c>
      <c r="N912">
        <v>264.7</v>
      </c>
      <c r="O912" t="s">
        <v>692</v>
      </c>
      <c r="P912" t="s">
        <v>226</v>
      </c>
    </row>
    <row r="913" spans="11:16" x14ac:dyDescent="0.2">
      <c r="K913">
        <v>2008</v>
      </c>
      <c r="L913" t="s">
        <v>235</v>
      </c>
      <c r="M913" t="s">
        <v>131</v>
      </c>
      <c r="N913">
        <v>264.7</v>
      </c>
      <c r="O913" t="s">
        <v>693</v>
      </c>
      <c r="P913" t="s">
        <v>225</v>
      </c>
    </row>
    <row r="914" spans="11:16" x14ac:dyDescent="0.2">
      <c r="K914">
        <v>2008</v>
      </c>
      <c r="L914" t="s">
        <v>235</v>
      </c>
      <c r="M914" t="s">
        <v>131</v>
      </c>
      <c r="N914">
        <v>264.7</v>
      </c>
      <c r="O914" t="s">
        <v>693</v>
      </c>
      <c r="P914" t="s">
        <v>226</v>
      </c>
    </row>
    <row r="915" spans="11:16" x14ac:dyDescent="0.2">
      <c r="K915">
        <v>2009</v>
      </c>
      <c r="L915" t="s">
        <v>235</v>
      </c>
      <c r="M915" t="s">
        <v>131</v>
      </c>
      <c r="N915">
        <v>256.60000000000002</v>
      </c>
      <c r="O915" t="s">
        <v>694</v>
      </c>
      <c r="P915" t="s">
        <v>225</v>
      </c>
    </row>
    <row r="916" spans="11:16" x14ac:dyDescent="0.2">
      <c r="K916">
        <v>2009</v>
      </c>
      <c r="L916" t="s">
        <v>235</v>
      </c>
      <c r="M916" t="s">
        <v>131</v>
      </c>
      <c r="N916">
        <v>256.60000000000002</v>
      </c>
      <c r="O916" t="s">
        <v>694</v>
      </c>
      <c r="P916" t="s">
        <v>226</v>
      </c>
    </row>
    <row r="917" spans="11:16" x14ac:dyDescent="0.2">
      <c r="K917">
        <v>2010</v>
      </c>
      <c r="L917" t="s">
        <v>235</v>
      </c>
      <c r="M917" t="s">
        <v>131</v>
      </c>
      <c r="N917">
        <v>264.7</v>
      </c>
      <c r="O917" t="s">
        <v>695</v>
      </c>
      <c r="P917" t="s">
        <v>225</v>
      </c>
    </row>
    <row r="918" spans="11:16" x14ac:dyDescent="0.2">
      <c r="K918">
        <v>2010</v>
      </c>
      <c r="L918" t="s">
        <v>235</v>
      </c>
      <c r="M918" t="s">
        <v>131</v>
      </c>
      <c r="N918">
        <v>264.7</v>
      </c>
      <c r="O918" t="s">
        <v>695</v>
      </c>
      <c r="P918" t="s">
        <v>226</v>
      </c>
    </row>
    <row r="919" spans="11:16" x14ac:dyDescent="0.2">
      <c r="K919">
        <v>2011</v>
      </c>
      <c r="L919" t="s">
        <v>235</v>
      </c>
      <c r="M919" t="s">
        <v>131</v>
      </c>
      <c r="N919">
        <v>264.7</v>
      </c>
      <c r="O919" t="s">
        <v>696</v>
      </c>
      <c r="P919" t="s">
        <v>225</v>
      </c>
    </row>
    <row r="920" spans="11:16" x14ac:dyDescent="0.2">
      <c r="K920">
        <v>2011</v>
      </c>
      <c r="L920" t="s">
        <v>235</v>
      </c>
      <c r="M920" t="s">
        <v>131</v>
      </c>
      <c r="N920">
        <v>264.7</v>
      </c>
      <c r="O920" t="s">
        <v>696</v>
      </c>
      <c r="P920" t="s">
        <v>226</v>
      </c>
    </row>
    <row r="921" spans="11:16" x14ac:dyDescent="0.2">
      <c r="K921">
        <v>2012</v>
      </c>
      <c r="L921" t="s">
        <v>235</v>
      </c>
      <c r="M921" t="s">
        <v>131</v>
      </c>
      <c r="N921">
        <v>264.10000000000002</v>
      </c>
      <c r="O921" t="s">
        <v>697</v>
      </c>
      <c r="P921" t="s">
        <v>225</v>
      </c>
    </row>
    <row r="922" spans="11:16" x14ac:dyDescent="0.2">
      <c r="K922">
        <v>2012</v>
      </c>
      <c r="L922" t="s">
        <v>235</v>
      </c>
      <c r="M922" t="s">
        <v>131</v>
      </c>
      <c r="N922">
        <v>264.10000000000002</v>
      </c>
      <c r="O922" t="s">
        <v>697</v>
      </c>
      <c r="P922" t="s">
        <v>226</v>
      </c>
    </row>
    <row r="923" spans="11:16" x14ac:dyDescent="0.2">
      <c r="K923">
        <v>2008</v>
      </c>
      <c r="L923" t="s">
        <v>223</v>
      </c>
      <c r="M923" t="s">
        <v>132</v>
      </c>
      <c r="N923">
        <v>195.6</v>
      </c>
      <c r="O923" t="s">
        <v>698</v>
      </c>
      <c r="P923" t="s">
        <v>225</v>
      </c>
    </row>
    <row r="924" spans="11:16" x14ac:dyDescent="0.2">
      <c r="K924">
        <v>2008</v>
      </c>
      <c r="L924" t="s">
        <v>223</v>
      </c>
      <c r="M924" t="s">
        <v>132</v>
      </c>
      <c r="N924">
        <v>195.6</v>
      </c>
      <c r="O924" t="s">
        <v>698</v>
      </c>
      <c r="P924" t="s">
        <v>226</v>
      </c>
    </row>
    <row r="925" spans="11:16" x14ac:dyDescent="0.2">
      <c r="K925">
        <v>2009</v>
      </c>
      <c r="L925" t="s">
        <v>223</v>
      </c>
      <c r="M925" t="s">
        <v>132</v>
      </c>
      <c r="N925">
        <v>195.5</v>
      </c>
      <c r="O925" t="s">
        <v>699</v>
      </c>
      <c r="P925" t="s">
        <v>225</v>
      </c>
    </row>
    <row r="926" spans="11:16" x14ac:dyDescent="0.2">
      <c r="K926">
        <v>2009</v>
      </c>
      <c r="L926" t="s">
        <v>223</v>
      </c>
      <c r="M926" t="s">
        <v>132</v>
      </c>
      <c r="N926">
        <v>195.5</v>
      </c>
      <c r="O926" t="s">
        <v>699</v>
      </c>
      <c r="P926" t="s">
        <v>226</v>
      </c>
    </row>
    <row r="927" spans="11:16" x14ac:dyDescent="0.2">
      <c r="K927">
        <v>2010</v>
      </c>
      <c r="L927" t="s">
        <v>223</v>
      </c>
      <c r="M927" t="s">
        <v>132</v>
      </c>
      <c r="N927">
        <v>195.6</v>
      </c>
      <c r="O927" t="s">
        <v>700</v>
      </c>
      <c r="P927" t="s">
        <v>225</v>
      </c>
    </row>
    <row r="928" spans="11:16" x14ac:dyDescent="0.2">
      <c r="K928">
        <v>2010</v>
      </c>
      <c r="L928" t="s">
        <v>223</v>
      </c>
      <c r="M928" t="s">
        <v>132</v>
      </c>
      <c r="N928">
        <v>195.6</v>
      </c>
      <c r="O928" t="s">
        <v>700</v>
      </c>
      <c r="P928" t="s">
        <v>226</v>
      </c>
    </row>
    <row r="929" spans="11:16" x14ac:dyDescent="0.2">
      <c r="K929">
        <v>2011</v>
      </c>
      <c r="L929" t="s">
        <v>223</v>
      </c>
      <c r="M929" t="s">
        <v>132</v>
      </c>
      <c r="N929">
        <v>195.6</v>
      </c>
      <c r="O929" t="s">
        <v>701</v>
      </c>
      <c r="P929" t="s">
        <v>225</v>
      </c>
    </row>
    <row r="930" spans="11:16" x14ac:dyDescent="0.2">
      <c r="K930">
        <v>2011</v>
      </c>
      <c r="L930" t="s">
        <v>223</v>
      </c>
      <c r="M930" t="s">
        <v>132</v>
      </c>
      <c r="N930">
        <v>195.6</v>
      </c>
      <c r="O930" t="s">
        <v>701</v>
      </c>
      <c r="P930" t="s">
        <v>226</v>
      </c>
    </row>
    <row r="931" spans="11:16" x14ac:dyDescent="0.2">
      <c r="K931">
        <v>2012</v>
      </c>
      <c r="L931" t="s">
        <v>223</v>
      </c>
      <c r="M931" t="s">
        <v>132</v>
      </c>
      <c r="N931">
        <v>194.6</v>
      </c>
      <c r="O931" t="s">
        <v>702</v>
      </c>
      <c r="P931" t="s">
        <v>225</v>
      </c>
    </row>
    <row r="932" spans="11:16" x14ac:dyDescent="0.2">
      <c r="K932">
        <v>2012</v>
      </c>
      <c r="L932" t="s">
        <v>223</v>
      </c>
      <c r="M932" t="s">
        <v>132</v>
      </c>
      <c r="N932">
        <v>194.6</v>
      </c>
      <c r="O932" t="s">
        <v>702</v>
      </c>
      <c r="P932" t="s">
        <v>226</v>
      </c>
    </row>
    <row r="933" spans="11:16" x14ac:dyDescent="0.2">
      <c r="K933">
        <v>2008</v>
      </c>
      <c r="L933" t="s">
        <v>235</v>
      </c>
      <c r="M933" t="s">
        <v>132</v>
      </c>
      <c r="N933">
        <v>193.6</v>
      </c>
      <c r="O933" t="s">
        <v>703</v>
      </c>
      <c r="P933" t="s">
        <v>225</v>
      </c>
    </row>
    <row r="934" spans="11:16" x14ac:dyDescent="0.2">
      <c r="K934">
        <v>2008</v>
      </c>
      <c r="L934" t="s">
        <v>235</v>
      </c>
      <c r="M934" t="s">
        <v>132</v>
      </c>
      <c r="N934">
        <v>193.6</v>
      </c>
      <c r="O934" t="s">
        <v>703</v>
      </c>
      <c r="P934" t="s">
        <v>226</v>
      </c>
    </row>
    <row r="935" spans="11:16" x14ac:dyDescent="0.2">
      <c r="K935">
        <v>2009</v>
      </c>
      <c r="L935" t="s">
        <v>235</v>
      </c>
      <c r="M935" t="s">
        <v>132</v>
      </c>
      <c r="N935">
        <v>192.7</v>
      </c>
      <c r="O935" t="s">
        <v>704</v>
      </c>
      <c r="P935" t="s">
        <v>225</v>
      </c>
    </row>
    <row r="936" spans="11:16" x14ac:dyDescent="0.2">
      <c r="K936">
        <v>2009</v>
      </c>
      <c r="L936" t="s">
        <v>235</v>
      </c>
      <c r="M936" t="s">
        <v>132</v>
      </c>
      <c r="N936">
        <v>192.7</v>
      </c>
      <c r="O936" t="s">
        <v>704</v>
      </c>
      <c r="P936" t="s">
        <v>226</v>
      </c>
    </row>
    <row r="937" spans="11:16" x14ac:dyDescent="0.2">
      <c r="K937">
        <v>2010</v>
      </c>
      <c r="L937" t="s">
        <v>235</v>
      </c>
      <c r="M937" t="s">
        <v>132</v>
      </c>
      <c r="N937">
        <v>193.6</v>
      </c>
      <c r="O937" t="s">
        <v>705</v>
      </c>
      <c r="P937" t="s">
        <v>225</v>
      </c>
    </row>
    <row r="938" spans="11:16" x14ac:dyDescent="0.2">
      <c r="K938">
        <v>2010</v>
      </c>
      <c r="L938" t="s">
        <v>235</v>
      </c>
      <c r="M938" t="s">
        <v>132</v>
      </c>
      <c r="N938">
        <v>193.6</v>
      </c>
      <c r="O938" t="s">
        <v>705</v>
      </c>
      <c r="P938" t="s">
        <v>226</v>
      </c>
    </row>
    <row r="939" spans="11:16" x14ac:dyDescent="0.2">
      <c r="K939">
        <v>2011</v>
      </c>
      <c r="L939" t="s">
        <v>235</v>
      </c>
      <c r="M939" t="s">
        <v>132</v>
      </c>
      <c r="N939">
        <v>192.7</v>
      </c>
      <c r="O939" t="s">
        <v>706</v>
      </c>
      <c r="P939" t="s">
        <v>225</v>
      </c>
    </row>
    <row r="940" spans="11:16" x14ac:dyDescent="0.2">
      <c r="K940">
        <v>2011</v>
      </c>
      <c r="L940" t="s">
        <v>235</v>
      </c>
      <c r="M940" t="s">
        <v>132</v>
      </c>
      <c r="N940">
        <v>192.7</v>
      </c>
      <c r="O940" t="s">
        <v>706</v>
      </c>
      <c r="P940" t="s">
        <v>226</v>
      </c>
    </row>
    <row r="941" spans="11:16" x14ac:dyDescent="0.2">
      <c r="K941">
        <v>2012</v>
      </c>
      <c r="L941" t="s">
        <v>235</v>
      </c>
      <c r="M941" t="s">
        <v>132</v>
      </c>
      <c r="N941">
        <v>193.7</v>
      </c>
      <c r="O941" t="s">
        <v>707</v>
      </c>
      <c r="P941" t="s">
        <v>225</v>
      </c>
    </row>
    <row r="942" spans="11:16" x14ac:dyDescent="0.2">
      <c r="K942">
        <v>2012</v>
      </c>
      <c r="L942" t="s">
        <v>235</v>
      </c>
      <c r="M942" t="s">
        <v>132</v>
      </c>
      <c r="N942">
        <v>193.7</v>
      </c>
      <c r="O942" t="s">
        <v>707</v>
      </c>
      <c r="P942" t="s">
        <v>226</v>
      </c>
    </row>
    <row r="943" spans="11:16" x14ac:dyDescent="0.2">
      <c r="K943">
        <v>2008</v>
      </c>
      <c r="L943" t="s">
        <v>223</v>
      </c>
      <c r="M943" t="s">
        <v>210</v>
      </c>
      <c r="N943">
        <v>68.099999999999994</v>
      </c>
      <c r="O943" t="s">
        <v>708</v>
      </c>
      <c r="P943" t="s">
        <v>225</v>
      </c>
    </row>
    <row r="944" spans="11:16" x14ac:dyDescent="0.2">
      <c r="K944">
        <v>2008</v>
      </c>
      <c r="L944" t="s">
        <v>223</v>
      </c>
      <c r="M944" t="s">
        <v>210</v>
      </c>
      <c r="N944">
        <v>68.099999999999994</v>
      </c>
      <c r="O944" t="s">
        <v>708</v>
      </c>
      <c r="P944" t="s">
        <v>226</v>
      </c>
    </row>
    <row r="945" spans="11:16" x14ac:dyDescent="0.2">
      <c r="K945">
        <v>2010</v>
      </c>
      <c r="L945" t="s">
        <v>223</v>
      </c>
      <c r="M945" t="s">
        <v>210</v>
      </c>
      <c r="N945">
        <v>68.2</v>
      </c>
      <c r="O945" t="s">
        <v>709</v>
      </c>
      <c r="P945" t="s">
        <v>225</v>
      </c>
    </row>
    <row r="946" spans="11:16" x14ac:dyDescent="0.2">
      <c r="K946">
        <v>2010</v>
      </c>
      <c r="L946" t="s">
        <v>223</v>
      </c>
      <c r="M946" t="s">
        <v>210</v>
      </c>
      <c r="N946">
        <v>68.2</v>
      </c>
      <c r="O946" t="s">
        <v>709</v>
      </c>
      <c r="P946" t="s">
        <v>226</v>
      </c>
    </row>
    <row r="947" spans="11:16" x14ac:dyDescent="0.2">
      <c r="K947">
        <v>2012</v>
      </c>
      <c r="L947" t="s">
        <v>223</v>
      </c>
      <c r="M947" t="s">
        <v>210</v>
      </c>
      <c r="N947">
        <v>68.099999999999994</v>
      </c>
      <c r="O947" t="s">
        <v>710</v>
      </c>
      <c r="P947" t="s">
        <v>225</v>
      </c>
    </row>
    <row r="948" spans="11:16" x14ac:dyDescent="0.2">
      <c r="K948">
        <v>2012</v>
      </c>
      <c r="L948" t="s">
        <v>223</v>
      </c>
      <c r="M948" t="s">
        <v>210</v>
      </c>
      <c r="N948">
        <v>68.099999999999994</v>
      </c>
      <c r="O948" t="s">
        <v>710</v>
      </c>
      <c r="P948" t="s">
        <v>226</v>
      </c>
    </row>
    <row r="949" spans="11:16" x14ac:dyDescent="0.2">
      <c r="K949">
        <v>2008</v>
      </c>
      <c r="L949" t="s">
        <v>235</v>
      </c>
      <c r="M949" t="s">
        <v>210</v>
      </c>
      <c r="N949">
        <v>67.099999999999994</v>
      </c>
      <c r="O949" t="s">
        <v>711</v>
      </c>
      <c r="P949" t="s">
        <v>225</v>
      </c>
    </row>
    <row r="950" spans="11:16" x14ac:dyDescent="0.2">
      <c r="K950">
        <v>2008</v>
      </c>
      <c r="L950" t="s">
        <v>235</v>
      </c>
      <c r="M950" t="s">
        <v>210</v>
      </c>
      <c r="N950">
        <v>67.099999999999994</v>
      </c>
      <c r="O950" t="s">
        <v>711</v>
      </c>
      <c r="P950" t="s">
        <v>226</v>
      </c>
    </row>
    <row r="951" spans="11:16" x14ac:dyDescent="0.2">
      <c r="K951">
        <v>2010</v>
      </c>
      <c r="L951" t="s">
        <v>235</v>
      </c>
      <c r="M951" t="s">
        <v>210</v>
      </c>
      <c r="N951">
        <v>67.099999999999994</v>
      </c>
      <c r="O951" t="s">
        <v>712</v>
      </c>
      <c r="P951" t="s">
        <v>225</v>
      </c>
    </row>
    <row r="952" spans="11:16" x14ac:dyDescent="0.2">
      <c r="K952">
        <v>2010</v>
      </c>
      <c r="L952" t="s">
        <v>235</v>
      </c>
      <c r="M952" t="s">
        <v>210</v>
      </c>
      <c r="N952">
        <v>67.099999999999994</v>
      </c>
      <c r="O952" t="s">
        <v>712</v>
      </c>
      <c r="P952" t="s">
        <v>226</v>
      </c>
    </row>
    <row r="953" spans="11:16" x14ac:dyDescent="0.2">
      <c r="K953">
        <v>2012</v>
      </c>
      <c r="L953" t="s">
        <v>235</v>
      </c>
      <c r="M953" t="s">
        <v>210</v>
      </c>
      <c r="N953">
        <v>66.099999999999994</v>
      </c>
      <c r="O953" t="s">
        <v>713</v>
      </c>
      <c r="P953" t="s">
        <v>225</v>
      </c>
    </row>
    <row r="954" spans="11:16" x14ac:dyDescent="0.2">
      <c r="K954">
        <v>2012</v>
      </c>
      <c r="L954" t="s">
        <v>235</v>
      </c>
      <c r="M954" t="s">
        <v>210</v>
      </c>
      <c r="N954">
        <v>66.099999999999994</v>
      </c>
      <c r="O954" t="s">
        <v>713</v>
      </c>
      <c r="P954" t="s">
        <v>226</v>
      </c>
    </row>
    <row r="955" spans="11:16" x14ac:dyDescent="0.2">
      <c r="K955">
        <v>2009</v>
      </c>
      <c r="L955" t="s">
        <v>223</v>
      </c>
      <c r="M955" t="s">
        <v>258</v>
      </c>
      <c r="N955">
        <v>121.6</v>
      </c>
      <c r="O955" t="s">
        <v>714</v>
      </c>
      <c r="P955" t="s">
        <v>225</v>
      </c>
    </row>
    <row r="956" spans="11:16" x14ac:dyDescent="0.2">
      <c r="K956">
        <v>2009</v>
      </c>
      <c r="L956" t="s">
        <v>223</v>
      </c>
      <c r="M956" t="s">
        <v>258</v>
      </c>
      <c r="N956">
        <v>121.6</v>
      </c>
      <c r="O956" t="s">
        <v>714</v>
      </c>
      <c r="P956" t="s">
        <v>226</v>
      </c>
    </row>
    <row r="957" spans="11:16" x14ac:dyDescent="0.2">
      <c r="K957">
        <v>2011</v>
      </c>
      <c r="L957" t="s">
        <v>223</v>
      </c>
      <c r="M957" t="s">
        <v>258</v>
      </c>
      <c r="N957">
        <v>120.7</v>
      </c>
      <c r="O957" t="s">
        <v>715</v>
      </c>
      <c r="P957" t="s">
        <v>225</v>
      </c>
    </row>
    <row r="958" spans="11:16" x14ac:dyDescent="0.2">
      <c r="K958">
        <v>2011</v>
      </c>
      <c r="L958" t="s">
        <v>223</v>
      </c>
      <c r="M958" t="s">
        <v>258</v>
      </c>
      <c r="N958">
        <v>120.7</v>
      </c>
      <c r="O958" t="s">
        <v>715</v>
      </c>
      <c r="P958" t="s">
        <v>226</v>
      </c>
    </row>
    <row r="959" spans="11:16" x14ac:dyDescent="0.2">
      <c r="K959">
        <v>2009</v>
      </c>
      <c r="L959" t="s">
        <v>235</v>
      </c>
      <c r="M959" t="s">
        <v>258</v>
      </c>
      <c r="N959">
        <v>121.6</v>
      </c>
      <c r="O959" t="s">
        <v>716</v>
      </c>
      <c r="P959" t="s">
        <v>225</v>
      </c>
    </row>
    <row r="960" spans="11:16" x14ac:dyDescent="0.2">
      <c r="K960">
        <v>2009</v>
      </c>
      <c r="L960" t="s">
        <v>235</v>
      </c>
      <c r="M960" t="s">
        <v>258</v>
      </c>
      <c r="N960">
        <v>121.6</v>
      </c>
      <c r="O960" t="s">
        <v>716</v>
      </c>
      <c r="P960" t="s">
        <v>226</v>
      </c>
    </row>
    <row r="961" spans="11:16" x14ac:dyDescent="0.2">
      <c r="K961">
        <v>2011</v>
      </c>
      <c r="L961" t="s">
        <v>235</v>
      </c>
      <c r="M961" t="s">
        <v>258</v>
      </c>
      <c r="N961">
        <v>120.6</v>
      </c>
      <c r="O961" t="s">
        <v>717</v>
      </c>
      <c r="P961" t="s">
        <v>225</v>
      </c>
    </row>
    <row r="962" spans="11:16" x14ac:dyDescent="0.2">
      <c r="K962">
        <v>2011</v>
      </c>
      <c r="L962" t="s">
        <v>235</v>
      </c>
      <c r="M962" t="s">
        <v>258</v>
      </c>
      <c r="N962">
        <v>120.6</v>
      </c>
      <c r="O962" t="s">
        <v>717</v>
      </c>
      <c r="P962" t="s">
        <v>226</v>
      </c>
    </row>
    <row r="963" spans="11:16" x14ac:dyDescent="0.2">
      <c r="K963">
        <v>2008</v>
      </c>
      <c r="L963" t="s">
        <v>223</v>
      </c>
      <c r="M963" t="s">
        <v>168</v>
      </c>
      <c r="N963">
        <v>108</v>
      </c>
      <c r="O963" t="s">
        <v>718</v>
      </c>
      <c r="P963" t="s">
        <v>225</v>
      </c>
    </row>
    <row r="964" spans="11:16" x14ac:dyDescent="0.2">
      <c r="K964">
        <v>2008</v>
      </c>
      <c r="L964" t="s">
        <v>223</v>
      </c>
      <c r="M964" t="s">
        <v>168</v>
      </c>
      <c r="N964">
        <v>108</v>
      </c>
      <c r="O964" t="s">
        <v>718</v>
      </c>
      <c r="P964" t="s">
        <v>226</v>
      </c>
    </row>
    <row r="965" spans="11:16" x14ac:dyDescent="0.2">
      <c r="K965">
        <v>2009</v>
      </c>
      <c r="L965" t="s">
        <v>223</v>
      </c>
      <c r="M965" t="s">
        <v>168</v>
      </c>
      <c r="N965">
        <v>107.5</v>
      </c>
      <c r="O965" t="s">
        <v>719</v>
      </c>
      <c r="P965" t="s">
        <v>225</v>
      </c>
    </row>
    <row r="966" spans="11:16" x14ac:dyDescent="0.2">
      <c r="K966">
        <v>2009</v>
      </c>
      <c r="L966" t="s">
        <v>223</v>
      </c>
      <c r="M966" t="s">
        <v>168</v>
      </c>
      <c r="N966">
        <v>107.5</v>
      </c>
      <c r="O966" t="s">
        <v>719</v>
      </c>
      <c r="P966" t="s">
        <v>226</v>
      </c>
    </row>
    <row r="967" spans="11:16" x14ac:dyDescent="0.2">
      <c r="K967">
        <v>2010</v>
      </c>
      <c r="L967" t="s">
        <v>223</v>
      </c>
      <c r="M967" t="s">
        <v>168</v>
      </c>
      <c r="N967">
        <v>106</v>
      </c>
      <c r="O967" t="s">
        <v>720</v>
      </c>
      <c r="P967" t="s">
        <v>225</v>
      </c>
    </row>
    <row r="968" spans="11:16" x14ac:dyDescent="0.2">
      <c r="K968">
        <v>2010</v>
      </c>
      <c r="L968" t="s">
        <v>223</v>
      </c>
      <c r="M968" t="s">
        <v>168</v>
      </c>
      <c r="N968">
        <v>106</v>
      </c>
      <c r="O968" t="s">
        <v>720</v>
      </c>
      <c r="P968" t="s">
        <v>226</v>
      </c>
    </row>
    <row r="969" spans="11:16" x14ac:dyDescent="0.2">
      <c r="K969">
        <v>2011</v>
      </c>
      <c r="L969" t="s">
        <v>223</v>
      </c>
      <c r="M969" t="s">
        <v>168</v>
      </c>
      <c r="N969">
        <v>108</v>
      </c>
      <c r="O969" t="s">
        <v>721</v>
      </c>
      <c r="P969" t="s">
        <v>225</v>
      </c>
    </row>
    <row r="970" spans="11:16" x14ac:dyDescent="0.2">
      <c r="K970">
        <v>2011</v>
      </c>
      <c r="L970" t="s">
        <v>223</v>
      </c>
      <c r="M970" t="s">
        <v>168</v>
      </c>
      <c r="N970">
        <v>108</v>
      </c>
      <c r="O970" t="s">
        <v>721</v>
      </c>
      <c r="P970" t="s">
        <v>226</v>
      </c>
    </row>
    <row r="971" spans="11:16" x14ac:dyDescent="0.2">
      <c r="K971">
        <v>2012</v>
      </c>
      <c r="L971" t="s">
        <v>223</v>
      </c>
      <c r="M971" t="s">
        <v>168</v>
      </c>
      <c r="N971">
        <v>107</v>
      </c>
      <c r="O971" t="s">
        <v>722</v>
      </c>
      <c r="P971" t="s">
        <v>225</v>
      </c>
    </row>
    <row r="972" spans="11:16" x14ac:dyDescent="0.2">
      <c r="K972">
        <v>2012</v>
      </c>
      <c r="L972" t="s">
        <v>223</v>
      </c>
      <c r="M972" t="s">
        <v>168</v>
      </c>
      <c r="N972">
        <v>107</v>
      </c>
      <c r="O972" t="s">
        <v>722</v>
      </c>
      <c r="P972" t="s">
        <v>226</v>
      </c>
    </row>
    <row r="973" spans="11:16" x14ac:dyDescent="0.2">
      <c r="K973">
        <v>2008</v>
      </c>
      <c r="L973" t="s">
        <v>235</v>
      </c>
      <c r="M973" t="s">
        <v>168</v>
      </c>
      <c r="N973">
        <v>107.3</v>
      </c>
      <c r="O973" t="s">
        <v>723</v>
      </c>
      <c r="P973" t="s">
        <v>225</v>
      </c>
    </row>
    <row r="974" spans="11:16" x14ac:dyDescent="0.2">
      <c r="K974">
        <v>2008</v>
      </c>
      <c r="L974" t="s">
        <v>235</v>
      </c>
      <c r="M974" t="s">
        <v>168</v>
      </c>
      <c r="N974">
        <v>107.3</v>
      </c>
      <c r="O974" t="s">
        <v>723</v>
      </c>
      <c r="P974" t="s">
        <v>226</v>
      </c>
    </row>
    <row r="975" spans="11:16" x14ac:dyDescent="0.2">
      <c r="K975">
        <v>2009</v>
      </c>
      <c r="L975" t="s">
        <v>235</v>
      </c>
      <c r="M975" t="s">
        <v>168</v>
      </c>
      <c r="N975">
        <v>112.7</v>
      </c>
      <c r="O975" t="s">
        <v>724</v>
      </c>
      <c r="P975" t="s">
        <v>225</v>
      </c>
    </row>
    <row r="976" spans="11:16" x14ac:dyDescent="0.2">
      <c r="K976">
        <v>2009</v>
      </c>
      <c r="L976" t="s">
        <v>235</v>
      </c>
      <c r="M976" t="s">
        <v>168</v>
      </c>
      <c r="N976">
        <v>112.7</v>
      </c>
      <c r="O976" t="s">
        <v>724</v>
      </c>
      <c r="P976" t="s">
        <v>226</v>
      </c>
    </row>
    <row r="977" spans="11:16" x14ac:dyDescent="0.2">
      <c r="K977">
        <v>2010</v>
      </c>
      <c r="L977" t="s">
        <v>235</v>
      </c>
      <c r="M977" t="s">
        <v>168</v>
      </c>
      <c r="N977">
        <v>106.1</v>
      </c>
      <c r="O977" t="s">
        <v>725</v>
      </c>
      <c r="P977" t="s">
        <v>225</v>
      </c>
    </row>
    <row r="978" spans="11:16" x14ac:dyDescent="0.2">
      <c r="K978">
        <v>2010</v>
      </c>
      <c r="L978" t="s">
        <v>235</v>
      </c>
      <c r="M978" t="s">
        <v>168</v>
      </c>
      <c r="N978">
        <v>106.1</v>
      </c>
      <c r="O978" t="s">
        <v>725</v>
      </c>
      <c r="P978" t="s">
        <v>226</v>
      </c>
    </row>
    <row r="979" spans="11:16" x14ac:dyDescent="0.2">
      <c r="K979">
        <v>2011</v>
      </c>
      <c r="L979" t="s">
        <v>235</v>
      </c>
      <c r="M979" t="s">
        <v>168</v>
      </c>
      <c r="N979">
        <v>106.1</v>
      </c>
      <c r="O979" t="s">
        <v>726</v>
      </c>
      <c r="P979" t="s">
        <v>225</v>
      </c>
    </row>
    <row r="980" spans="11:16" x14ac:dyDescent="0.2">
      <c r="K980">
        <v>2011</v>
      </c>
      <c r="L980" t="s">
        <v>235</v>
      </c>
      <c r="M980" t="s">
        <v>168</v>
      </c>
      <c r="N980">
        <v>106.1</v>
      </c>
      <c r="O980" t="s">
        <v>726</v>
      </c>
      <c r="P980" t="s">
        <v>226</v>
      </c>
    </row>
    <row r="981" spans="11:16" x14ac:dyDescent="0.2">
      <c r="K981">
        <v>2012</v>
      </c>
      <c r="L981" t="s">
        <v>235</v>
      </c>
      <c r="M981" t="s">
        <v>168</v>
      </c>
      <c r="N981">
        <v>106</v>
      </c>
      <c r="O981" t="s">
        <v>727</v>
      </c>
      <c r="P981" t="s">
        <v>225</v>
      </c>
    </row>
    <row r="982" spans="11:16" x14ac:dyDescent="0.2">
      <c r="K982">
        <v>2012</v>
      </c>
      <c r="L982" t="s">
        <v>235</v>
      </c>
      <c r="M982" t="s">
        <v>168</v>
      </c>
      <c r="N982">
        <v>106</v>
      </c>
      <c r="O982" t="s">
        <v>727</v>
      </c>
      <c r="P982" t="s">
        <v>226</v>
      </c>
    </row>
    <row r="983" spans="11:16" x14ac:dyDescent="0.2">
      <c r="K983">
        <v>2008</v>
      </c>
      <c r="L983" t="s">
        <v>223</v>
      </c>
      <c r="M983" t="s">
        <v>167</v>
      </c>
      <c r="N983">
        <v>139.1</v>
      </c>
      <c r="O983" t="s">
        <v>728</v>
      </c>
      <c r="P983" t="s">
        <v>225</v>
      </c>
    </row>
    <row r="984" spans="11:16" x14ac:dyDescent="0.2">
      <c r="K984">
        <v>2008</v>
      </c>
      <c r="L984" t="s">
        <v>223</v>
      </c>
      <c r="M984" t="s">
        <v>167</v>
      </c>
      <c r="N984">
        <v>139.1</v>
      </c>
      <c r="O984" t="s">
        <v>728</v>
      </c>
      <c r="P984" t="s">
        <v>226</v>
      </c>
    </row>
    <row r="985" spans="11:16" x14ac:dyDescent="0.2">
      <c r="K985">
        <v>2009</v>
      </c>
      <c r="L985" t="s">
        <v>223</v>
      </c>
      <c r="M985" t="s">
        <v>167</v>
      </c>
      <c r="N985">
        <v>142.1</v>
      </c>
      <c r="O985" t="s">
        <v>729</v>
      </c>
      <c r="P985" t="s">
        <v>225</v>
      </c>
    </row>
    <row r="986" spans="11:16" x14ac:dyDescent="0.2">
      <c r="K986">
        <v>2009</v>
      </c>
      <c r="L986" t="s">
        <v>223</v>
      </c>
      <c r="M986" t="s">
        <v>167</v>
      </c>
      <c r="N986">
        <v>142.1</v>
      </c>
      <c r="O986" t="s">
        <v>729</v>
      </c>
      <c r="P986" t="s">
        <v>226</v>
      </c>
    </row>
    <row r="987" spans="11:16" x14ac:dyDescent="0.2">
      <c r="K987">
        <v>2010</v>
      </c>
      <c r="L987" t="s">
        <v>223</v>
      </c>
      <c r="M987" t="s">
        <v>167</v>
      </c>
      <c r="N987">
        <v>139.1</v>
      </c>
      <c r="O987" t="s">
        <v>730</v>
      </c>
      <c r="P987" t="s">
        <v>225</v>
      </c>
    </row>
    <row r="988" spans="11:16" x14ac:dyDescent="0.2">
      <c r="K988">
        <v>2010</v>
      </c>
      <c r="L988" t="s">
        <v>223</v>
      </c>
      <c r="M988" t="s">
        <v>167</v>
      </c>
      <c r="N988">
        <v>139.1</v>
      </c>
      <c r="O988" t="s">
        <v>730</v>
      </c>
      <c r="P988" t="s">
        <v>226</v>
      </c>
    </row>
    <row r="989" spans="11:16" x14ac:dyDescent="0.2">
      <c r="K989">
        <v>2011</v>
      </c>
      <c r="L989" t="s">
        <v>223</v>
      </c>
      <c r="M989" t="s">
        <v>167</v>
      </c>
      <c r="N989">
        <v>139.1</v>
      </c>
      <c r="O989" t="s">
        <v>731</v>
      </c>
      <c r="P989" t="s">
        <v>225</v>
      </c>
    </row>
    <row r="990" spans="11:16" x14ac:dyDescent="0.2">
      <c r="K990">
        <v>2011</v>
      </c>
      <c r="L990" t="s">
        <v>223</v>
      </c>
      <c r="M990" t="s">
        <v>167</v>
      </c>
      <c r="N990">
        <v>139.1</v>
      </c>
      <c r="O990" t="s">
        <v>731</v>
      </c>
      <c r="P990" t="s">
        <v>226</v>
      </c>
    </row>
    <row r="991" spans="11:16" x14ac:dyDescent="0.2">
      <c r="K991">
        <v>2012</v>
      </c>
      <c r="L991" t="s">
        <v>223</v>
      </c>
      <c r="M991" t="s">
        <v>167</v>
      </c>
      <c r="N991">
        <v>139</v>
      </c>
      <c r="O991" t="s">
        <v>732</v>
      </c>
      <c r="P991" t="s">
        <v>225</v>
      </c>
    </row>
    <row r="992" spans="11:16" x14ac:dyDescent="0.2">
      <c r="K992">
        <v>2012</v>
      </c>
      <c r="L992" t="s">
        <v>223</v>
      </c>
      <c r="M992" t="s">
        <v>167</v>
      </c>
      <c r="N992">
        <v>139</v>
      </c>
      <c r="O992" t="s">
        <v>732</v>
      </c>
      <c r="P992" t="s">
        <v>226</v>
      </c>
    </row>
    <row r="993" spans="11:16" x14ac:dyDescent="0.2">
      <c r="K993">
        <v>2008</v>
      </c>
      <c r="L993" t="s">
        <v>235</v>
      </c>
      <c r="M993" t="s">
        <v>167</v>
      </c>
      <c r="N993">
        <v>139.1</v>
      </c>
      <c r="O993" t="s">
        <v>733</v>
      </c>
      <c r="P993" t="s">
        <v>225</v>
      </c>
    </row>
    <row r="994" spans="11:16" x14ac:dyDescent="0.2">
      <c r="K994">
        <v>2008</v>
      </c>
      <c r="L994" t="s">
        <v>235</v>
      </c>
      <c r="M994" t="s">
        <v>167</v>
      </c>
      <c r="N994">
        <v>139.1</v>
      </c>
      <c r="O994" t="s">
        <v>733</v>
      </c>
      <c r="P994" t="s">
        <v>226</v>
      </c>
    </row>
    <row r="995" spans="11:16" x14ac:dyDescent="0.2">
      <c r="K995">
        <v>2009</v>
      </c>
      <c r="L995" t="s">
        <v>235</v>
      </c>
      <c r="M995" t="s">
        <v>167</v>
      </c>
      <c r="N995">
        <v>139.1</v>
      </c>
      <c r="O995" t="s">
        <v>734</v>
      </c>
      <c r="P995" t="s">
        <v>225</v>
      </c>
    </row>
    <row r="996" spans="11:16" x14ac:dyDescent="0.2">
      <c r="K996">
        <v>2009</v>
      </c>
      <c r="L996" t="s">
        <v>235</v>
      </c>
      <c r="M996" t="s">
        <v>167</v>
      </c>
      <c r="N996">
        <v>139.1</v>
      </c>
      <c r="O996" t="s">
        <v>734</v>
      </c>
      <c r="P996" t="s">
        <v>226</v>
      </c>
    </row>
    <row r="997" spans="11:16" x14ac:dyDescent="0.2">
      <c r="K997">
        <v>2010</v>
      </c>
      <c r="L997" t="s">
        <v>235</v>
      </c>
      <c r="M997" t="s">
        <v>167</v>
      </c>
      <c r="N997">
        <v>115.8</v>
      </c>
      <c r="O997" t="s">
        <v>735</v>
      </c>
      <c r="P997" t="s">
        <v>225</v>
      </c>
    </row>
    <row r="998" spans="11:16" x14ac:dyDescent="0.2">
      <c r="K998">
        <v>2010</v>
      </c>
      <c r="L998" t="s">
        <v>235</v>
      </c>
      <c r="M998" t="s">
        <v>167</v>
      </c>
      <c r="N998">
        <v>115.8</v>
      </c>
      <c r="O998" t="s">
        <v>735</v>
      </c>
      <c r="P998" t="s">
        <v>226</v>
      </c>
    </row>
    <row r="999" spans="11:16" x14ac:dyDescent="0.2">
      <c r="K999">
        <v>2011</v>
      </c>
      <c r="L999" t="s">
        <v>235</v>
      </c>
      <c r="M999" t="s">
        <v>167</v>
      </c>
      <c r="N999">
        <v>139.1</v>
      </c>
      <c r="O999" t="s">
        <v>736</v>
      </c>
      <c r="P999" t="s">
        <v>225</v>
      </c>
    </row>
    <row r="1000" spans="11:16" x14ac:dyDescent="0.2">
      <c r="K1000">
        <v>2011</v>
      </c>
      <c r="L1000" t="s">
        <v>235</v>
      </c>
      <c r="M1000" t="s">
        <v>167</v>
      </c>
      <c r="N1000">
        <v>139.1</v>
      </c>
      <c r="O1000" t="s">
        <v>736</v>
      </c>
      <c r="P1000" t="s">
        <v>226</v>
      </c>
    </row>
    <row r="1001" spans="11:16" x14ac:dyDescent="0.2">
      <c r="K1001">
        <v>2012</v>
      </c>
      <c r="L1001" t="s">
        <v>235</v>
      </c>
      <c r="M1001" t="s">
        <v>167</v>
      </c>
      <c r="N1001">
        <v>138.1</v>
      </c>
      <c r="O1001" t="s">
        <v>737</v>
      </c>
      <c r="P1001" t="s">
        <v>225</v>
      </c>
    </row>
    <row r="1002" spans="11:16" x14ac:dyDescent="0.2">
      <c r="K1002">
        <v>2012</v>
      </c>
      <c r="L1002" t="s">
        <v>235</v>
      </c>
      <c r="M1002" t="s">
        <v>167</v>
      </c>
      <c r="N1002">
        <v>138.1</v>
      </c>
      <c r="O1002" t="s">
        <v>737</v>
      </c>
      <c r="P1002" t="s">
        <v>226</v>
      </c>
    </row>
    <row r="1003" spans="11:16" x14ac:dyDescent="0.2">
      <c r="K1003">
        <v>2008</v>
      </c>
      <c r="L1003" t="s">
        <v>223</v>
      </c>
      <c r="M1003" t="s">
        <v>169</v>
      </c>
      <c r="N1003">
        <v>141.1</v>
      </c>
      <c r="O1003" t="s">
        <v>738</v>
      </c>
      <c r="P1003" t="s">
        <v>225</v>
      </c>
    </row>
    <row r="1004" spans="11:16" x14ac:dyDescent="0.2">
      <c r="K1004">
        <v>2008</v>
      </c>
      <c r="L1004" t="s">
        <v>223</v>
      </c>
      <c r="M1004" t="s">
        <v>169</v>
      </c>
      <c r="N1004">
        <v>141.1</v>
      </c>
      <c r="O1004" t="s">
        <v>738</v>
      </c>
      <c r="P1004" t="s">
        <v>226</v>
      </c>
    </row>
    <row r="1005" spans="11:16" x14ac:dyDescent="0.2">
      <c r="K1005">
        <v>2009</v>
      </c>
      <c r="L1005" t="s">
        <v>223</v>
      </c>
      <c r="M1005" t="s">
        <v>169</v>
      </c>
      <c r="N1005">
        <v>145.1</v>
      </c>
      <c r="O1005" t="s">
        <v>739</v>
      </c>
      <c r="P1005" t="s">
        <v>225</v>
      </c>
    </row>
    <row r="1006" spans="11:16" x14ac:dyDescent="0.2">
      <c r="K1006">
        <v>2009</v>
      </c>
      <c r="L1006" t="s">
        <v>223</v>
      </c>
      <c r="M1006" t="s">
        <v>169</v>
      </c>
      <c r="N1006">
        <v>145.1</v>
      </c>
      <c r="O1006" t="s">
        <v>739</v>
      </c>
      <c r="P1006" t="s">
        <v>226</v>
      </c>
    </row>
    <row r="1007" spans="11:16" x14ac:dyDescent="0.2">
      <c r="K1007">
        <v>2010</v>
      </c>
      <c r="L1007" t="s">
        <v>223</v>
      </c>
      <c r="M1007" t="s">
        <v>169</v>
      </c>
      <c r="N1007">
        <v>140.1</v>
      </c>
      <c r="O1007" t="s">
        <v>740</v>
      </c>
      <c r="P1007" t="s">
        <v>225</v>
      </c>
    </row>
    <row r="1008" spans="11:16" x14ac:dyDescent="0.2">
      <c r="K1008">
        <v>2010</v>
      </c>
      <c r="L1008" t="s">
        <v>223</v>
      </c>
      <c r="M1008" t="s">
        <v>169</v>
      </c>
      <c r="N1008">
        <v>140.1</v>
      </c>
      <c r="O1008" t="s">
        <v>740</v>
      </c>
      <c r="P1008" t="s">
        <v>226</v>
      </c>
    </row>
    <row r="1009" spans="11:16" x14ac:dyDescent="0.2">
      <c r="K1009">
        <v>2011</v>
      </c>
      <c r="L1009" t="s">
        <v>223</v>
      </c>
      <c r="M1009" t="s">
        <v>169</v>
      </c>
      <c r="N1009">
        <v>141.1</v>
      </c>
      <c r="O1009" t="s">
        <v>741</v>
      </c>
      <c r="P1009" t="s">
        <v>225</v>
      </c>
    </row>
    <row r="1010" spans="11:16" x14ac:dyDescent="0.2">
      <c r="K1010">
        <v>2011</v>
      </c>
      <c r="L1010" t="s">
        <v>223</v>
      </c>
      <c r="M1010" t="s">
        <v>169</v>
      </c>
      <c r="N1010">
        <v>141.1</v>
      </c>
      <c r="O1010" t="s">
        <v>741</v>
      </c>
      <c r="P1010" t="s">
        <v>226</v>
      </c>
    </row>
    <row r="1011" spans="11:16" x14ac:dyDescent="0.2">
      <c r="K1011">
        <v>2012</v>
      </c>
      <c r="L1011" t="s">
        <v>223</v>
      </c>
      <c r="M1011" t="s">
        <v>169</v>
      </c>
      <c r="N1011">
        <v>140.1</v>
      </c>
      <c r="O1011" t="s">
        <v>742</v>
      </c>
      <c r="P1011" t="s">
        <v>225</v>
      </c>
    </row>
    <row r="1012" spans="11:16" x14ac:dyDescent="0.2">
      <c r="K1012">
        <v>2012</v>
      </c>
      <c r="L1012" t="s">
        <v>223</v>
      </c>
      <c r="M1012" t="s">
        <v>169</v>
      </c>
      <c r="N1012">
        <v>140.1</v>
      </c>
      <c r="O1012" t="s">
        <v>742</v>
      </c>
      <c r="P1012" t="s">
        <v>226</v>
      </c>
    </row>
    <row r="1013" spans="11:16" x14ac:dyDescent="0.2">
      <c r="K1013">
        <v>2008</v>
      </c>
      <c r="L1013" t="s">
        <v>235</v>
      </c>
      <c r="M1013" t="s">
        <v>169</v>
      </c>
      <c r="N1013">
        <v>140.1</v>
      </c>
      <c r="O1013" t="s">
        <v>743</v>
      </c>
      <c r="P1013" t="s">
        <v>225</v>
      </c>
    </row>
    <row r="1014" spans="11:16" x14ac:dyDescent="0.2">
      <c r="K1014">
        <v>2008</v>
      </c>
      <c r="L1014" t="s">
        <v>235</v>
      </c>
      <c r="M1014" t="s">
        <v>169</v>
      </c>
      <c r="N1014">
        <v>140.1</v>
      </c>
      <c r="O1014" t="s">
        <v>743</v>
      </c>
      <c r="P1014" t="s">
        <v>226</v>
      </c>
    </row>
    <row r="1015" spans="11:16" x14ac:dyDescent="0.2">
      <c r="K1015">
        <v>2009</v>
      </c>
      <c r="L1015" t="s">
        <v>235</v>
      </c>
      <c r="M1015" t="s">
        <v>169</v>
      </c>
      <c r="N1015">
        <v>140.1</v>
      </c>
      <c r="O1015" t="s">
        <v>744</v>
      </c>
      <c r="P1015" t="s">
        <v>225</v>
      </c>
    </row>
    <row r="1016" spans="11:16" x14ac:dyDescent="0.2">
      <c r="K1016">
        <v>2009</v>
      </c>
      <c r="L1016" t="s">
        <v>235</v>
      </c>
      <c r="M1016" t="s">
        <v>169</v>
      </c>
      <c r="N1016">
        <v>140.1</v>
      </c>
      <c r="O1016" t="s">
        <v>744</v>
      </c>
      <c r="P1016" t="s">
        <v>226</v>
      </c>
    </row>
    <row r="1017" spans="11:16" x14ac:dyDescent="0.2">
      <c r="K1017">
        <v>2010</v>
      </c>
      <c r="L1017" t="s">
        <v>235</v>
      </c>
      <c r="M1017" t="s">
        <v>169</v>
      </c>
      <c r="N1017">
        <v>140.1</v>
      </c>
      <c r="O1017" t="s">
        <v>745</v>
      </c>
      <c r="P1017" t="s">
        <v>225</v>
      </c>
    </row>
    <row r="1018" spans="11:16" x14ac:dyDescent="0.2">
      <c r="K1018">
        <v>2010</v>
      </c>
      <c r="L1018" t="s">
        <v>235</v>
      </c>
      <c r="M1018" t="s">
        <v>169</v>
      </c>
      <c r="N1018">
        <v>140.1</v>
      </c>
      <c r="O1018" t="s">
        <v>745</v>
      </c>
      <c r="P1018" t="s">
        <v>226</v>
      </c>
    </row>
    <row r="1019" spans="11:16" x14ac:dyDescent="0.2">
      <c r="K1019">
        <v>2011</v>
      </c>
      <c r="L1019" t="s">
        <v>235</v>
      </c>
      <c r="M1019" t="s">
        <v>169</v>
      </c>
      <c r="N1019">
        <v>140.1</v>
      </c>
      <c r="O1019" t="s">
        <v>746</v>
      </c>
      <c r="P1019" t="s">
        <v>225</v>
      </c>
    </row>
    <row r="1020" spans="11:16" x14ac:dyDescent="0.2">
      <c r="K1020">
        <v>2011</v>
      </c>
      <c r="L1020" t="s">
        <v>235</v>
      </c>
      <c r="M1020" t="s">
        <v>169</v>
      </c>
      <c r="N1020">
        <v>140.1</v>
      </c>
      <c r="O1020" t="s">
        <v>746</v>
      </c>
      <c r="P1020" t="s">
        <v>226</v>
      </c>
    </row>
    <row r="1021" spans="11:16" x14ac:dyDescent="0.2">
      <c r="K1021">
        <v>2012</v>
      </c>
      <c r="L1021" t="s">
        <v>235</v>
      </c>
      <c r="M1021" t="s">
        <v>169</v>
      </c>
      <c r="N1021">
        <v>139.1</v>
      </c>
      <c r="O1021" t="s">
        <v>747</v>
      </c>
      <c r="P1021" t="s">
        <v>225</v>
      </c>
    </row>
    <row r="1022" spans="11:16" x14ac:dyDescent="0.2">
      <c r="K1022">
        <v>2012</v>
      </c>
      <c r="L1022" t="s">
        <v>235</v>
      </c>
      <c r="M1022" t="s">
        <v>169</v>
      </c>
      <c r="N1022">
        <v>139.1</v>
      </c>
      <c r="O1022" t="s">
        <v>747</v>
      </c>
      <c r="P1022" t="s">
        <v>226</v>
      </c>
    </row>
    <row r="1023" spans="11:16" x14ac:dyDescent="0.2">
      <c r="K1023">
        <v>2008</v>
      </c>
      <c r="L1023" t="s">
        <v>223</v>
      </c>
      <c r="M1023" t="s">
        <v>170</v>
      </c>
      <c r="N1023">
        <v>136.19999999999999</v>
      </c>
      <c r="O1023" t="s">
        <v>748</v>
      </c>
      <c r="P1023" t="s">
        <v>225</v>
      </c>
    </row>
    <row r="1024" spans="11:16" x14ac:dyDescent="0.2">
      <c r="K1024">
        <v>2008</v>
      </c>
      <c r="L1024" t="s">
        <v>223</v>
      </c>
      <c r="M1024" t="s">
        <v>170</v>
      </c>
      <c r="N1024">
        <v>136.19999999999999</v>
      </c>
      <c r="O1024" t="s">
        <v>748</v>
      </c>
      <c r="P1024" t="s">
        <v>226</v>
      </c>
    </row>
    <row r="1025" spans="11:16" x14ac:dyDescent="0.2">
      <c r="K1025">
        <v>2009</v>
      </c>
      <c r="L1025" t="s">
        <v>223</v>
      </c>
      <c r="M1025" t="s">
        <v>170</v>
      </c>
      <c r="N1025">
        <v>132.30000000000001</v>
      </c>
      <c r="O1025" t="s">
        <v>749</v>
      </c>
      <c r="P1025" t="s">
        <v>225</v>
      </c>
    </row>
    <row r="1026" spans="11:16" x14ac:dyDescent="0.2">
      <c r="K1026">
        <v>2009</v>
      </c>
      <c r="L1026" t="s">
        <v>223</v>
      </c>
      <c r="M1026" t="s">
        <v>170</v>
      </c>
      <c r="N1026">
        <v>132.30000000000001</v>
      </c>
      <c r="O1026" t="s">
        <v>749</v>
      </c>
      <c r="P1026" t="s">
        <v>226</v>
      </c>
    </row>
    <row r="1027" spans="11:16" x14ac:dyDescent="0.2">
      <c r="K1027">
        <v>2010</v>
      </c>
      <c r="L1027" t="s">
        <v>223</v>
      </c>
      <c r="M1027" t="s">
        <v>170</v>
      </c>
      <c r="N1027">
        <v>130.9</v>
      </c>
      <c r="O1027" t="s">
        <v>750</v>
      </c>
      <c r="P1027" t="s">
        <v>225</v>
      </c>
    </row>
    <row r="1028" spans="11:16" x14ac:dyDescent="0.2">
      <c r="K1028">
        <v>2010</v>
      </c>
      <c r="L1028" t="s">
        <v>223</v>
      </c>
      <c r="M1028" t="s">
        <v>170</v>
      </c>
      <c r="N1028">
        <v>130.9</v>
      </c>
      <c r="O1028" t="s">
        <v>750</v>
      </c>
      <c r="P1028" t="s">
        <v>226</v>
      </c>
    </row>
    <row r="1029" spans="11:16" x14ac:dyDescent="0.2">
      <c r="K1029">
        <v>2011</v>
      </c>
      <c r="L1029" t="s">
        <v>223</v>
      </c>
      <c r="M1029" t="s">
        <v>170</v>
      </c>
      <c r="N1029">
        <v>132.30000000000001</v>
      </c>
      <c r="O1029" t="s">
        <v>751</v>
      </c>
      <c r="P1029" t="s">
        <v>225</v>
      </c>
    </row>
    <row r="1030" spans="11:16" x14ac:dyDescent="0.2">
      <c r="K1030">
        <v>2011</v>
      </c>
      <c r="L1030" t="s">
        <v>223</v>
      </c>
      <c r="M1030" t="s">
        <v>170</v>
      </c>
      <c r="N1030">
        <v>132.30000000000001</v>
      </c>
      <c r="O1030" t="s">
        <v>751</v>
      </c>
      <c r="P1030" t="s">
        <v>226</v>
      </c>
    </row>
    <row r="1031" spans="11:16" x14ac:dyDescent="0.2">
      <c r="K1031">
        <v>2012</v>
      </c>
      <c r="L1031" t="s">
        <v>223</v>
      </c>
      <c r="M1031" t="s">
        <v>170</v>
      </c>
      <c r="N1031">
        <v>132.30000000000001</v>
      </c>
      <c r="O1031" t="s">
        <v>752</v>
      </c>
      <c r="P1031" t="s">
        <v>225</v>
      </c>
    </row>
    <row r="1032" spans="11:16" x14ac:dyDescent="0.2">
      <c r="K1032">
        <v>2012</v>
      </c>
      <c r="L1032" t="s">
        <v>223</v>
      </c>
      <c r="M1032" t="s">
        <v>170</v>
      </c>
      <c r="N1032">
        <v>132.30000000000001</v>
      </c>
      <c r="O1032" t="s">
        <v>752</v>
      </c>
      <c r="P1032" t="s">
        <v>226</v>
      </c>
    </row>
    <row r="1033" spans="11:16" x14ac:dyDescent="0.2">
      <c r="K1033">
        <v>2008</v>
      </c>
      <c r="L1033" t="s">
        <v>235</v>
      </c>
      <c r="M1033" t="s">
        <v>170</v>
      </c>
      <c r="N1033">
        <v>131.30000000000001</v>
      </c>
      <c r="O1033" t="s">
        <v>753</v>
      </c>
      <c r="P1033" t="s">
        <v>225</v>
      </c>
    </row>
    <row r="1034" spans="11:16" x14ac:dyDescent="0.2">
      <c r="K1034">
        <v>2008</v>
      </c>
      <c r="L1034" t="s">
        <v>235</v>
      </c>
      <c r="M1034" t="s">
        <v>170</v>
      </c>
      <c r="N1034">
        <v>131.30000000000001</v>
      </c>
      <c r="O1034" t="s">
        <v>753</v>
      </c>
      <c r="P1034" t="s">
        <v>226</v>
      </c>
    </row>
    <row r="1035" spans="11:16" x14ac:dyDescent="0.2">
      <c r="K1035">
        <v>2009</v>
      </c>
      <c r="L1035" t="s">
        <v>235</v>
      </c>
      <c r="M1035" t="s">
        <v>170</v>
      </c>
      <c r="N1035">
        <v>131.4</v>
      </c>
      <c r="O1035" t="s">
        <v>754</v>
      </c>
      <c r="P1035" t="s">
        <v>225</v>
      </c>
    </row>
    <row r="1036" spans="11:16" x14ac:dyDescent="0.2">
      <c r="K1036">
        <v>2009</v>
      </c>
      <c r="L1036" t="s">
        <v>235</v>
      </c>
      <c r="M1036" t="s">
        <v>170</v>
      </c>
      <c r="N1036">
        <v>131.4</v>
      </c>
      <c r="O1036" t="s">
        <v>754</v>
      </c>
      <c r="P1036" t="s">
        <v>226</v>
      </c>
    </row>
    <row r="1037" spans="11:16" x14ac:dyDescent="0.2">
      <c r="K1037">
        <v>2010</v>
      </c>
      <c r="L1037" t="s">
        <v>235</v>
      </c>
      <c r="M1037" t="s">
        <v>170</v>
      </c>
      <c r="N1037">
        <v>128.30000000000001</v>
      </c>
      <c r="O1037" t="s">
        <v>755</v>
      </c>
      <c r="P1037" t="s">
        <v>225</v>
      </c>
    </row>
    <row r="1038" spans="11:16" x14ac:dyDescent="0.2">
      <c r="K1038">
        <v>2010</v>
      </c>
      <c r="L1038" t="s">
        <v>235</v>
      </c>
      <c r="M1038" t="s">
        <v>170</v>
      </c>
      <c r="N1038">
        <v>128.30000000000001</v>
      </c>
      <c r="O1038" t="s">
        <v>755</v>
      </c>
      <c r="P1038" t="s">
        <v>226</v>
      </c>
    </row>
    <row r="1039" spans="11:16" x14ac:dyDescent="0.2">
      <c r="K1039">
        <v>2011</v>
      </c>
      <c r="L1039" t="s">
        <v>235</v>
      </c>
      <c r="M1039" t="s">
        <v>170</v>
      </c>
      <c r="N1039">
        <v>131.4</v>
      </c>
      <c r="O1039" t="s">
        <v>756</v>
      </c>
      <c r="P1039" t="s">
        <v>225</v>
      </c>
    </row>
    <row r="1040" spans="11:16" x14ac:dyDescent="0.2">
      <c r="K1040">
        <v>2011</v>
      </c>
      <c r="L1040" t="s">
        <v>235</v>
      </c>
      <c r="M1040" t="s">
        <v>170</v>
      </c>
      <c r="N1040">
        <v>131.4</v>
      </c>
      <c r="O1040" t="s">
        <v>756</v>
      </c>
      <c r="P1040" t="s">
        <v>226</v>
      </c>
    </row>
    <row r="1041" spans="11:16" x14ac:dyDescent="0.2">
      <c r="K1041">
        <v>2012</v>
      </c>
      <c r="L1041" t="s">
        <v>235</v>
      </c>
      <c r="M1041" t="s">
        <v>170</v>
      </c>
      <c r="N1041">
        <v>131.1</v>
      </c>
      <c r="O1041" t="s">
        <v>757</v>
      </c>
      <c r="P1041" t="s">
        <v>225</v>
      </c>
    </row>
    <row r="1042" spans="11:16" x14ac:dyDescent="0.2">
      <c r="K1042">
        <v>2012</v>
      </c>
      <c r="L1042" t="s">
        <v>235</v>
      </c>
      <c r="M1042" t="s">
        <v>170</v>
      </c>
      <c r="N1042">
        <v>131.1</v>
      </c>
      <c r="O1042" t="s">
        <v>757</v>
      </c>
      <c r="P1042" t="s">
        <v>226</v>
      </c>
    </row>
    <row r="1043" spans="11:16" x14ac:dyDescent="0.2">
      <c r="K1043">
        <v>2008</v>
      </c>
      <c r="L1043" t="s">
        <v>223</v>
      </c>
      <c r="M1043" t="s">
        <v>171</v>
      </c>
      <c r="N1043">
        <v>50.1</v>
      </c>
      <c r="O1043" t="s">
        <v>758</v>
      </c>
      <c r="P1043" t="s">
        <v>225</v>
      </c>
    </row>
    <row r="1044" spans="11:16" x14ac:dyDescent="0.2">
      <c r="K1044">
        <v>2008</v>
      </c>
      <c r="L1044" t="s">
        <v>223</v>
      </c>
      <c r="M1044" t="s">
        <v>171</v>
      </c>
      <c r="N1044">
        <v>50.1</v>
      </c>
      <c r="O1044" t="s">
        <v>758</v>
      </c>
      <c r="P1044" t="s">
        <v>226</v>
      </c>
    </row>
    <row r="1045" spans="11:16" x14ac:dyDescent="0.2">
      <c r="K1045">
        <v>2009</v>
      </c>
      <c r="L1045" t="s">
        <v>223</v>
      </c>
      <c r="M1045" t="s">
        <v>171</v>
      </c>
      <c r="N1045">
        <v>49.8</v>
      </c>
      <c r="O1045" t="s">
        <v>759</v>
      </c>
      <c r="P1045" t="s">
        <v>225</v>
      </c>
    </row>
    <row r="1046" spans="11:16" x14ac:dyDescent="0.2">
      <c r="K1046">
        <v>2009</v>
      </c>
      <c r="L1046" t="s">
        <v>223</v>
      </c>
      <c r="M1046" t="s">
        <v>171</v>
      </c>
      <c r="N1046">
        <v>49.8</v>
      </c>
      <c r="O1046" t="s">
        <v>759</v>
      </c>
      <c r="P1046" t="s">
        <v>226</v>
      </c>
    </row>
    <row r="1047" spans="11:16" x14ac:dyDescent="0.2">
      <c r="K1047">
        <v>2010</v>
      </c>
      <c r="L1047" t="s">
        <v>223</v>
      </c>
      <c r="M1047" t="s">
        <v>171</v>
      </c>
      <c r="N1047">
        <v>49.5</v>
      </c>
      <c r="O1047" t="s">
        <v>760</v>
      </c>
      <c r="P1047" t="s">
        <v>225</v>
      </c>
    </row>
    <row r="1048" spans="11:16" x14ac:dyDescent="0.2">
      <c r="K1048">
        <v>2010</v>
      </c>
      <c r="L1048" t="s">
        <v>223</v>
      </c>
      <c r="M1048" t="s">
        <v>171</v>
      </c>
      <c r="N1048">
        <v>49.5</v>
      </c>
      <c r="O1048" t="s">
        <v>760</v>
      </c>
      <c r="P1048" t="s">
        <v>226</v>
      </c>
    </row>
    <row r="1049" spans="11:16" x14ac:dyDescent="0.2">
      <c r="K1049">
        <v>2011</v>
      </c>
      <c r="L1049" t="s">
        <v>223</v>
      </c>
      <c r="M1049" t="s">
        <v>171</v>
      </c>
      <c r="N1049">
        <v>49.6</v>
      </c>
      <c r="O1049" t="s">
        <v>761</v>
      </c>
      <c r="P1049" t="s">
        <v>225</v>
      </c>
    </row>
    <row r="1050" spans="11:16" x14ac:dyDescent="0.2">
      <c r="K1050">
        <v>2011</v>
      </c>
      <c r="L1050" t="s">
        <v>223</v>
      </c>
      <c r="M1050" t="s">
        <v>171</v>
      </c>
      <c r="N1050">
        <v>49.6</v>
      </c>
      <c r="O1050" t="s">
        <v>761</v>
      </c>
      <c r="P1050" t="s">
        <v>226</v>
      </c>
    </row>
    <row r="1051" spans="11:16" x14ac:dyDescent="0.2">
      <c r="K1051">
        <v>2012</v>
      </c>
      <c r="L1051" t="s">
        <v>223</v>
      </c>
      <c r="M1051" t="s">
        <v>171</v>
      </c>
      <c r="N1051">
        <v>49.6</v>
      </c>
      <c r="O1051" t="s">
        <v>762</v>
      </c>
      <c r="P1051" t="s">
        <v>225</v>
      </c>
    </row>
    <row r="1052" spans="11:16" x14ac:dyDescent="0.2">
      <c r="K1052">
        <v>2012</v>
      </c>
      <c r="L1052" t="s">
        <v>223</v>
      </c>
      <c r="M1052" t="s">
        <v>171</v>
      </c>
      <c r="N1052">
        <v>49.6</v>
      </c>
      <c r="O1052" t="s">
        <v>762</v>
      </c>
      <c r="P1052" t="s">
        <v>226</v>
      </c>
    </row>
    <row r="1053" spans="11:16" x14ac:dyDescent="0.2">
      <c r="K1053">
        <v>2008</v>
      </c>
      <c r="L1053" t="s">
        <v>235</v>
      </c>
      <c r="M1053" t="s">
        <v>171</v>
      </c>
      <c r="N1053">
        <v>49.6</v>
      </c>
      <c r="O1053" t="s">
        <v>763</v>
      </c>
      <c r="P1053" t="s">
        <v>225</v>
      </c>
    </row>
    <row r="1054" spans="11:16" x14ac:dyDescent="0.2">
      <c r="K1054">
        <v>2008</v>
      </c>
      <c r="L1054" t="s">
        <v>235</v>
      </c>
      <c r="M1054" t="s">
        <v>171</v>
      </c>
      <c r="N1054">
        <v>49.6</v>
      </c>
      <c r="O1054" t="s">
        <v>763</v>
      </c>
      <c r="P1054" t="s">
        <v>226</v>
      </c>
    </row>
    <row r="1055" spans="11:16" x14ac:dyDescent="0.2">
      <c r="K1055">
        <v>2009</v>
      </c>
      <c r="L1055" t="s">
        <v>235</v>
      </c>
      <c r="M1055" t="s">
        <v>171</v>
      </c>
      <c r="N1055">
        <v>48.6</v>
      </c>
      <c r="O1055" t="s">
        <v>764</v>
      </c>
      <c r="P1055" t="s">
        <v>225</v>
      </c>
    </row>
    <row r="1056" spans="11:16" x14ac:dyDescent="0.2">
      <c r="K1056">
        <v>2009</v>
      </c>
      <c r="L1056" t="s">
        <v>235</v>
      </c>
      <c r="M1056" t="s">
        <v>171</v>
      </c>
      <c r="N1056">
        <v>48.6</v>
      </c>
      <c r="O1056" t="s">
        <v>764</v>
      </c>
      <c r="P1056" t="s">
        <v>226</v>
      </c>
    </row>
    <row r="1057" spans="11:16" x14ac:dyDescent="0.2">
      <c r="K1057">
        <v>2010</v>
      </c>
      <c r="L1057" t="s">
        <v>235</v>
      </c>
      <c r="M1057" t="s">
        <v>171</v>
      </c>
      <c r="N1057">
        <v>48.7</v>
      </c>
      <c r="O1057" t="s">
        <v>765</v>
      </c>
      <c r="P1057" t="s">
        <v>225</v>
      </c>
    </row>
    <row r="1058" spans="11:16" x14ac:dyDescent="0.2">
      <c r="K1058">
        <v>2010</v>
      </c>
      <c r="L1058" t="s">
        <v>235</v>
      </c>
      <c r="M1058" t="s">
        <v>171</v>
      </c>
      <c r="N1058">
        <v>48.7</v>
      </c>
      <c r="O1058" t="s">
        <v>765</v>
      </c>
      <c r="P1058" t="s">
        <v>226</v>
      </c>
    </row>
    <row r="1059" spans="11:16" x14ac:dyDescent="0.2">
      <c r="K1059">
        <v>2011</v>
      </c>
      <c r="L1059" t="s">
        <v>235</v>
      </c>
      <c r="M1059" t="s">
        <v>171</v>
      </c>
      <c r="N1059">
        <v>48.7</v>
      </c>
      <c r="O1059" t="s">
        <v>766</v>
      </c>
      <c r="P1059" t="s">
        <v>225</v>
      </c>
    </row>
    <row r="1060" spans="11:16" x14ac:dyDescent="0.2">
      <c r="K1060">
        <v>2011</v>
      </c>
      <c r="L1060" t="s">
        <v>235</v>
      </c>
      <c r="M1060" t="s">
        <v>171</v>
      </c>
      <c r="N1060">
        <v>48.7</v>
      </c>
      <c r="O1060" t="s">
        <v>766</v>
      </c>
      <c r="P1060" t="s">
        <v>226</v>
      </c>
    </row>
    <row r="1061" spans="11:16" x14ac:dyDescent="0.2">
      <c r="K1061">
        <v>2012</v>
      </c>
      <c r="L1061" t="s">
        <v>235</v>
      </c>
      <c r="M1061" t="s">
        <v>171</v>
      </c>
      <c r="N1061">
        <v>48.9</v>
      </c>
      <c r="O1061" t="s">
        <v>767</v>
      </c>
      <c r="P1061" t="s">
        <v>225</v>
      </c>
    </row>
    <row r="1062" spans="11:16" x14ac:dyDescent="0.2">
      <c r="K1062">
        <v>2012</v>
      </c>
      <c r="L1062" t="s">
        <v>235</v>
      </c>
      <c r="M1062" t="s">
        <v>171</v>
      </c>
      <c r="N1062">
        <v>48.9</v>
      </c>
      <c r="O1062" t="s">
        <v>767</v>
      </c>
      <c r="P1062" t="s">
        <v>226</v>
      </c>
    </row>
    <row r="1063" spans="11:16" x14ac:dyDescent="0.2">
      <c r="K1063">
        <v>2008</v>
      </c>
      <c r="L1063" t="s">
        <v>223</v>
      </c>
      <c r="M1063" t="s">
        <v>174</v>
      </c>
      <c r="N1063">
        <v>196.6</v>
      </c>
      <c r="O1063" t="s">
        <v>768</v>
      </c>
      <c r="P1063" t="s">
        <v>225</v>
      </c>
    </row>
    <row r="1064" spans="11:16" x14ac:dyDescent="0.2">
      <c r="K1064">
        <v>2008</v>
      </c>
      <c r="L1064" t="s">
        <v>223</v>
      </c>
      <c r="M1064" t="s">
        <v>174</v>
      </c>
      <c r="N1064">
        <v>196.6</v>
      </c>
      <c r="O1064" t="s">
        <v>768</v>
      </c>
      <c r="P1064" t="s">
        <v>226</v>
      </c>
    </row>
    <row r="1065" spans="11:16" x14ac:dyDescent="0.2">
      <c r="K1065">
        <v>2009</v>
      </c>
      <c r="L1065" t="s">
        <v>223</v>
      </c>
      <c r="M1065" t="s">
        <v>174</v>
      </c>
      <c r="N1065">
        <v>199.5</v>
      </c>
      <c r="O1065" t="s">
        <v>769</v>
      </c>
      <c r="P1065" t="s">
        <v>225</v>
      </c>
    </row>
    <row r="1066" spans="11:16" x14ac:dyDescent="0.2">
      <c r="K1066">
        <v>2009</v>
      </c>
      <c r="L1066" t="s">
        <v>223</v>
      </c>
      <c r="M1066" t="s">
        <v>174</v>
      </c>
      <c r="N1066">
        <v>199.5</v>
      </c>
      <c r="O1066" t="s">
        <v>769</v>
      </c>
      <c r="P1066" t="s">
        <v>226</v>
      </c>
    </row>
    <row r="1067" spans="11:16" x14ac:dyDescent="0.2">
      <c r="K1067">
        <v>2010</v>
      </c>
      <c r="L1067" t="s">
        <v>223</v>
      </c>
      <c r="M1067" t="s">
        <v>174</v>
      </c>
      <c r="N1067">
        <v>197</v>
      </c>
      <c r="O1067" t="s">
        <v>770</v>
      </c>
      <c r="P1067" t="s">
        <v>225</v>
      </c>
    </row>
    <row r="1068" spans="11:16" x14ac:dyDescent="0.2">
      <c r="K1068">
        <v>2010</v>
      </c>
      <c r="L1068" t="s">
        <v>223</v>
      </c>
      <c r="M1068" t="s">
        <v>174</v>
      </c>
      <c r="N1068">
        <v>197</v>
      </c>
      <c r="O1068" t="s">
        <v>770</v>
      </c>
      <c r="P1068" t="s">
        <v>226</v>
      </c>
    </row>
    <row r="1069" spans="11:16" x14ac:dyDescent="0.2">
      <c r="K1069">
        <v>2011</v>
      </c>
      <c r="L1069" t="s">
        <v>223</v>
      </c>
      <c r="M1069" t="s">
        <v>174</v>
      </c>
      <c r="N1069">
        <v>196.5</v>
      </c>
      <c r="O1069" t="s">
        <v>771</v>
      </c>
      <c r="P1069" t="s">
        <v>225</v>
      </c>
    </row>
    <row r="1070" spans="11:16" x14ac:dyDescent="0.2">
      <c r="K1070">
        <v>2011</v>
      </c>
      <c r="L1070" t="s">
        <v>223</v>
      </c>
      <c r="M1070" t="s">
        <v>174</v>
      </c>
      <c r="N1070">
        <v>196.5</v>
      </c>
      <c r="O1070" t="s">
        <v>771</v>
      </c>
      <c r="P1070" t="s">
        <v>226</v>
      </c>
    </row>
    <row r="1071" spans="11:16" x14ac:dyDescent="0.2">
      <c r="K1071">
        <v>2012</v>
      </c>
      <c r="L1071" t="s">
        <v>223</v>
      </c>
      <c r="M1071" t="s">
        <v>174</v>
      </c>
      <c r="N1071">
        <v>195.6</v>
      </c>
      <c r="O1071" t="s">
        <v>772</v>
      </c>
      <c r="P1071" t="s">
        <v>225</v>
      </c>
    </row>
    <row r="1072" spans="11:16" x14ac:dyDescent="0.2">
      <c r="K1072">
        <v>2012</v>
      </c>
      <c r="L1072" t="s">
        <v>223</v>
      </c>
      <c r="M1072" t="s">
        <v>174</v>
      </c>
      <c r="N1072">
        <v>195.6</v>
      </c>
      <c r="O1072" t="s">
        <v>772</v>
      </c>
      <c r="P1072" t="s">
        <v>226</v>
      </c>
    </row>
    <row r="1073" spans="11:16" x14ac:dyDescent="0.2">
      <c r="K1073">
        <v>2008</v>
      </c>
      <c r="L1073" t="s">
        <v>235</v>
      </c>
      <c r="M1073" t="s">
        <v>174</v>
      </c>
      <c r="N1073">
        <v>195.5</v>
      </c>
      <c r="O1073" t="s">
        <v>773</v>
      </c>
      <c r="P1073" t="s">
        <v>225</v>
      </c>
    </row>
    <row r="1074" spans="11:16" x14ac:dyDescent="0.2">
      <c r="K1074">
        <v>2008</v>
      </c>
      <c r="L1074" t="s">
        <v>235</v>
      </c>
      <c r="M1074" t="s">
        <v>174</v>
      </c>
      <c r="N1074">
        <v>195.5</v>
      </c>
      <c r="O1074" t="s">
        <v>773</v>
      </c>
      <c r="P1074" t="s">
        <v>226</v>
      </c>
    </row>
    <row r="1075" spans="11:16" x14ac:dyDescent="0.2">
      <c r="K1075">
        <v>2009</v>
      </c>
      <c r="L1075" t="s">
        <v>235</v>
      </c>
      <c r="M1075" t="s">
        <v>174</v>
      </c>
      <c r="N1075">
        <v>195.5</v>
      </c>
      <c r="O1075" t="s">
        <v>774</v>
      </c>
      <c r="P1075" t="s">
        <v>225</v>
      </c>
    </row>
    <row r="1076" spans="11:16" x14ac:dyDescent="0.2">
      <c r="K1076">
        <v>2009</v>
      </c>
      <c r="L1076" t="s">
        <v>235</v>
      </c>
      <c r="M1076" t="s">
        <v>174</v>
      </c>
      <c r="N1076">
        <v>195.5</v>
      </c>
      <c r="O1076" t="s">
        <v>774</v>
      </c>
      <c r="P1076" t="s">
        <v>226</v>
      </c>
    </row>
    <row r="1077" spans="11:16" x14ac:dyDescent="0.2">
      <c r="K1077">
        <v>2010</v>
      </c>
      <c r="L1077" t="s">
        <v>235</v>
      </c>
      <c r="M1077" t="s">
        <v>174</v>
      </c>
      <c r="N1077">
        <v>195.6</v>
      </c>
      <c r="O1077" t="s">
        <v>775</v>
      </c>
      <c r="P1077" t="s">
        <v>225</v>
      </c>
    </row>
    <row r="1078" spans="11:16" x14ac:dyDescent="0.2">
      <c r="K1078">
        <v>2010</v>
      </c>
      <c r="L1078" t="s">
        <v>235</v>
      </c>
      <c r="M1078" t="s">
        <v>174</v>
      </c>
      <c r="N1078">
        <v>195.6</v>
      </c>
      <c r="O1078" t="s">
        <v>775</v>
      </c>
      <c r="P1078" t="s">
        <v>226</v>
      </c>
    </row>
    <row r="1079" spans="11:16" x14ac:dyDescent="0.2">
      <c r="K1079">
        <v>2011</v>
      </c>
      <c r="L1079" t="s">
        <v>235</v>
      </c>
      <c r="M1079" t="s">
        <v>174</v>
      </c>
      <c r="N1079">
        <v>195.6</v>
      </c>
      <c r="O1079" t="s">
        <v>776</v>
      </c>
      <c r="P1079" t="s">
        <v>225</v>
      </c>
    </row>
    <row r="1080" spans="11:16" x14ac:dyDescent="0.2">
      <c r="K1080">
        <v>2011</v>
      </c>
      <c r="L1080" t="s">
        <v>235</v>
      </c>
      <c r="M1080" t="s">
        <v>174</v>
      </c>
      <c r="N1080">
        <v>195.6</v>
      </c>
      <c r="O1080" t="s">
        <v>776</v>
      </c>
      <c r="P1080" t="s">
        <v>226</v>
      </c>
    </row>
    <row r="1081" spans="11:16" x14ac:dyDescent="0.2">
      <c r="K1081">
        <v>2012</v>
      </c>
      <c r="L1081" t="s">
        <v>235</v>
      </c>
      <c r="M1081" t="s">
        <v>174</v>
      </c>
      <c r="N1081">
        <v>196.6</v>
      </c>
      <c r="O1081" t="s">
        <v>777</v>
      </c>
      <c r="P1081" t="s">
        <v>225</v>
      </c>
    </row>
    <row r="1082" spans="11:16" x14ac:dyDescent="0.2">
      <c r="K1082">
        <v>2012</v>
      </c>
      <c r="L1082" t="s">
        <v>235</v>
      </c>
      <c r="M1082" t="s">
        <v>174</v>
      </c>
      <c r="N1082">
        <v>196.6</v>
      </c>
      <c r="O1082" t="s">
        <v>777</v>
      </c>
      <c r="P1082" t="s">
        <v>226</v>
      </c>
    </row>
    <row r="1083" spans="11:16" x14ac:dyDescent="0.2">
      <c r="K1083">
        <v>2008</v>
      </c>
      <c r="L1083" t="s">
        <v>223</v>
      </c>
      <c r="M1083" t="s">
        <v>173</v>
      </c>
      <c r="N1083">
        <v>155.69999999999999</v>
      </c>
      <c r="O1083" t="s">
        <v>778</v>
      </c>
      <c r="P1083" t="s">
        <v>225</v>
      </c>
    </row>
    <row r="1084" spans="11:16" x14ac:dyDescent="0.2">
      <c r="K1084">
        <v>2008</v>
      </c>
      <c r="L1084" t="s">
        <v>223</v>
      </c>
      <c r="M1084" t="s">
        <v>173</v>
      </c>
      <c r="N1084">
        <v>155.69999999999999</v>
      </c>
      <c r="O1084" t="s">
        <v>778</v>
      </c>
      <c r="P1084" t="s">
        <v>226</v>
      </c>
    </row>
    <row r="1085" spans="11:16" x14ac:dyDescent="0.2">
      <c r="K1085">
        <v>2009</v>
      </c>
      <c r="L1085" t="s">
        <v>223</v>
      </c>
      <c r="M1085" t="s">
        <v>173</v>
      </c>
      <c r="N1085">
        <v>158.69999999999999</v>
      </c>
      <c r="O1085" t="s">
        <v>779</v>
      </c>
      <c r="P1085" t="s">
        <v>225</v>
      </c>
    </row>
    <row r="1086" spans="11:16" x14ac:dyDescent="0.2">
      <c r="K1086">
        <v>2009</v>
      </c>
      <c r="L1086" t="s">
        <v>223</v>
      </c>
      <c r="M1086" t="s">
        <v>173</v>
      </c>
      <c r="N1086">
        <v>158.69999999999999</v>
      </c>
      <c r="O1086" t="s">
        <v>779</v>
      </c>
      <c r="P1086" t="s">
        <v>226</v>
      </c>
    </row>
    <row r="1087" spans="11:16" x14ac:dyDescent="0.2">
      <c r="K1087">
        <v>2010</v>
      </c>
      <c r="L1087" t="s">
        <v>223</v>
      </c>
      <c r="M1087" t="s">
        <v>173</v>
      </c>
      <c r="N1087">
        <v>155.19999999999999</v>
      </c>
      <c r="O1087" t="s">
        <v>780</v>
      </c>
      <c r="P1087" t="s">
        <v>225</v>
      </c>
    </row>
    <row r="1088" spans="11:16" x14ac:dyDescent="0.2">
      <c r="K1088">
        <v>2010</v>
      </c>
      <c r="L1088" t="s">
        <v>223</v>
      </c>
      <c r="M1088" t="s">
        <v>173</v>
      </c>
      <c r="N1088">
        <v>155.19999999999999</v>
      </c>
      <c r="O1088" t="s">
        <v>780</v>
      </c>
      <c r="P1088" t="s">
        <v>226</v>
      </c>
    </row>
    <row r="1089" spans="11:16" x14ac:dyDescent="0.2">
      <c r="K1089">
        <v>2011</v>
      </c>
      <c r="L1089" t="s">
        <v>223</v>
      </c>
      <c r="M1089" t="s">
        <v>173</v>
      </c>
      <c r="N1089">
        <v>156.6</v>
      </c>
      <c r="O1089" t="s">
        <v>781</v>
      </c>
      <c r="P1089" t="s">
        <v>225</v>
      </c>
    </row>
    <row r="1090" spans="11:16" x14ac:dyDescent="0.2">
      <c r="K1090">
        <v>2011</v>
      </c>
      <c r="L1090" t="s">
        <v>223</v>
      </c>
      <c r="M1090" t="s">
        <v>173</v>
      </c>
      <c r="N1090">
        <v>156.6</v>
      </c>
      <c r="O1090" t="s">
        <v>781</v>
      </c>
      <c r="P1090" t="s">
        <v>226</v>
      </c>
    </row>
    <row r="1091" spans="11:16" x14ac:dyDescent="0.2">
      <c r="K1091">
        <v>2012</v>
      </c>
      <c r="L1091" t="s">
        <v>223</v>
      </c>
      <c r="M1091" t="s">
        <v>173</v>
      </c>
      <c r="N1091">
        <v>155.69999999999999</v>
      </c>
      <c r="O1091" t="s">
        <v>782</v>
      </c>
      <c r="P1091" t="s">
        <v>225</v>
      </c>
    </row>
    <row r="1092" spans="11:16" x14ac:dyDescent="0.2">
      <c r="K1092">
        <v>2012</v>
      </c>
      <c r="L1092" t="s">
        <v>223</v>
      </c>
      <c r="M1092" t="s">
        <v>173</v>
      </c>
      <c r="N1092">
        <v>155.69999999999999</v>
      </c>
      <c r="O1092" t="s">
        <v>782</v>
      </c>
      <c r="P1092" t="s">
        <v>226</v>
      </c>
    </row>
    <row r="1093" spans="11:16" x14ac:dyDescent="0.2">
      <c r="K1093">
        <v>2008</v>
      </c>
      <c r="L1093" t="s">
        <v>235</v>
      </c>
      <c r="M1093" t="s">
        <v>173</v>
      </c>
      <c r="N1093">
        <v>155.6</v>
      </c>
      <c r="O1093" t="s">
        <v>783</v>
      </c>
      <c r="P1093" t="s">
        <v>225</v>
      </c>
    </row>
    <row r="1094" spans="11:16" x14ac:dyDescent="0.2">
      <c r="K1094">
        <v>2008</v>
      </c>
      <c r="L1094" t="s">
        <v>235</v>
      </c>
      <c r="M1094" t="s">
        <v>173</v>
      </c>
      <c r="N1094">
        <v>155.6</v>
      </c>
      <c r="O1094" t="s">
        <v>783</v>
      </c>
      <c r="P1094" t="s">
        <v>226</v>
      </c>
    </row>
    <row r="1095" spans="11:16" x14ac:dyDescent="0.2">
      <c r="K1095">
        <v>2009</v>
      </c>
      <c r="L1095" t="s">
        <v>235</v>
      </c>
      <c r="M1095" t="s">
        <v>173</v>
      </c>
      <c r="N1095">
        <v>153.69999999999999</v>
      </c>
      <c r="O1095" t="s">
        <v>784</v>
      </c>
      <c r="P1095" t="s">
        <v>225</v>
      </c>
    </row>
    <row r="1096" spans="11:16" x14ac:dyDescent="0.2">
      <c r="K1096">
        <v>2009</v>
      </c>
      <c r="L1096" t="s">
        <v>235</v>
      </c>
      <c r="M1096" t="s">
        <v>173</v>
      </c>
      <c r="N1096">
        <v>153.69999999999999</v>
      </c>
      <c r="O1096" t="s">
        <v>784</v>
      </c>
      <c r="P1096" t="s">
        <v>226</v>
      </c>
    </row>
    <row r="1097" spans="11:16" x14ac:dyDescent="0.2">
      <c r="K1097">
        <v>2010</v>
      </c>
      <c r="L1097" t="s">
        <v>235</v>
      </c>
      <c r="M1097" t="s">
        <v>173</v>
      </c>
      <c r="N1097">
        <v>153.69999999999999</v>
      </c>
      <c r="O1097" t="s">
        <v>785</v>
      </c>
      <c r="P1097" t="s">
        <v>225</v>
      </c>
    </row>
    <row r="1098" spans="11:16" x14ac:dyDescent="0.2">
      <c r="K1098">
        <v>2010</v>
      </c>
      <c r="L1098" t="s">
        <v>235</v>
      </c>
      <c r="M1098" t="s">
        <v>173</v>
      </c>
      <c r="N1098">
        <v>153.69999999999999</v>
      </c>
      <c r="O1098" t="s">
        <v>785</v>
      </c>
      <c r="P1098" t="s">
        <v>226</v>
      </c>
    </row>
    <row r="1099" spans="11:16" x14ac:dyDescent="0.2">
      <c r="K1099">
        <v>2011</v>
      </c>
      <c r="L1099" t="s">
        <v>235</v>
      </c>
      <c r="M1099" t="s">
        <v>173</v>
      </c>
      <c r="N1099">
        <v>153.69999999999999</v>
      </c>
      <c r="O1099" t="s">
        <v>786</v>
      </c>
      <c r="P1099" t="s">
        <v>225</v>
      </c>
    </row>
    <row r="1100" spans="11:16" x14ac:dyDescent="0.2">
      <c r="K1100">
        <v>2011</v>
      </c>
      <c r="L1100" t="s">
        <v>235</v>
      </c>
      <c r="M1100" t="s">
        <v>173</v>
      </c>
      <c r="N1100">
        <v>153.69999999999999</v>
      </c>
      <c r="O1100" t="s">
        <v>786</v>
      </c>
      <c r="P1100" t="s">
        <v>226</v>
      </c>
    </row>
    <row r="1101" spans="11:16" x14ac:dyDescent="0.2">
      <c r="K1101">
        <v>2012</v>
      </c>
      <c r="L1101" t="s">
        <v>235</v>
      </c>
      <c r="M1101" t="s">
        <v>173</v>
      </c>
      <c r="N1101">
        <v>153.69999999999999</v>
      </c>
      <c r="O1101" t="s">
        <v>787</v>
      </c>
      <c r="P1101" t="s">
        <v>225</v>
      </c>
    </row>
    <row r="1102" spans="11:16" x14ac:dyDescent="0.2">
      <c r="K1102">
        <v>2012</v>
      </c>
      <c r="L1102" t="s">
        <v>235</v>
      </c>
      <c r="M1102" t="s">
        <v>173</v>
      </c>
      <c r="N1102">
        <v>153.69999999999999</v>
      </c>
      <c r="O1102" t="s">
        <v>787</v>
      </c>
      <c r="P1102" t="s">
        <v>226</v>
      </c>
    </row>
    <row r="1103" spans="11:16" x14ac:dyDescent="0.2">
      <c r="K1103">
        <v>2008</v>
      </c>
      <c r="L1103" t="s">
        <v>223</v>
      </c>
      <c r="M1103" t="s">
        <v>172</v>
      </c>
      <c r="N1103">
        <v>89.5</v>
      </c>
      <c r="O1103" t="s">
        <v>788</v>
      </c>
      <c r="P1103" t="s">
        <v>225</v>
      </c>
    </row>
    <row r="1104" spans="11:16" x14ac:dyDescent="0.2">
      <c r="K1104">
        <v>2008</v>
      </c>
      <c r="L1104" t="s">
        <v>223</v>
      </c>
      <c r="M1104" t="s">
        <v>172</v>
      </c>
      <c r="N1104">
        <v>89.5</v>
      </c>
      <c r="O1104" t="s">
        <v>788</v>
      </c>
      <c r="P1104" t="s">
        <v>226</v>
      </c>
    </row>
    <row r="1105" spans="11:16" x14ac:dyDescent="0.2">
      <c r="K1105">
        <v>2009</v>
      </c>
      <c r="L1105" t="s">
        <v>223</v>
      </c>
      <c r="M1105" t="s">
        <v>172</v>
      </c>
      <c r="N1105">
        <v>89.7</v>
      </c>
      <c r="O1105" t="s">
        <v>789</v>
      </c>
      <c r="P1105" t="s">
        <v>225</v>
      </c>
    </row>
    <row r="1106" spans="11:16" x14ac:dyDescent="0.2">
      <c r="K1106">
        <v>2009</v>
      </c>
      <c r="L1106" t="s">
        <v>223</v>
      </c>
      <c r="M1106" t="s">
        <v>172</v>
      </c>
      <c r="N1106">
        <v>89.7</v>
      </c>
      <c r="O1106" t="s">
        <v>789</v>
      </c>
      <c r="P1106" t="s">
        <v>226</v>
      </c>
    </row>
    <row r="1107" spans="11:16" x14ac:dyDescent="0.2">
      <c r="K1107">
        <v>2010</v>
      </c>
      <c r="L1107" t="s">
        <v>223</v>
      </c>
      <c r="M1107" t="s">
        <v>172</v>
      </c>
      <c r="N1107">
        <v>88.5</v>
      </c>
      <c r="O1107" t="s">
        <v>790</v>
      </c>
      <c r="P1107" t="s">
        <v>225</v>
      </c>
    </row>
    <row r="1108" spans="11:16" x14ac:dyDescent="0.2">
      <c r="K1108">
        <v>2010</v>
      </c>
      <c r="L1108" t="s">
        <v>223</v>
      </c>
      <c r="M1108" t="s">
        <v>172</v>
      </c>
      <c r="N1108">
        <v>88.5</v>
      </c>
      <c r="O1108" t="s">
        <v>790</v>
      </c>
      <c r="P1108" t="s">
        <v>226</v>
      </c>
    </row>
    <row r="1109" spans="11:16" x14ac:dyDescent="0.2">
      <c r="K1109">
        <v>2011</v>
      </c>
      <c r="L1109" t="s">
        <v>223</v>
      </c>
      <c r="M1109" t="s">
        <v>172</v>
      </c>
      <c r="N1109">
        <v>89.5</v>
      </c>
      <c r="O1109" t="s">
        <v>791</v>
      </c>
      <c r="P1109" t="s">
        <v>225</v>
      </c>
    </row>
    <row r="1110" spans="11:16" x14ac:dyDescent="0.2">
      <c r="K1110">
        <v>2011</v>
      </c>
      <c r="L1110" t="s">
        <v>223</v>
      </c>
      <c r="M1110" t="s">
        <v>172</v>
      </c>
      <c r="N1110">
        <v>89.5</v>
      </c>
      <c r="O1110" t="s">
        <v>791</v>
      </c>
      <c r="P1110" t="s">
        <v>226</v>
      </c>
    </row>
    <row r="1111" spans="11:16" x14ac:dyDescent="0.2">
      <c r="K1111">
        <v>2012</v>
      </c>
      <c r="L1111" t="s">
        <v>223</v>
      </c>
      <c r="M1111" t="s">
        <v>172</v>
      </c>
      <c r="N1111">
        <v>88.5</v>
      </c>
      <c r="O1111" t="s">
        <v>792</v>
      </c>
      <c r="P1111" t="s">
        <v>225</v>
      </c>
    </row>
    <row r="1112" spans="11:16" x14ac:dyDescent="0.2">
      <c r="K1112">
        <v>2012</v>
      </c>
      <c r="L1112" t="s">
        <v>223</v>
      </c>
      <c r="M1112" t="s">
        <v>172</v>
      </c>
      <c r="N1112">
        <v>88.5</v>
      </c>
      <c r="O1112" t="s">
        <v>792</v>
      </c>
      <c r="P1112" t="s">
        <v>226</v>
      </c>
    </row>
    <row r="1113" spans="11:16" x14ac:dyDescent="0.2">
      <c r="K1113">
        <v>2008</v>
      </c>
      <c r="L1113" t="s">
        <v>235</v>
      </c>
      <c r="M1113" t="s">
        <v>172</v>
      </c>
      <c r="N1113">
        <v>88.5</v>
      </c>
      <c r="O1113" t="s">
        <v>793</v>
      </c>
      <c r="P1113" t="s">
        <v>225</v>
      </c>
    </row>
    <row r="1114" spans="11:16" x14ac:dyDescent="0.2">
      <c r="K1114">
        <v>2008</v>
      </c>
      <c r="L1114" t="s">
        <v>235</v>
      </c>
      <c r="M1114" t="s">
        <v>172</v>
      </c>
      <c r="N1114">
        <v>88.5</v>
      </c>
      <c r="O1114" t="s">
        <v>793</v>
      </c>
      <c r="P1114" t="s">
        <v>226</v>
      </c>
    </row>
    <row r="1115" spans="11:16" x14ac:dyDescent="0.2">
      <c r="K1115">
        <v>2009</v>
      </c>
      <c r="L1115" t="s">
        <v>235</v>
      </c>
      <c r="M1115" t="s">
        <v>172</v>
      </c>
      <c r="N1115">
        <v>88.5</v>
      </c>
      <c r="O1115" t="s">
        <v>794</v>
      </c>
      <c r="P1115" t="s">
        <v>225</v>
      </c>
    </row>
    <row r="1116" spans="11:16" x14ac:dyDescent="0.2">
      <c r="K1116">
        <v>2009</v>
      </c>
      <c r="L1116" t="s">
        <v>235</v>
      </c>
      <c r="M1116" t="s">
        <v>172</v>
      </c>
      <c r="N1116">
        <v>88.5</v>
      </c>
      <c r="O1116" t="s">
        <v>794</v>
      </c>
      <c r="P1116" t="s">
        <v>226</v>
      </c>
    </row>
    <row r="1117" spans="11:16" x14ac:dyDescent="0.2">
      <c r="K1117">
        <v>2010</v>
      </c>
      <c r="L1117" t="s">
        <v>235</v>
      </c>
      <c r="M1117" t="s">
        <v>172</v>
      </c>
      <c r="N1117">
        <v>88.5</v>
      </c>
      <c r="O1117" t="s">
        <v>795</v>
      </c>
      <c r="P1117" t="s">
        <v>225</v>
      </c>
    </row>
    <row r="1118" spans="11:16" x14ac:dyDescent="0.2">
      <c r="K1118">
        <v>2010</v>
      </c>
      <c r="L1118" t="s">
        <v>235</v>
      </c>
      <c r="M1118" t="s">
        <v>172</v>
      </c>
      <c r="N1118">
        <v>88.5</v>
      </c>
      <c r="O1118" t="s">
        <v>795</v>
      </c>
      <c r="P1118" t="s">
        <v>226</v>
      </c>
    </row>
    <row r="1119" spans="11:16" x14ac:dyDescent="0.2">
      <c r="K1119">
        <v>2011</v>
      </c>
      <c r="L1119" t="s">
        <v>235</v>
      </c>
      <c r="M1119" t="s">
        <v>172</v>
      </c>
      <c r="N1119">
        <v>86.6</v>
      </c>
      <c r="O1119" t="s">
        <v>796</v>
      </c>
      <c r="P1119" t="s">
        <v>225</v>
      </c>
    </row>
    <row r="1120" spans="11:16" x14ac:dyDescent="0.2">
      <c r="K1120">
        <v>2011</v>
      </c>
      <c r="L1120" t="s">
        <v>235</v>
      </c>
      <c r="M1120" t="s">
        <v>172</v>
      </c>
      <c r="N1120">
        <v>86.6</v>
      </c>
      <c r="O1120" t="s">
        <v>796</v>
      </c>
      <c r="P1120" t="s">
        <v>226</v>
      </c>
    </row>
    <row r="1121" spans="11:16" x14ac:dyDescent="0.2">
      <c r="K1121">
        <v>2012</v>
      </c>
      <c r="L1121" t="s">
        <v>235</v>
      </c>
      <c r="M1121" t="s">
        <v>172</v>
      </c>
      <c r="N1121">
        <v>86.5</v>
      </c>
      <c r="O1121" t="s">
        <v>797</v>
      </c>
      <c r="P1121" t="s">
        <v>225</v>
      </c>
    </row>
    <row r="1122" spans="11:16" x14ac:dyDescent="0.2">
      <c r="K1122">
        <v>2012</v>
      </c>
      <c r="L1122" t="s">
        <v>235</v>
      </c>
      <c r="M1122" t="s">
        <v>172</v>
      </c>
      <c r="N1122">
        <v>86.5</v>
      </c>
      <c r="O1122" t="s">
        <v>797</v>
      </c>
      <c r="P1122" t="s">
        <v>226</v>
      </c>
    </row>
    <row r="1123" spans="11:16" x14ac:dyDescent="0.2">
      <c r="K1123">
        <v>2008</v>
      </c>
      <c r="L1123" t="s">
        <v>223</v>
      </c>
      <c r="M1123" t="s">
        <v>267</v>
      </c>
      <c r="N1123">
        <v>46.7</v>
      </c>
      <c r="O1123" t="s">
        <v>798</v>
      </c>
      <c r="P1123" t="s">
        <v>225</v>
      </c>
    </row>
    <row r="1124" spans="11:16" x14ac:dyDescent="0.2">
      <c r="K1124">
        <v>2008</v>
      </c>
      <c r="L1124" t="s">
        <v>223</v>
      </c>
      <c r="M1124" t="s">
        <v>267</v>
      </c>
      <c r="N1124">
        <v>46.7</v>
      </c>
      <c r="O1124" t="s">
        <v>798</v>
      </c>
      <c r="P1124" t="s">
        <v>226</v>
      </c>
    </row>
    <row r="1125" spans="11:16" x14ac:dyDescent="0.2">
      <c r="K1125">
        <v>2010</v>
      </c>
      <c r="L1125" t="s">
        <v>223</v>
      </c>
      <c r="M1125" t="s">
        <v>267</v>
      </c>
      <c r="N1125">
        <v>45.7</v>
      </c>
      <c r="O1125" t="s">
        <v>799</v>
      </c>
      <c r="P1125" t="s">
        <v>225</v>
      </c>
    </row>
    <row r="1126" spans="11:16" x14ac:dyDescent="0.2">
      <c r="K1126">
        <v>2010</v>
      </c>
      <c r="L1126" t="s">
        <v>223</v>
      </c>
      <c r="M1126" t="s">
        <v>267</v>
      </c>
      <c r="N1126">
        <v>45.7</v>
      </c>
      <c r="O1126" t="s">
        <v>799</v>
      </c>
      <c r="P1126" t="s">
        <v>226</v>
      </c>
    </row>
    <row r="1127" spans="11:16" x14ac:dyDescent="0.2">
      <c r="K1127">
        <v>2012</v>
      </c>
      <c r="L1127" t="s">
        <v>223</v>
      </c>
      <c r="M1127" t="s">
        <v>267</v>
      </c>
      <c r="N1127">
        <v>46.7</v>
      </c>
      <c r="O1127" t="s">
        <v>800</v>
      </c>
      <c r="P1127" t="s">
        <v>225</v>
      </c>
    </row>
    <row r="1128" spans="11:16" x14ac:dyDescent="0.2">
      <c r="K1128">
        <v>2012</v>
      </c>
      <c r="L1128" t="s">
        <v>223</v>
      </c>
      <c r="M1128" t="s">
        <v>267</v>
      </c>
      <c r="N1128">
        <v>46.7</v>
      </c>
      <c r="O1128" t="s">
        <v>800</v>
      </c>
      <c r="P1128" t="s">
        <v>226</v>
      </c>
    </row>
    <row r="1129" spans="11:16" x14ac:dyDescent="0.2">
      <c r="K1129">
        <v>2008</v>
      </c>
      <c r="L1129" t="s">
        <v>235</v>
      </c>
      <c r="M1129" t="s">
        <v>267</v>
      </c>
      <c r="N1129">
        <v>22.5</v>
      </c>
      <c r="O1129" t="s">
        <v>801</v>
      </c>
      <c r="P1129" t="s">
        <v>225</v>
      </c>
    </row>
    <row r="1130" spans="11:16" x14ac:dyDescent="0.2">
      <c r="K1130">
        <v>2008</v>
      </c>
      <c r="L1130" t="s">
        <v>235</v>
      </c>
      <c r="M1130" t="s">
        <v>267</v>
      </c>
      <c r="N1130">
        <v>22.5</v>
      </c>
      <c r="O1130" t="s">
        <v>801</v>
      </c>
      <c r="P1130" t="s">
        <v>226</v>
      </c>
    </row>
    <row r="1131" spans="11:16" x14ac:dyDescent="0.2">
      <c r="K1131">
        <v>2010</v>
      </c>
      <c r="L1131" t="s">
        <v>235</v>
      </c>
      <c r="M1131" t="s">
        <v>267</v>
      </c>
      <c r="N1131">
        <v>45.7</v>
      </c>
      <c r="O1131" t="s">
        <v>802</v>
      </c>
      <c r="P1131" t="s">
        <v>225</v>
      </c>
    </row>
    <row r="1132" spans="11:16" x14ac:dyDescent="0.2">
      <c r="K1132">
        <v>2010</v>
      </c>
      <c r="L1132" t="s">
        <v>235</v>
      </c>
      <c r="M1132" t="s">
        <v>267</v>
      </c>
      <c r="N1132">
        <v>45.7</v>
      </c>
      <c r="O1132" t="s">
        <v>802</v>
      </c>
      <c r="P1132" t="s">
        <v>226</v>
      </c>
    </row>
    <row r="1133" spans="11:16" x14ac:dyDescent="0.2">
      <c r="K1133">
        <v>2012</v>
      </c>
      <c r="L1133" t="s">
        <v>235</v>
      </c>
      <c r="M1133" t="s">
        <v>267</v>
      </c>
      <c r="N1133">
        <v>44.8</v>
      </c>
      <c r="O1133" t="s">
        <v>803</v>
      </c>
      <c r="P1133" t="s">
        <v>225</v>
      </c>
    </row>
    <row r="1134" spans="11:16" x14ac:dyDescent="0.2">
      <c r="K1134">
        <v>2012</v>
      </c>
      <c r="L1134" t="s">
        <v>235</v>
      </c>
      <c r="M1134" t="s">
        <v>267</v>
      </c>
      <c r="N1134">
        <v>44.8</v>
      </c>
      <c r="O1134" t="s">
        <v>803</v>
      </c>
      <c r="P1134" t="s">
        <v>226</v>
      </c>
    </row>
    <row r="1135" spans="11:16" x14ac:dyDescent="0.2">
      <c r="K1135">
        <v>2009</v>
      </c>
      <c r="L1135" t="s">
        <v>223</v>
      </c>
      <c r="M1135" t="s">
        <v>264</v>
      </c>
      <c r="N1135">
        <v>84.3</v>
      </c>
      <c r="O1135" t="s">
        <v>804</v>
      </c>
      <c r="P1135" t="s">
        <v>225</v>
      </c>
    </row>
    <row r="1136" spans="11:16" x14ac:dyDescent="0.2">
      <c r="K1136">
        <v>2009</v>
      </c>
      <c r="L1136" t="s">
        <v>223</v>
      </c>
      <c r="M1136" t="s">
        <v>264</v>
      </c>
      <c r="N1136">
        <v>84.3</v>
      </c>
      <c r="O1136" t="s">
        <v>804</v>
      </c>
      <c r="P1136" t="s">
        <v>226</v>
      </c>
    </row>
    <row r="1137" spans="11:16" x14ac:dyDescent="0.2">
      <c r="K1137">
        <v>2009</v>
      </c>
      <c r="L1137" t="s">
        <v>235</v>
      </c>
      <c r="M1137" t="s">
        <v>264</v>
      </c>
      <c r="N1137">
        <v>83.7</v>
      </c>
      <c r="O1137" t="s">
        <v>805</v>
      </c>
      <c r="P1137" t="s">
        <v>225</v>
      </c>
    </row>
    <row r="1138" spans="11:16" x14ac:dyDescent="0.2">
      <c r="K1138">
        <v>2009</v>
      </c>
      <c r="L1138" t="s">
        <v>235</v>
      </c>
      <c r="M1138" t="s">
        <v>264</v>
      </c>
      <c r="N1138">
        <v>83.7</v>
      </c>
      <c r="O1138" t="s">
        <v>805</v>
      </c>
      <c r="P1138" t="s">
        <v>226</v>
      </c>
    </row>
    <row r="1139" spans="11:16" x14ac:dyDescent="0.2">
      <c r="K1139">
        <v>2011</v>
      </c>
      <c r="L1139" t="s">
        <v>235</v>
      </c>
      <c r="M1139" t="s">
        <v>264</v>
      </c>
      <c r="N1139">
        <v>82.7</v>
      </c>
      <c r="O1139" t="s">
        <v>806</v>
      </c>
      <c r="P1139" t="s">
        <v>225</v>
      </c>
    </row>
    <row r="1140" spans="11:16" x14ac:dyDescent="0.2">
      <c r="K1140">
        <v>2011</v>
      </c>
      <c r="L1140" t="s">
        <v>235</v>
      </c>
      <c r="M1140" t="s">
        <v>264</v>
      </c>
      <c r="N1140">
        <v>82.7</v>
      </c>
      <c r="O1140" t="s">
        <v>806</v>
      </c>
      <c r="P1140" t="s">
        <v>226</v>
      </c>
    </row>
    <row r="1141" spans="11:16" x14ac:dyDescent="0.2">
      <c r="K1141">
        <v>2008</v>
      </c>
      <c r="L1141" t="s">
        <v>223</v>
      </c>
      <c r="M1141" t="s">
        <v>176</v>
      </c>
      <c r="N1141">
        <v>95.3</v>
      </c>
      <c r="O1141" t="s">
        <v>807</v>
      </c>
      <c r="P1141" t="s">
        <v>225</v>
      </c>
    </row>
    <row r="1142" spans="11:16" x14ac:dyDescent="0.2">
      <c r="K1142">
        <v>2008</v>
      </c>
      <c r="L1142" t="s">
        <v>223</v>
      </c>
      <c r="M1142" t="s">
        <v>176</v>
      </c>
      <c r="N1142">
        <v>95.3</v>
      </c>
      <c r="O1142" t="s">
        <v>807</v>
      </c>
      <c r="P1142" t="s">
        <v>226</v>
      </c>
    </row>
    <row r="1143" spans="11:16" x14ac:dyDescent="0.2">
      <c r="K1143">
        <v>2009</v>
      </c>
      <c r="L1143" t="s">
        <v>223</v>
      </c>
      <c r="M1143" t="s">
        <v>176</v>
      </c>
      <c r="N1143">
        <v>95.3</v>
      </c>
      <c r="O1143" t="s">
        <v>808</v>
      </c>
      <c r="P1143" t="s">
        <v>225</v>
      </c>
    </row>
    <row r="1144" spans="11:16" x14ac:dyDescent="0.2">
      <c r="K1144">
        <v>2009</v>
      </c>
      <c r="L1144" t="s">
        <v>223</v>
      </c>
      <c r="M1144" t="s">
        <v>176</v>
      </c>
      <c r="N1144">
        <v>95.3</v>
      </c>
      <c r="O1144" t="s">
        <v>808</v>
      </c>
      <c r="P1144" t="s">
        <v>226</v>
      </c>
    </row>
    <row r="1145" spans="11:16" x14ac:dyDescent="0.2">
      <c r="K1145">
        <v>2010</v>
      </c>
      <c r="L1145" t="s">
        <v>223</v>
      </c>
      <c r="M1145" t="s">
        <v>176</v>
      </c>
      <c r="N1145">
        <v>95.3</v>
      </c>
      <c r="O1145" t="s">
        <v>809</v>
      </c>
      <c r="P1145" t="s">
        <v>225</v>
      </c>
    </row>
    <row r="1146" spans="11:16" x14ac:dyDescent="0.2">
      <c r="K1146">
        <v>2010</v>
      </c>
      <c r="L1146" t="s">
        <v>223</v>
      </c>
      <c r="M1146" t="s">
        <v>176</v>
      </c>
      <c r="N1146">
        <v>95.3</v>
      </c>
      <c r="O1146" t="s">
        <v>809</v>
      </c>
      <c r="P1146" t="s">
        <v>226</v>
      </c>
    </row>
    <row r="1147" spans="11:16" x14ac:dyDescent="0.2">
      <c r="K1147">
        <v>2011</v>
      </c>
      <c r="L1147" t="s">
        <v>223</v>
      </c>
      <c r="M1147" t="s">
        <v>176</v>
      </c>
      <c r="N1147">
        <v>97.3</v>
      </c>
      <c r="O1147" t="s">
        <v>810</v>
      </c>
      <c r="P1147" t="s">
        <v>225</v>
      </c>
    </row>
    <row r="1148" spans="11:16" x14ac:dyDescent="0.2">
      <c r="K1148">
        <v>2011</v>
      </c>
      <c r="L1148" t="s">
        <v>223</v>
      </c>
      <c r="M1148" t="s">
        <v>176</v>
      </c>
      <c r="N1148">
        <v>97.3</v>
      </c>
      <c r="O1148" t="s">
        <v>810</v>
      </c>
      <c r="P1148" t="s">
        <v>226</v>
      </c>
    </row>
    <row r="1149" spans="11:16" x14ac:dyDescent="0.2">
      <c r="K1149">
        <v>2012</v>
      </c>
      <c r="L1149" t="s">
        <v>223</v>
      </c>
      <c r="M1149" t="s">
        <v>176</v>
      </c>
      <c r="N1149">
        <v>95.3</v>
      </c>
      <c r="O1149" t="s">
        <v>811</v>
      </c>
      <c r="P1149" t="s">
        <v>225</v>
      </c>
    </row>
    <row r="1150" spans="11:16" x14ac:dyDescent="0.2">
      <c r="K1150">
        <v>2012</v>
      </c>
      <c r="L1150" t="s">
        <v>223</v>
      </c>
      <c r="M1150" t="s">
        <v>176</v>
      </c>
      <c r="N1150">
        <v>95.3</v>
      </c>
      <c r="O1150" t="s">
        <v>811</v>
      </c>
      <c r="P1150" t="s">
        <v>226</v>
      </c>
    </row>
    <row r="1151" spans="11:16" x14ac:dyDescent="0.2">
      <c r="K1151">
        <v>2008</v>
      </c>
      <c r="L1151" t="s">
        <v>235</v>
      </c>
      <c r="M1151" t="s">
        <v>176</v>
      </c>
      <c r="N1151">
        <v>95.3</v>
      </c>
      <c r="O1151" t="s">
        <v>812</v>
      </c>
      <c r="P1151" t="s">
        <v>225</v>
      </c>
    </row>
    <row r="1152" spans="11:16" x14ac:dyDescent="0.2">
      <c r="K1152">
        <v>2008</v>
      </c>
      <c r="L1152" t="s">
        <v>235</v>
      </c>
      <c r="M1152" t="s">
        <v>176</v>
      </c>
      <c r="N1152">
        <v>95.3</v>
      </c>
      <c r="O1152" t="s">
        <v>812</v>
      </c>
      <c r="P1152" t="s">
        <v>226</v>
      </c>
    </row>
    <row r="1153" spans="11:16" x14ac:dyDescent="0.2">
      <c r="K1153">
        <v>2009</v>
      </c>
      <c r="L1153" t="s">
        <v>235</v>
      </c>
      <c r="M1153" t="s">
        <v>176</v>
      </c>
      <c r="N1153">
        <v>95.3</v>
      </c>
      <c r="O1153" t="s">
        <v>813</v>
      </c>
      <c r="P1153" t="s">
        <v>225</v>
      </c>
    </row>
    <row r="1154" spans="11:16" x14ac:dyDescent="0.2">
      <c r="K1154">
        <v>2009</v>
      </c>
      <c r="L1154" t="s">
        <v>235</v>
      </c>
      <c r="M1154" t="s">
        <v>176</v>
      </c>
      <c r="N1154">
        <v>95.3</v>
      </c>
      <c r="O1154" t="s">
        <v>813</v>
      </c>
      <c r="P1154" t="s">
        <v>226</v>
      </c>
    </row>
    <row r="1155" spans="11:16" x14ac:dyDescent="0.2">
      <c r="K1155">
        <v>2010</v>
      </c>
      <c r="L1155" t="s">
        <v>235</v>
      </c>
      <c r="M1155" t="s">
        <v>176</v>
      </c>
      <c r="N1155">
        <v>95.4</v>
      </c>
      <c r="O1155" t="s">
        <v>814</v>
      </c>
      <c r="P1155" t="s">
        <v>225</v>
      </c>
    </row>
    <row r="1156" spans="11:16" x14ac:dyDescent="0.2">
      <c r="K1156">
        <v>2010</v>
      </c>
      <c r="L1156" t="s">
        <v>235</v>
      </c>
      <c r="M1156" t="s">
        <v>176</v>
      </c>
      <c r="N1156">
        <v>95.4</v>
      </c>
      <c r="O1156" t="s">
        <v>814</v>
      </c>
      <c r="P1156" t="s">
        <v>226</v>
      </c>
    </row>
    <row r="1157" spans="11:16" x14ac:dyDescent="0.2">
      <c r="K1157">
        <v>2011</v>
      </c>
      <c r="L1157" t="s">
        <v>235</v>
      </c>
      <c r="M1157" t="s">
        <v>176</v>
      </c>
      <c r="N1157">
        <v>95.3</v>
      </c>
      <c r="O1157" t="s">
        <v>815</v>
      </c>
      <c r="P1157" t="s">
        <v>225</v>
      </c>
    </row>
    <row r="1158" spans="11:16" x14ac:dyDescent="0.2">
      <c r="K1158">
        <v>2011</v>
      </c>
      <c r="L1158" t="s">
        <v>235</v>
      </c>
      <c r="M1158" t="s">
        <v>176</v>
      </c>
      <c r="N1158">
        <v>95.3</v>
      </c>
      <c r="O1158" t="s">
        <v>815</v>
      </c>
      <c r="P1158" t="s">
        <v>226</v>
      </c>
    </row>
    <row r="1159" spans="11:16" x14ac:dyDescent="0.2">
      <c r="K1159">
        <v>2012</v>
      </c>
      <c r="L1159" t="s">
        <v>235</v>
      </c>
      <c r="M1159" t="s">
        <v>176</v>
      </c>
      <c r="N1159">
        <v>95.3</v>
      </c>
      <c r="O1159" t="s">
        <v>816</v>
      </c>
      <c r="P1159" t="s">
        <v>225</v>
      </c>
    </row>
    <row r="1160" spans="11:16" x14ac:dyDescent="0.2">
      <c r="K1160">
        <v>2012</v>
      </c>
      <c r="L1160" t="s">
        <v>235</v>
      </c>
      <c r="M1160" t="s">
        <v>176</v>
      </c>
      <c r="N1160">
        <v>95.3</v>
      </c>
      <c r="O1160" t="s">
        <v>816</v>
      </c>
      <c r="P1160" t="s">
        <v>226</v>
      </c>
    </row>
    <row r="1161" spans="11:16" x14ac:dyDescent="0.2">
      <c r="K1161">
        <v>2008</v>
      </c>
      <c r="L1161" t="s">
        <v>223</v>
      </c>
      <c r="M1161" t="s">
        <v>177</v>
      </c>
      <c r="N1161">
        <v>155.30000000000001</v>
      </c>
      <c r="O1161" t="s">
        <v>817</v>
      </c>
      <c r="P1161" t="s">
        <v>225</v>
      </c>
    </row>
    <row r="1162" spans="11:16" x14ac:dyDescent="0.2">
      <c r="K1162">
        <v>2008</v>
      </c>
      <c r="L1162" t="s">
        <v>223</v>
      </c>
      <c r="M1162" t="s">
        <v>177</v>
      </c>
      <c r="N1162">
        <v>155.30000000000001</v>
      </c>
      <c r="O1162" t="s">
        <v>817</v>
      </c>
      <c r="P1162" t="s">
        <v>226</v>
      </c>
    </row>
    <row r="1163" spans="11:16" x14ac:dyDescent="0.2">
      <c r="K1163">
        <v>2009</v>
      </c>
      <c r="L1163" t="s">
        <v>223</v>
      </c>
      <c r="M1163" t="s">
        <v>177</v>
      </c>
      <c r="N1163">
        <v>155.19999999999999</v>
      </c>
      <c r="O1163" t="s">
        <v>818</v>
      </c>
      <c r="P1163" t="s">
        <v>225</v>
      </c>
    </row>
    <row r="1164" spans="11:16" x14ac:dyDescent="0.2">
      <c r="K1164">
        <v>2009</v>
      </c>
      <c r="L1164" t="s">
        <v>223</v>
      </c>
      <c r="M1164" t="s">
        <v>177</v>
      </c>
      <c r="N1164">
        <v>155.19999999999999</v>
      </c>
      <c r="O1164" t="s">
        <v>818</v>
      </c>
      <c r="P1164" t="s">
        <v>226</v>
      </c>
    </row>
    <row r="1165" spans="11:16" x14ac:dyDescent="0.2">
      <c r="K1165">
        <v>2010</v>
      </c>
      <c r="L1165" t="s">
        <v>223</v>
      </c>
      <c r="M1165" t="s">
        <v>177</v>
      </c>
      <c r="N1165">
        <v>153.69999999999999</v>
      </c>
      <c r="O1165" t="s">
        <v>819</v>
      </c>
      <c r="P1165" t="s">
        <v>225</v>
      </c>
    </row>
    <row r="1166" spans="11:16" x14ac:dyDescent="0.2">
      <c r="K1166">
        <v>2010</v>
      </c>
      <c r="L1166" t="s">
        <v>223</v>
      </c>
      <c r="M1166" t="s">
        <v>177</v>
      </c>
      <c r="N1166">
        <v>153.69999999999999</v>
      </c>
      <c r="O1166" t="s">
        <v>819</v>
      </c>
      <c r="P1166" t="s">
        <v>226</v>
      </c>
    </row>
    <row r="1167" spans="11:16" x14ac:dyDescent="0.2">
      <c r="K1167">
        <v>2011</v>
      </c>
      <c r="L1167" t="s">
        <v>223</v>
      </c>
      <c r="M1167" t="s">
        <v>177</v>
      </c>
      <c r="N1167">
        <v>153.69999999999999</v>
      </c>
      <c r="O1167" t="s">
        <v>820</v>
      </c>
      <c r="P1167" t="s">
        <v>225</v>
      </c>
    </row>
    <row r="1168" spans="11:16" x14ac:dyDescent="0.2">
      <c r="K1168">
        <v>2011</v>
      </c>
      <c r="L1168" t="s">
        <v>223</v>
      </c>
      <c r="M1168" t="s">
        <v>177</v>
      </c>
      <c r="N1168">
        <v>153.69999999999999</v>
      </c>
      <c r="O1168" t="s">
        <v>820</v>
      </c>
      <c r="P1168" t="s">
        <v>226</v>
      </c>
    </row>
    <row r="1169" spans="11:16" x14ac:dyDescent="0.2">
      <c r="K1169">
        <v>2012</v>
      </c>
      <c r="L1169" t="s">
        <v>223</v>
      </c>
      <c r="M1169" t="s">
        <v>177</v>
      </c>
      <c r="N1169">
        <v>153.69999999999999</v>
      </c>
      <c r="O1169" t="s">
        <v>821</v>
      </c>
      <c r="P1169" t="s">
        <v>225</v>
      </c>
    </row>
    <row r="1170" spans="11:16" x14ac:dyDescent="0.2">
      <c r="K1170">
        <v>2012</v>
      </c>
      <c r="L1170" t="s">
        <v>223</v>
      </c>
      <c r="M1170" t="s">
        <v>177</v>
      </c>
      <c r="N1170">
        <v>153.69999999999999</v>
      </c>
      <c r="O1170" t="s">
        <v>821</v>
      </c>
      <c r="P1170" t="s">
        <v>226</v>
      </c>
    </row>
    <row r="1171" spans="11:16" x14ac:dyDescent="0.2">
      <c r="K1171">
        <v>2008</v>
      </c>
      <c r="L1171" t="s">
        <v>235</v>
      </c>
      <c r="M1171" t="s">
        <v>177</v>
      </c>
      <c r="N1171">
        <v>153.80000000000001</v>
      </c>
      <c r="O1171" t="s">
        <v>822</v>
      </c>
      <c r="P1171" t="s">
        <v>225</v>
      </c>
    </row>
    <row r="1172" spans="11:16" x14ac:dyDescent="0.2">
      <c r="K1172">
        <v>2008</v>
      </c>
      <c r="L1172" t="s">
        <v>235</v>
      </c>
      <c r="M1172" t="s">
        <v>177</v>
      </c>
      <c r="N1172">
        <v>153.80000000000001</v>
      </c>
      <c r="O1172" t="s">
        <v>822</v>
      </c>
      <c r="P1172" t="s">
        <v>226</v>
      </c>
    </row>
    <row r="1173" spans="11:16" x14ac:dyDescent="0.2">
      <c r="K1173">
        <v>2009</v>
      </c>
      <c r="L1173" t="s">
        <v>235</v>
      </c>
      <c r="M1173" t="s">
        <v>177</v>
      </c>
      <c r="N1173">
        <v>152.80000000000001</v>
      </c>
      <c r="O1173" t="s">
        <v>823</v>
      </c>
      <c r="P1173" t="s">
        <v>225</v>
      </c>
    </row>
    <row r="1174" spans="11:16" x14ac:dyDescent="0.2">
      <c r="K1174">
        <v>2009</v>
      </c>
      <c r="L1174" t="s">
        <v>235</v>
      </c>
      <c r="M1174" t="s">
        <v>177</v>
      </c>
      <c r="N1174">
        <v>152.80000000000001</v>
      </c>
      <c r="O1174" t="s">
        <v>823</v>
      </c>
      <c r="P1174" t="s">
        <v>226</v>
      </c>
    </row>
    <row r="1175" spans="11:16" x14ac:dyDescent="0.2">
      <c r="K1175">
        <v>2010</v>
      </c>
      <c r="L1175" t="s">
        <v>235</v>
      </c>
      <c r="M1175" t="s">
        <v>177</v>
      </c>
      <c r="N1175">
        <v>152.80000000000001</v>
      </c>
      <c r="O1175" t="s">
        <v>824</v>
      </c>
      <c r="P1175" t="s">
        <v>225</v>
      </c>
    </row>
    <row r="1176" spans="11:16" x14ac:dyDescent="0.2">
      <c r="K1176">
        <v>2010</v>
      </c>
      <c r="L1176" t="s">
        <v>235</v>
      </c>
      <c r="M1176" t="s">
        <v>177</v>
      </c>
      <c r="N1176">
        <v>152.80000000000001</v>
      </c>
      <c r="O1176" t="s">
        <v>824</v>
      </c>
      <c r="P1176" t="s">
        <v>226</v>
      </c>
    </row>
    <row r="1177" spans="11:16" x14ac:dyDescent="0.2">
      <c r="K1177">
        <v>2011</v>
      </c>
      <c r="L1177" t="s">
        <v>235</v>
      </c>
      <c r="M1177" t="s">
        <v>177</v>
      </c>
      <c r="N1177">
        <v>153.69999999999999</v>
      </c>
      <c r="O1177" t="s">
        <v>825</v>
      </c>
      <c r="P1177" t="s">
        <v>225</v>
      </c>
    </row>
    <row r="1178" spans="11:16" x14ac:dyDescent="0.2">
      <c r="K1178">
        <v>2011</v>
      </c>
      <c r="L1178" t="s">
        <v>235</v>
      </c>
      <c r="M1178" t="s">
        <v>177</v>
      </c>
      <c r="N1178">
        <v>153.69999999999999</v>
      </c>
      <c r="O1178" t="s">
        <v>825</v>
      </c>
      <c r="P1178" t="s">
        <v>226</v>
      </c>
    </row>
    <row r="1179" spans="11:16" x14ac:dyDescent="0.2">
      <c r="K1179">
        <v>2012</v>
      </c>
      <c r="L1179" t="s">
        <v>235</v>
      </c>
      <c r="M1179" t="s">
        <v>177</v>
      </c>
      <c r="N1179">
        <v>153.69999999999999</v>
      </c>
      <c r="O1179" t="s">
        <v>826</v>
      </c>
      <c r="P1179" t="s">
        <v>225</v>
      </c>
    </row>
    <row r="1180" spans="11:16" x14ac:dyDescent="0.2">
      <c r="K1180">
        <v>2012</v>
      </c>
      <c r="L1180" t="s">
        <v>235</v>
      </c>
      <c r="M1180" t="s">
        <v>177</v>
      </c>
      <c r="N1180">
        <v>153.69999999999999</v>
      </c>
      <c r="O1180" t="s">
        <v>826</v>
      </c>
      <c r="P1180" t="s">
        <v>226</v>
      </c>
    </row>
    <row r="1181" spans="11:16" x14ac:dyDescent="0.2">
      <c r="K1181">
        <v>2009</v>
      </c>
      <c r="L1181" t="s">
        <v>223</v>
      </c>
      <c r="M1181" t="s">
        <v>193</v>
      </c>
      <c r="N1181">
        <v>152.69999999999999</v>
      </c>
      <c r="O1181" t="s">
        <v>827</v>
      </c>
      <c r="P1181" t="s">
        <v>225</v>
      </c>
    </row>
    <row r="1182" spans="11:16" x14ac:dyDescent="0.2">
      <c r="K1182">
        <v>2009</v>
      </c>
      <c r="L1182" t="s">
        <v>223</v>
      </c>
      <c r="M1182" t="s">
        <v>193</v>
      </c>
      <c r="N1182">
        <v>152.69999999999999</v>
      </c>
      <c r="O1182" t="s">
        <v>827</v>
      </c>
      <c r="P1182" t="s">
        <v>226</v>
      </c>
    </row>
    <row r="1183" spans="11:16" x14ac:dyDescent="0.2">
      <c r="K1183">
        <v>2010</v>
      </c>
      <c r="L1183" t="s">
        <v>223</v>
      </c>
      <c r="M1183" t="s">
        <v>193</v>
      </c>
      <c r="N1183">
        <v>146.5</v>
      </c>
      <c r="O1183" t="s">
        <v>828</v>
      </c>
      <c r="P1183" t="s">
        <v>225</v>
      </c>
    </row>
    <row r="1184" spans="11:16" x14ac:dyDescent="0.2">
      <c r="K1184">
        <v>2010</v>
      </c>
      <c r="L1184" t="s">
        <v>223</v>
      </c>
      <c r="M1184" t="s">
        <v>193</v>
      </c>
      <c r="N1184">
        <v>146.5</v>
      </c>
      <c r="O1184" t="s">
        <v>828</v>
      </c>
      <c r="P1184" t="s">
        <v>226</v>
      </c>
    </row>
    <row r="1185" spans="11:16" x14ac:dyDescent="0.2">
      <c r="K1185">
        <v>2011</v>
      </c>
      <c r="L1185" t="s">
        <v>223</v>
      </c>
      <c r="M1185" t="s">
        <v>193</v>
      </c>
      <c r="N1185">
        <v>150.80000000000001</v>
      </c>
      <c r="O1185" t="s">
        <v>829</v>
      </c>
      <c r="P1185" t="s">
        <v>225</v>
      </c>
    </row>
    <row r="1186" spans="11:16" x14ac:dyDescent="0.2">
      <c r="K1186">
        <v>2011</v>
      </c>
      <c r="L1186" t="s">
        <v>223</v>
      </c>
      <c r="M1186" t="s">
        <v>193</v>
      </c>
      <c r="N1186">
        <v>150.80000000000001</v>
      </c>
      <c r="O1186" t="s">
        <v>829</v>
      </c>
      <c r="P1186" t="s">
        <v>226</v>
      </c>
    </row>
    <row r="1187" spans="11:16" x14ac:dyDescent="0.2">
      <c r="K1187">
        <v>2012</v>
      </c>
      <c r="L1187" t="s">
        <v>223</v>
      </c>
      <c r="M1187" t="s">
        <v>193</v>
      </c>
      <c r="N1187">
        <v>150.80000000000001</v>
      </c>
      <c r="O1187" t="s">
        <v>830</v>
      </c>
      <c r="P1187" t="s">
        <v>225</v>
      </c>
    </row>
    <row r="1188" spans="11:16" x14ac:dyDescent="0.2">
      <c r="K1188">
        <v>2012</v>
      </c>
      <c r="L1188" t="s">
        <v>223</v>
      </c>
      <c r="M1188" t="s">
        <v>193</v>
      </c>
      <c r="N1188">
        <v>150.80000000000001</v>
      </c>
      <c r="O1188" t="s">
        <v>830</v>
      </c>
      <c r="P1188" t="s">
        <v>226</v>
      </c>
    </row>
    <row r="1189" spans="11:16" x14ac:dyDescent="0.2">
      <c r="K1189">
        <v>2008</v>
      </c>
      <c r="L1189" t="s">
        <v>235</v>
      </c>
      <c r="M1189" t="s">
        <v>193</v>
      </c>
      <c r="N1189">
        <v>150.80000000000001</v>
      </c>
      <c r="O1189" t="s">
        <v>831</v>
      </c>
      <c r="P1189" t="s">
        <v>225</v>
      </c>
    </row>
    <row r="1190" spans="11:16" x14ac:dyDescent="0.2">
      <c r="K1190">
        <v>2008</v>
      </c>
      <c r="L1190" t="s">
        <v>235</v>
      </c>
      <c r="M1190" t="s">
        <v>193</v>
      </c>
      <c r="N1190">
        <v>150.80000000000001</v>
      </c>
      <c r="O1190" t="s">
        <v>831</v>
      </c>
      <c r="P1190" t="s">
        <v>226</v>
      </c>
    </row>
    <row r="1191" spans="11:16" x14ac:dyDescent="0.2">
      <c r="K1191">
        <v>2010</v>
      </c>
      <c r="L1191" t="s">
        <v>235</v>
      </c>
      <c r="M1191" t="s">
        <v>193</v>
      </c>
      <c r="N1191">
        <v>149.80000000000001</v>
      </c>
      <c r="O1191" t="s">
        <v>832</v>
      </c>
      <c r="P1191" t="s">
        <v>225</v>
      </c>
    </row>
    <row r="1192" spans="11:16" x14ac:dyDescent="0.2">
      <c r="K1192">
        <v>2010</v>
      </c>
      <c r="L1192" t="s">
        <v>235</v>
      </c>
      <c r="M1192" t="s">
        <v>193</v>
      </c>
      <c r="N1192">
        <v>149.80000000000001</v>
      </c>
      <c r="O1192" t="s">
        <v>832</v>
      </c>
      <c r="P1192" t="s">
        <v>226</v>
      </c>
    </row>
    <row r="1193" spans="11:16" x14ac:dyDescent="0.2">
      <c r="K1193">
        <v>2011</v>
      </c>
      <c r="L1193" t="s">
        <v>235</v>
      </c>
      <c r="M1193" t="s">
        <v>193</v>
      </c>
      <c r="N1193">
        <v>149.9</v>
      </c>
      <c r="O1193" t="s">
        <v>833</v>
      </c>
      <c r="P1193" t="s">
        <v>225</v>
      </c>
    </row>
    <row r="1194" spans="11:16" x14ac:dyDescent="0.2">
      <c r="K1194">
        <v>2011</v>
      </c>
      <c r="L1194" t="s">
        <v>235</v>
      </c>
      <c r="M1194" t="s">
        <v>193</v>
      </c>
      <c r="N1194">
        <v>149.9</v>
      </c>
      <c r="O1194" t="s">
        <v>833</v>
      </c>
      <c r="P1194" t="s">
        <v>226</v>
      </c>
    </row>
    <row r="1195" spans="11:16" x14ac:dyDescent="0.2">
      <c r="K1195">
        <v>2012</v>
      </c>
      <c r="L1195" t="s">
        <v>235</v>
      </c>
      <c r="M1195" t="s">
        <v>193</v>
      </c>
      <c r="N1195">
        <v>149.80000000000001</v>
      </c>
      <c r="O1195" t="s">
        <v>834</v>
      </c>
      <c r="P1195" t="s">
        <v>225</v>
      </c>
    </row>
    <row r="1196" spans="11:16" x14ac:dyDescent="0.2">
      <c r="K1196">
        <v>2012</v>
      </c>
      <c r="L1196" t="s">
        <v>235</v>
      </c>
      <c r="M1196" t="s">
        <v>193</v>
      </c>
      <c r="N1196">
        <v>149.80000000000001</v>
      </c>
      <c r="O1196" t="s">
        <v>834</v>
      </c>
      <c r="P1196" t="s">
        <v>226</v>
      </c>
    </row>
    <row r="1197" spans="11:16" x14ac:dyDescent="0.2">
      <c r="K1197">
        <v>2008</v>
      </c>
      <c r="L1197" t="s">
        <v>835</v>
      </c>
      <c r="M1197" t="s">
        <v>193</v>
      </c>
      <c r="N1197">
        <v>152.69999999999999</v>
      </c>
      <c r="O1197" t="s">
        <v>836</v>
      </c>
      <c r="P1197" t="s">
        <v>225</v>
      </c>
    </row>
    <row r="1198" spans="11:16" x14ac:dyDescent="0.2">
      <c r="K1198">
        <v>2008</v>
      </c>
      <c r="L1198" t="s">
        <v>835</v>
      </c>
      <c r="M1198" t="s">
        <v>193</v>
      </c>
      <c r="N1198">
        <v>152.69999999999999</v>
      </c>
      <c r="O1198" t="s">
        <v>836</v>
      </c>
      <c r="P1198" t="s">
        <v>226</v>
      </c>
    </row>
    <row r="1199" spans="11:16" x14ac:dyDescent="0.2">
      <c r="K1199">
        <v>2009</v>
      </c>
      <c r="L1199" t="s">
        <v>837</v>
      </c>
      <c r="M1199" t="s">
        <v>193</v>
      </c>
      <c r="N1199">
        <v>145.80000000000001</v>
      </c>
      <c r="O1199" t="s">
        <v>838</v>
      </c>
      <c r="P1199" t="s">
        <v>225</v>
      </c>
    </row>
    <row r="1200" spans="11:16" x14ac:dyDescent="0.2">
      <c r="K1200">
        <v>2009</v>
      </c>
      <c r="L1200" t="s">
        <v>837</v>
      </c>
      <c r="M1200" t="s">
        <v>193</v>
      </c>
      <c r="N1200">
        <v>145.80000000000001</v>
      </c>
      <c r="O1200" t="s">
        <v>838</v>
      </c>
      <c r="P1200" t="s">
        <v>226</v>
      </c>
    </row>
    <row r="1201" spans="11:16" x14ac:dyDescent="0.2">
      <c r="K1201">
        <v>2008</v>
      </c>
      <c r="L1201" t="s">
        <v>223</v>
      </c>
      <c r="M1201" t="s">
        <v>178</v>
      </c>
      <c r="N1201">
        <v>145.9</v>
      </c>
      <c r="O1201" t="s">
        <v>839</v>
      </c>
      <c r="P1201" t="s">
        <v>225</v>
      </c>
    </row>
    <row r="1202" spans="11:16" x14ac:dyDescent="0.2">
      <c r="K1202">
        <v>2008</v>
      </c>
      <c r="L1202" t="s">
        <v>223</v>
      </c>
      <c r="M1202" t="s">
        <v>178</v>
      </c>
      <c r="N1202">
        <v>145.9</v>
      </c>
      <c r="O1202" t="s">
        <v>839</v>
      </c>
      <c r="P1202" t="s">
        <v>226</v>
      </c>
    </row>
    <row r="1203" spans="11:16" x14ac:dyDescent="0.2">
      <c r="K1203">
        <v>2009</v>
      </c>
      <c r="L1203" t="s">
        <v>223</v>
      </c>
      <c r="M1203" t="s">
        <v>178</v>
      </c>
      <c r="N1203">
        <v>149.9</v>
      </c>
      <c r="O1203" t="s">
        <v>840</v>
      </c>
      <c r="P1203" t="s">
        <v>225</v>
      </c>
    </row>
    <row r="1204" spans="11:16" x14ac:dyDescent="0.2">
      <c r="K1204">
        <v>2009</v>
      </c>
      <c r="L1204" t="s">
        <v>223</v>
      </c>
      <c r="M1204" t="s">
        <v>178</v>
      </c>
      <c r="N1204">
        <v>149.9</v>
      </c>
      <c r="O1204" t="s">
        <v>840</v>
      </c>
      <c r="P1204" t="s">
        <v>226</v>
      </c>
    </row>
    <row r="1205" spans="11:16" x14ac:dyDescent="0.2">
      <c r="K1205">
        <v>2010</v>
      </c>
      <c r="L1205" t="s">
        <v>223</v>
      </c>
      <c r="M1205" t="s">
        <v>178</v>
      </c>
      <c r="N1205">
        <v>139.5</v>
      </c>
      <c r="O1205" t="s">
        <v>841</v>
      </c>
      <c r="P1205" t="s">
        <v>225</v>
      </c>
    </row>
    <row r="1206" spans="11:16" x14ac:dyDescent="0.2">
      <c r="K1206">
        <v>2010</v>
      </c>
      <c r="L1206" t="s">
        <v>223</v>
      </c>
      <c r="M1206" t="s">
        <v>178</v>
      </c>
      <c r="N1206">
        <v>139.5</v>
      </c>
      <c r="O1206" t="s">
        <v>841</v>
      </c>
      <c r="P1206" t="s">
        <v>226</v>
      </c>
    </row>
    <row r="1207" spans="11:16" x14ac:dyDescent="0.2">
      <c r="K1207">
        <v>2011</v>
      </c>
      <c r="L1207" t="s">
        <v>223</v>
      </c>
      <c r="M1207" t="s">
        <v>178</v>
      </c>
      <c r="N1207">
        <v>146.9</v>
      </c>
      <c r="O1207" t="s">
        <v>842</v>
      </c>
      <c r="P1207" t="s">
        <v>225</v>
      </c>
    </row>
    <row r="1208" spans="11:16" x14ac:dyDescent="0.2">
      <c r="K1208">
        <v>2011</v>
      </c>
      <c r="L1208" t="s">
        <v>223</v>
      </c>
      <c r="M1208" t="s">
        <v>178</v>
      </c>
      <c r="N1208">
        <v>146.9</v>
      </c>
      <c r="O1208" t="s">
        <v>842</v>
      </c>
      <c r="P1208" t="s">
        <v>226</v>
      </c>
    </row>
    <row r="1209" spans="11:16" x14ac:dyDescent="0.2">
      <c r="K1209">
        <v>2012</v>
      </c>
      <c r="L1209" t="s">
        <v>223</v>
      </c>
      <c r="M1209" t="s">
        <v>178</v>
      </c>
      <c r="N1209">
        <v>145.9</v>
      </c>
      <c r="O1209" t="s">
        <v>843</v>
      </c>
      <c r="P1209" t="s">
        <v>225</v>
      </c>
    </row>
    <row r="1210" spans="11:16" x14ac:dyDescent="0.2">
      <c r="K1210">
        <v>2012</v>
      </c>
      <c r="L1210" t="s">
        <v>223</v>
      </c>
      <c r="M1210" t="s">
        <v>178</v>
      </c>
      <c r="N1210">
        <v>145.9</v>
      </c>
      <c r="O1210" t="s">
        <v>843</v>
      </c>
      <c r="P1210" t="s">
        <v>226</v>
      </c>
    </row>
    <row r="1211" spans="11:16" x14ac:dyDescent="0.2">
      <c r="K1211">
        <v>2008</v>
      </c>
      <c r="L1211" t="s">
        <v>235</v>
      </c>
      <c r="M1211" t="s">
        <v>178</v>
      </c>
      <c r="N1211">
        <v>145.9</v>
      </c>
      <c r="O1211" t="s">
        <v>844</v>
      </c>
      <c r="P1211" t="s">
        <v>225</v>
      </c>
    </row>
    <row r="1212" spans="11:16" x14ac:dyDescent="0.2">
      <c r="K1212">
        <v>2008</v>
      </c>
      <c r="L1212" t="s">
        <v>235</v>
      </c>
      <c r="M1212" t="s">
        <v>178</v>
      </c>
      <c r="N1212">
        <v>145.9</v>
      </c>
      <c r="O1212" t="s">
        <v>844</v>
      </c>
      <c r="P1212" t="s">
        <v>226</v>
      </c>
    </row>
    <row r="1213" spans="11:16" x14ac:dyDescent="0.2">
      <c r="K1213">
        <v>2009</v>
      </c>
      <c r="L1213" t="s">
        <v>235</v>
      </c>
      <c r="M1213" t="s">
        <v>178</v>
      </c>
      <c r="N1213">
        <v>146</v>
      </c>
      <c r="O1213" t="s">
        <v>845</v>
      </c>
      <c r="P1213" t="s">
        <v>225</v>
      </c>
    </row>
    <row r="1214" spans="11:16" x14ac:dyDescent="0.2">
      <c r="K1214">
        <v>2009</v>
      </c>
      <c r="L1214" t="s">
        <v>235</v>
      </c>
      <c r="M1214" t="s">
        <v>178</v>
      </c>
      <c r="N1214">
        <v>146</v>
      </c>
      <c r="O1214" t="s">
        <v>845</v>
      </c>
      <c r="P1214" t="s">
        <v>226</v>
      </c>
    </row>
    <row r="1215" spans="11:16" x14ac:dyDescent="0.2">
      <c r="K1215">
        <v>2010</v>
      </c>
      <c r="L1215" t="s">
        <v>235</v>
      </c>
      <c r="M1215" t="s">
        <v>178</v>
      </c>
      <c r="N1215">
        <v>146</v>
      </c>
      <c r="O1215" t="s">
        <v>846</v>
      </c>
      <c r="P1215" t="s">
        <v>225</v>
      </c>
    </row>
    <row r="1216" spans="11:16" x14ac:dyDescent="0.2">
      <c r="K1216">
        <v>2010</v>
      </c>
      <c r="L1216" t="s">
        <v>235</v>
      </c>
      <c r="M1216" t="s">
        <v>178</v>
      </c>
      <c r="N1216">
        <v>146</v>
      </c>
      <c r="O1216" t="s">
        <v>846</v>
      </c>
      <c r="P1216" t="s">
        <v>226</v>
      </c>
    </row>
    <row r="1217" spans="11:16" x14ac:dyDescent="0.2">
      <c r="K1217">
        <v>2011</v>
      </c>
      <c r="L1217" t="s">
        <v>235</v>
      </c>
      <c r="M1217" t="s">
        <v>178</v>
      </c>
      <c r="N1217">
        <v>145.9</v>
      </c>
      <c r="O1217" t="s">
        <v>847</v>
      </c>
      <c r="P1217" t="s">
        <v>225</v>
      </c>
    </row>
    <row r="1218" spans="11:16" x14ac:dyDescent="0.2">
      <c r="K1218">
        <v>2011</v>
      </c>
      <c r="L1218" t="s">
        <v>235</v>
      </c>
      <c r="M1218" t="s">
        <v>178</v>
      </c>
      <c r="N1218">
        <v>145.9</v>
      </c>
      <c r="O1218" t="s">
        <v>847</v>
      </c>
      <c r="P1218" t="s">
        <v>226</v>
      </c>
    </row>
    <row r="1219" spans="11:16" x14ac:dyDescent="0.2">
      <c r="K1219">
        <v>2012</v>
      </c>
      <c r="L1219" t="s">
        <v>235</v>
      </c>
      <c r="M1219" t="s">
        <v>178</v>
      </c>
      <c r="N1219">
        <v>144</v>
      </c>
      <c r="O1219" t="s">
        <v>848</v>
      </c>
      <c r="P1219" t="s">
        <v>225</v>
      </c>
    </row>
    <row r="1220" spans="11:16" x14ac:dyDescent="0.2">
      <c r="K1220">
        <v>2012</v>
      </c>
      <c r="L1220" t="s">
        <v>235</v>
      </c>
      <c r="M1220" t="s">
        <v>178</v>
      </c>
      <c r="N1220">
        <v>144</v>
      </c>
      <c r="O1220" t="s">
        <v>848</v>
      </c>
      <c r="P1220" t="s">
        <v>226</v>
      </c>
    </row>
    <row r="1221" spans="11:16" x14ac:dyDescent="0.2">
      <c r="K1221">
        <v>2009</v>
      </c>
      <c r="L1221" t="s">
        <v>223</v>
      </c>
      <c r="M1221" t="s">
        <v>192</v>
      </c>
      <c r="N1221">
        <v>180</v>
      </c>
      <c r="O1221" t="s">
        <v>849</v>
      </c>
      <c r="P1221" t="s">
        <v>225</v>
      </c>
    </row>
    <row r="1222" spans="11:16" x14ac:dyDescent="0.2">
      <c r="K1222">
        <v>2009</v>
      </c>
      <c r="L1222" t="s">
        <v>223</v>
      </c>
      <c r="M1222" t="s">
        <v>192</v>
      </c>
      <c r="N1222">
        <v>180</v>
      </c>
      <c r="O1222" t="s">
        <v>849</v>
      </c>
      <c r="P1222" t="s">
        <v>226</v>
      </c>
    </row>
    <row r="1223" spans="11:16" x14ac:dyDescent="0.2">
      <c r="K1223">
        <v>2010</v>
      </c>
      <c r="L1223" t="s">
        <v>223</v>
      </c>
      <c r="M1223" t="s">
        <v>192</v>
      </c>
      <c r="N1223">
        <v>157.6</v>
      </c>
      <c r="O1223" t="s">
        <v>850</v>
      </c>
      <c r="P1223" t="s">
        <v>225</v>
      </c>
    </row>
    <row r="1224" spans="11:16" x14ac:dyDescent="0.2">
      <c r="K1224">
        <v>2010</v>
      </c>
      <c r="L1224" t="s">
        <v>223</v>
      </c>
      <c r="M1224" t="s">
        <v>192</v>
      </c>
      <c r="N1224">
        <v>157.6</v>
      </c>
      <c r="O1224" t="s">
        <v>850</v>
      </c>
      <c r="P1224" t="s">
        <v>226</v>
      </c>
    </row>
    <row r="1225" spans="11:16" x14ac:dyDescent="0.2">
      <c r="K1225">
        <v>2011</v>
      </c>
      <c r="L1225" t="s">
        <v>223</v>
      </c>
      <c r="M1225" t="s">
        <v>192</v>
      </c>
      <c r="N1225">
        <v>170.3</v>
      </c>
      <c r="O1225" t="s">
        <v>851</v>
      </c>
      <c r="P1225" t="s">
        <v>225</v>
      </c>
    </row>
    <row r="1226" spans="11:16" x14ac:dyDescent="0.2">
      <c r="K1226">
        <v>2011</v>
      </c>
      <c r="L1226" t="s">
        <v>223</v>
      </c>
      <c r="M1226" t="s">
        <v>192</v>
      </c>
      <c r="N1226">
        <v>170.3</v>
      </c>
      <c r="O1226" t="s">
        <v>851</v>
      </c>
      <c r="P1226" t="s">
        <v>226</v>
      </c>
    </row>
    <row r="1227" spans="11:16" x14ac:dyDescent="0.2">
      <c r="K1227">
        <v>2012</v>
      </c>
      <c r="L1227" t="s">
        <v>223</v>
      </c>
      <c r="M1227" t="s">
        <v>192</v>
      </c>
      <c r="N1227">
        <v>169.3</v>
      </c>
      <c r="O1227" t="s">
        <v>852</v>
      </c>
      <c r="P1227" t="s">
        <v>225</v>
      </c>
    </row>
    <row r="1228" spans="11:16" x14ac:dyDescent="0.2">
      <c r="K1228">
        <v>2012</v>
      </c>
      <c r="L1228" t="s">
        <v>223</v>
      </c>
      <c r="M1228" t="s">
        <v>192</v>
      </c>
      <c r="N1228">
        <v>169.3</v>
      </c>
      <c r="O1228" t="s">
        <v>852</v>
      </c>
      <c r="P1228" t="s">
        <v>226</v>
      </c>
    </row>
    <row r="1229" spans="11:16" x14ac:dyDescent="0.2">
      <c r="K1229">
        <v>2008</v>
      </c>
      <c r="L1229" t="s">
        <v>235</v>
      </c>
      <c r="M1229" t="s">
        <v>192</v>
      </c>
      <c r="N1229">
        <v>170.2</v>
      </c>
      <c r="O1229" t="s">
        <v>853</v>
      </c>
      <c r="P1229" t="s">
        <v>225</v>
      </c>
    </row>
    <row r="1230" spans="11:16" x14ac:dyDescent="0.2">
      <c r="K1230">
        <v>2008</v>
      </c>
      <c r="L1230" t="s">
        <v>235</v>
      </c>
      <c r="M1230" t="s">
        <v>192</v>
      </c>
      <c r="N1230">
        <v>170.2</v>
      </c>
      <c r="O1230" t="s">
        <v>853</v>
      </c>
      <c r="P1230" t="s">
        <v>226</v>
      </c>
    </row>
    <row r="1231" spans="11:16" x14ac:dyDescent="0.2">
      <c r="K1231">
        <v>2010</v>
      </c>
      <c r="L1231" t="s">
        <v>235</v>
      </c>
      <c r="M1231" t="s">
        <v>192</v>
      </c>
      <c r="N1231">
        <v>152.6</v>
      </c>
      <c r="O1231" t="s">
        <v>854</v>
      </c>
      <c r="P1231" t="s">
        <v>225</v>
      </c>
    </row>
    <row r="1232" spans="11:16" x14ac:dyDescent="0.2">
      <c r="K1232">
        <v>2010</v>
      </c>
      <c r="L1232" t="s">
        <v>235</v>
      </c>
      <c r="M1232" t="s">
        <v>192</v>
      </c>
      <c r="N1232">
        <v>152.6</v>
      </c>
      <c r="O1232" t="s">
        <v>854</v>
      </c>
      <c r="P1232" t="s">
        <v>226</v>
      </c>
    </row>
    <row r="1233" spans="11:16" x14ac:dyDescent="0.2">
      <c r="K1233">
        <v>2011</v>
      </c>
      <c r="L1233" t="s">
        <v>235</v>
      </c>
      <c r="M1233" t="s">
        <v>192</v>
      </c>
      <c r="N1233">
        <v>163.5</v>
      </c>
      <c r="O1233" t="s">
        <v>855</v>
      </c>
      <c r="P1233" t="s">
        <v>225</v>
      </c>
    </row>
    <row r="1234" spans="11:16" x14ac:dyDescent="0.2">
      <c r="K1234">
        <v>2011</v>
      </c>
      <c r="L1234" t="s">
        <v>235</v>
      </c>
      <c r="M1234" t="s">
        <v>192</v>
      </c>
      <c r="N1234">
        <v>163.5</v>
      </c>
      <c r="O1234" t="s">
        <v>855</v>
      </c>
      <c r="P1234" t="s">
        <v>226</v>
      </c>
    </row>
    <row r="1235" spans="11:16" x14ac:dyDescent="0.2">
      <c r="K1235">
        <v>2012</v>
      </c>
      <c r="L1235" t="s">
        <v>235</v>
      </c>
      <c r="M1235" t="s">
        <v>192</v>
      </c>
      <c r="N1235">
        <v>175.1</v>
      </c>
      <c r="O1235" t="s">
        <v>856</v>
      </c>
      <c r="P1235" t="s">
        <v>225</v>
      </c>
    </row>
    <row r="1236" spans="11:16" x14ac:dyDescent="0.2">
      <c r="K1236">
        <v>2012</v>
      </c>
      <c r="L1236" t="s">
        <v>235</v>
      </c>
      <c r="M1236" t="s">
        <v>192</v>
      </c>
      <c r="N1236">
        <v>175.1</v>
      </c>
      <c r="O1236" t="s">
        <v>856</v>
      </c>
      <c r="P1236" t="s">
        <v>226</v>
      </c>
    </row>
    <row r="1237" spans="11:16" x14ac:dyDescent="0.2">
      <c r="K1237">
        <v>2008</v>
      </c>
      <c r="L1237" t="s">
        <v>835</v>
      </c>
      <c r="M1237" t="s">
        <v>192</v>
      </c>
      <c r="N1237">
        <v>171.2</v>
      </c>
      <c r="O1237" t="s">
        <v>857</v>
      </c>
      <c r="P1237" t="s">
        <v>225</v>
      </c>
    </row>
    <row r="1238" spans="11:16" x14ac:dyDescent="0.2">
      <c r="K1238">
        <v>2008</v>
      </c>
      <c r="L1238" t="s">
        <v>835</v>
      </c>
      <c r="M1238" t="s">
        <v>192</v>
      </c>
      <c r="N1238">
        <v>171.2</v>
      </c>
      <c r="O1238" t="s">
        <v>857</v>
      </c>
      <c r="P1238" t="s">
        <v>226</v>
      </c>
    </row>
    <row r="1239" spans="11:16" x14ac:dyDescent="0.2">
      <c r="K1239">
        <v>2009</v>
      </c>
      <c r="L1239" t="s">
        <v>837</v>
      </c>
      <c r="M1239" t="s">
        <v>192</v>
      </c>
      <c r="N1239">
        <v>180</v>
      </c>
      <c r="O1239" t="s">
        <v>858</v>
      </c>
      <c r="P1239" t="s">
        <v>225</v>
      </c>
    </row>
    <row r="1240" spans="11:16" x14ac:dyDescent="0.2">
      <c r="K1240">
        <v>2009</v>
      </c>
      <c r="L1240" t="s">
        <v>837</v>
      </c>
      <c r="M1240" t="s">
        <v>192</v>
      </c>
      <c r="N1240">
        <v>180</v>
      </c>
      <c r="O1240" t="s">
        <v>858</v>
      </c>
      <c r="P1240" t="s">
        <v>226</v>
      </c>
    </row>
    <row r="1241" spans="11:16" x14ac:dyDescent="0.2">
      <c r="K1241">
        <v>2008</v>
      </c>
      <c r="L1241" t="s">
        <v>223</v>
      </c>
      <c r="M1241" t="s">
        <v>180</v>
      </c>
      <c r="N1241">
        <v>170.3</v>
      </c>
      <c r="O1241" t="s">
        <v>859</v>
      </c>
      <c r="P1241" t="s">
        <v>225</v>
      </c>
    </row>
    <row r="1242" spans="11:16" x14ac:dyDescent="0.2">
      <c r="K1242">
        <v>2008</v>
      </c>
      <c r="L1242" t="s">
        <v>223</v>
      </c>
      <c r="M1242" t="s">
        <v>180</v>
      </c>
      <c r="N1242">
        <v>170.3</v>
      </c>
      <c r="O1242" t="s">
        <v>859</v>
      </c>
      <c r="P1242" t="s">
        <v>226</v>
      </c>
    </row>
    <row r="1243" spans="11:16" x14ac:dyDescent="0.2">
      <c r="K1243">
        <v>2009</v>
      </c>
      <c r="L1243" t="s">
        <v>223</v>
      </c>
      <c r="M1243" t="s">
        <v>180</v>
      </c>
      <c r="N1243">
        <v>164.4</v>
      </c>
      <c r="O1243" t="s">
        <v>860</v>
      </c>
      <c r="P1243" t="s">
        <v>225</v>
      </c>
    </row>
    <row r="1244" spans="11:16" x14ac:dyDescent="0.2">
      <c r="K1244">
        <v>2009</v>
      </c>
      <c r="L1244" t="s">
        <v>223</v>
      </c>
      <c r="M1244" t="s">
        <v>180</v>
      </c>
      <c r="N1244">
        <v>164.4</v>
      </c>
      <c r="O1244" t="s">
        <v>860</v>
      </c>
      <c r="P1244" t="s">
        <v>226</v>
      </c>
    </row>
    <row r="1245" spans="11:16" x14ac:dyDescent="0.2">
      <c r="K1245">
        <v>2010</v>
      </c>
      <c r="L1245" t="s">
        <v>223</v>
      </c>
      <c r="M1245" t="s">
        <v>180</v>
      </c>
      <c r="N1245">
        <v>170.3</v>
      </c>
      <c r="O1245" t="s">
        <v>861</v>
      </c>
      <c r="P1245" t="s">
        <v>225</v>
      </c>
    </row>
    <row r="1246" spans="11:16" x14ac:dyDescent="0.2">
      <c r="K1246">
        <v>2010</v>
      </c>
      <c r="L1246" t="s">
        <v>223</v>
      </c>
      <c r="M1246" t="s">
        <v>180</v>
      </c>
      <c r="N1246">
        <v>170.3</v>
      </c>
      <c r="O1246" t="s">
        <v>861</v>
      </c>
      <c r="P1246" t="s">
        <v>226</v>
      </c>
    </row>
    <row r="1247" spans="11:16" x14ac:dyDescent="0.2">
      <c r="K1247">
        <v>2011</v>
      </c>
      <c r="L1247" t="s">
        <v>223</v>
      </c>
      <c r="M1247" t="s">
        <v>180</v>
      </c>
      <c r="N1247">
        <v>170.3</v>
      </c>
      <c r="O1247" t="s">
        <v>862</v>
      </c>
      <c r="P1247" t="s">
        <v>225</v>
      </c>
    </row>
    <row r="1248" spans="11:16" x14ac:dyDescent="0.2">
      <c r="K1248">
        <v>2011</v>
      </c>
      <c r="L1248" t="s">
        <v>223</v>
      </c>
      <c r="M1248" t="s">
        <v>180</v>
      </c>
      <c r="N1248">
        <v>170.3</v>
      </c>
      <c r="O1248" t="s">
        <v>862</v>
      </c>
      <c r="P1248" t="s">
        <v>226</v>
      </c>
    </row>
    <row r="1249" spans="11:16" x14ac:dyDescent="0.2">
      <c r="K1249">
        <v>2012</v>
      </c>
      <c r="L1249" t="s">
        <v>223</v>
      </c>
      <c r="M1249" t="s">
        <v>180</v>
      </c>
      <c r="N1249">
        <v>168.3</v>
      </c>
      <c r="O1249" t="s">
        <v>863</v>
      </c>
      <c r="P1249" t="s">
        <v>225</v>
      </c>
    </row>
    <row r="1250" spans="11:16" x14ac:dyDescent="0.2">
      <c r="K1250">
        <v>2012</v>
      </c>
      <c r="L1250" t="s">
        <v>223</v>
      </c>
      <c r="M1250" t="s">
        <v>180</v>
      </c>
      <c r="N1250">
        <v>168.3</v>
      </c>
      <c r="O1250" t="s">
        <v>863</v>
      </c>
      <c r="P1250" t="s">
        <v>226</v>
      </c>
    </row>
    <row r="1251" spans="11:16" x14ac:dyDescent="0.2">
      <c r="K1251">
        <v>2008</v>
      </c>
      <c r="L1251" t="s">
        <v>235</v>
      </c>
      <c r="M1251" t="s">
        <v>180</v>
      </c>
      <c r="N1251">
        <v>168.3</v>
      </c>
      <c r="O1251" t="s">
        <v>864</v>
      </c>
      <c r="P1251" t="s">
        <v>225</v>
      </c>
    </row>
    <row r="1252" spans="11:16" x14ac:dyDescent="0.2">
      <c r="K1252">
        <v>2008</v>
      </c>
      <c r="L1252" t="s">
        <v>235</v>
      </c>
      <c r="M1252" t="s">
        <v>180</v>
      </c>
      <c r="N1252">
        <v>168.3</v>
      </c>
      <c r="O1252" t="s">
        <v>864</v>
      </c>
      <c r="P1252" t="s">
        <v>226</v>
      </c>
    </row>
    <row r="1253" spans="11:16" x14ac:dyDescent="0.2">
      <c r="K1253">
        <v>2009</v>
      </c>
      <c r="L1253" t="s">
        <v>235</v>
      </c>
      <c r="M1253" t="s">
        <v>180</v>
      </c>
      <c r="N1253">
        <v>167.4</v>
      </c>
      <c r="O1253" t="s">
        <v>865</v>
      </c>
      <c r="P1253" t="s">
        <v>225</v>
      </c>
    </row>
    <row r="1254" spans="11:16" x14ac:dyDescent="0.2">
      <c r="K1254">
        <v>2009</v>
      </c>
      <c r="L1254" t="s">
        <v>235</v>
      </c>
      <c r="M1254" t="s">
        <v>180</v>
      </c>
      <c r="N1254">
        <v>167.4</v>
      </c>
      <c r="O1254" t="s">
        <v>865</v>
      </c>
      <c r="P1254" t="s">
        <v>226</v>
      </c>
    </row>
    <row r="1255" spans="11:16" x14ac:dyDescent="0.2">
      <c r="K1255">
        <v>2010</v>
      </c>
      <c r="L1255" t="s">
        <v>235</v>
      </c>
      <c r="M1255" t="s">
        <v>180</v>
      </c>
      <c r="N1255">
        <v>168.3</v>
      </c>
      <c r="O1255" t="s">
        <v>866</v>
      </c>
      <c r="P1255" t="s">
        <v>225</v>
      </c>
    </row>
    <row r="1256" spans="11:16" x14ac:dyDescent="0.2">
      <c r="K1256">
        <v>2010</v>
      </c>
      <c r="L1256" t="s">
        <v>235</v>
      </c>
      <c r="M1256" t="s">
        <v>180</v>
      </c>
      <c r="N1256">
        <v>168.3</v>
      </c>
      <c r="O1256" t="s">
        <v>866</v>
      </c>
      <c r="P1256" t="s">
        <v>226</v>
      </c>
    </row>
    <row r="1257" spans="11:16" x14ac:dyDescent="0.2">
      <c r="K1257">
        <v>2011</v>
      </c>
      <c r="L1257" t="s">
        <v>235</v>
      </c>
      <c r="M1257" t="s">
        <v>180</v>
      </c>
      <c r="N1257">
        <v>168.3</v>
      </c>
      <c r="O1257" t="s">
        <v>867</v>
      </c>
      <c r="P1257" t="s">
        <v>225</v>
      </c>
    </row>
    <row r="1258" spans="11:16" x14ac:dyDescent="0.2">
      <c r="K1258">
        <v>2011</v>
      </c>
      <c r="L1258" t="s">
        <v>235</v>
      </c>
      <c r="M1258" t="s">
        <v>180</v>
      </c>
      <c r="N1258">
        <v>168.3</v>
      </c>
      <c r="O1258" t="s">
        <v>867</v>
      </c>
      <c r="P1258" t="s">
        <v>226</v>
      </c>
    </row>
    <row r="1259" spans="11:16" x14ac:dyDescent="0.2">
      <c r="K1259">
        <v>2012</v>
      </c>
      <c r="L1259" t="s">
        <v>235</v>
      </c>
      <c r="M1259" t="s">
        <v>180</v>
      </c>
      <c r="N1259">
        <v>167.4</v>
      </c>
      <c r="O1259" t="s">
        <v>868</v>
      </c>
      <c r="P1259" t="s">
        <v>225</v>
      </c>
    </row>
    <row r="1260" spans="11:16" x14ac:dyDescent="0.2">
      <c r="K1260">
        <v>2012</v>
      </c>
      <c r="L1260" t="s">
        <v>235</v>
      </c>
      <c r="M1260" t="s">
        <v>180</v>
      </c>
      <c r="N1260">
        <v>167.4</v>
      </c>
      <c r="O1260" t="s">
        <v>868</v>
      </c>
      <c r="P1260" t="s">
        <v>226</v>
      </c>
    </row>
    <row r="1261" spans="11:16" x14ac:dyDescent="0.2">
      <c r="K1261">
        <v>2008</v>
      </c>
      <c r="L1261" t="s">
        <v>223</v>
      </c>
      <c r="M1261" t="s">
        <v>179</v>
      </c>
      <c r="N1261">
        <v>202.3</v>
      </c>
      <c r="O1261" t="s">
        <v>869</v>
      </c>
      <c r="P1261" t="s">
        <v>225</v>
      </c>
    </row>
    <row r="1262" spans="11:16" x14ac:dyDescent="0.2">
      <c r="K1262">
        <v>2008</v>
      </c>
      <c r="L1262" t="s">
        <v>223</v>
      </c>
      <c r="M1262" t="s">
        <v>179</v>
      </c>
      <c r="N1262">
        <v>202.3</v>
      </c>
      <c r="O1262" t="s">
        <v>869</v>
      </c>
      <c r="P1262" t="s">
        <v>226</v>
      </c>
    </row>
    <row r="1263" spans="11:16" x14ac:dyDescent="0.2">
      <c r="K1263">
        <v>2009</v>
      </c>
      <c r="L1263" t="s">
        <v>223</v>
      </c>
      <c r="M1263" t="s">
        <v>179</v>
      </c>
      <c r="N1263">
        <v>201.4</v>
      </c>
      <c r="O1263" t="s">
        <v>870</v>
      </c>
      <c r="P1263" t="s">
        <v>225</v>
      </c>
    </row>
    <row r="1264" spans="11:16" x14ac:dyDescent="0.2">
      <c r="K1264">
        <v>2009</v>
      </c>
      <c r="L1264" t="s">
        <v>223</v>
      </c>
      <c r="M1264" t="s">
        <v>179</v>
      </c>
      <c r="N1264">
        <v>201.4</v>
      </c>
      <c r="O1264" t="s">
        <v>870</v>
      </c>
      <c r="P1264" t="s">
        <v>226</v>
      </c>
    </row>
    <row r="1265" spans="11:16" x14ac:dyDescent="0.2">
      <c r="K1265">
        <v>2010</v>
      </c>
      <c r="L1265" t="s">
        <v>223</v>
      </c>
      <c r="M1265" t="s">
        <v>179</v>
      </c>
      <c r="N1265">
        <v>197.9</v>
      </c>
      <c r="O1265" t="s">
        <v>871</v>
      </c>
      <c r="P1265" t="s">
        <v>225</v>
      </c>
    </row>
    <row r="1266" spans="11:16" x14ac:dyDescent="0.2">
      <c r="K1266">
        <v>2010</v>
      </c>
      <c r="L1266" t="s">
        <v>223</v>
      </c>
      <c r="M1266" t="s">
        <v>179</v>
      </c>
      <c r="N1266">
        <v>197.9</v>
      </c>
      <c r="O1266" t="s">
        <v>871</v>
      </c>
      <c r="P1266" t="s">
        <v>226</v>
      </c>
    </row>
    <row r="1267" spans="11:16" x14ac:dyDescent="0.2">
      <c r="K1267">
        <v>2011</v>
      </c>
      <c r="L1267" t="s">
        <v>223</v>
      </c>
      <c r="M1267" t="s">
        <v>179</v>
      </c>
      <c r="N1267">
        <v>202.4</v>
      </c>
      <c r="O1267" t="s">
        <v>872</v>
      </c>
      <c r="P1267" t="s">
        <v>225</v>
      </c>
    </row>
    <row r="1268" spans="11:16" x14ac:dyDescent="0.2">
      <c r="K1268">
        <v>2011</v>
      </c>
      <c r="L1268" t="s">
        <v>223</v>
      </c>
      <c r="M1268" t="s">
        <v>179</v>
      </c>
      <c r="N1268">
        <v>202.4</v>
      </c>
      <c r="O1268" t="s">
        <v>872</v>
      </c>
      <c r="P1268" t="s">
        <v>226</v>
      </c>
    </row>
    <row r="1269" spans="11:16" x14ac:dyDescent="0.2">
      <c r="K1269">
        <v>2012</v>
      </c>
      <c r="L1269" t="s">
        <v>223</v>
      </c>
      <c r="M1269" t="s">
        <v>179</v>
      </c>
      <c r="N1269">
        <v>201.4</v>
      </c>
      <c r="O1269" t="s">
        <v>873</v>
      </c>
      <c r="P1269" t="s">
        <v>225</v>
      </c>
    </row>
    <row r="1270" spans="11:16" x14ac:dyDescent="0.2">
      <c r="K1270">
        <v>2012</v>
      </c>
      <c r="L1270" t="s">
        <v>223</v>
      </c>
      <c r="M1270" t="s">
        <v>179</v>
      </c>
      <c r="N1270">
        <v>201.4</v>
      </c>
      <c r="O1270" t="s">
        <v>873</v>
      </c>
      <c r="P1270" t="s">
        <v>226</v>
      </c>
    </row>
    <row r="1271" spans="11:16" x14ac:dyDescent="0.2">
      <c r="K1271">
        <v>2008</v>
      </c>
      <c r="L1271" t="s">
        <v>235</v>
      </c>
      <c r="M1271" t="s">
        <v>179</v>
      </c>
      <c r="N1271">
        <v>202.3</v>
      </c>
      <c r="O1271" t="s">
        <v>874</v>
      </c>
      <c r="P1271" t="s">
        <v>225</v>
      </c>
    </row>
    <row r="1272" spans="11:16" x14ac:dyDescent="0.2">
      <c r="K1272">
        <v>2008</v>
      </c>
      <c r="L1272" t="s">
        <v>235</v>
      </c>
      <c r="M1272" t="s">
        <v>179</v>
      </c>
      <c r="N1272">
        <v>202.3</v>
      </c>
      <c r="O1272" t="s">
        <v>874</v>
      </c>
      <c r="P1272" t="s">
        <v>226</v>
      </c>
    </row>
    <row r="1273" spans="11:16" x14ac:dyDescent="0.2">
      <c r="K1273">
        <v>2009</v>
      </c>
      <c r="L1273" t="s">
        <v>235</v>
      </c>
      <c r="M1273" t="s">
        <v>179</v>
      </c>
      <c r="N1273">
        <v>203.3</v>
      </c>
      <c r="O1273" t="s">
        <v>875</v>
      </c>
      <c r="P1273" t="s">
        <v>225</v>
      </c>
    </row>
    <row r="1274" spans="11:16" x14ac:dyDescent="0.2">
      <c r="K1274">
        <v>2009</v>
      </c>
      <c r="L1274" t="s">
        <v>235</v>
      </c>
      <c r="M1274" t="s">
        <v>179</v>
      </c>
      <c r="N1274">
        <v>203.3</v>
      </c>
      <c r="O1274" t="s">
        <v>875</v>
      </c>
      <c r="P1274" t="s">
        <v>226</v>
      </c>
    </row>
    <row r="1275" spans="11:16" x14ac:dyDescent="0.2">
      <c r="K1275">
        <v>2010</v>
      </c>
      <c r="L1275" t="s">
        <v>235</v>
      </c>
      <c r="M1275" t="s">
        <v>179</v>
      </c>
      <c r="N1275">
        <v>201.4</v>
      </c>
      <c r="O1275" t="s">
        <v>876</v>
      </c>
      <c r="P1275" t="s">
        <v>225</v>
      </c>
    </row>
    <row r="1276" spans="11:16" x14ac:dyDescent="0.2">
      <c r="K1276">
        <v>2010</v>
      </c>
      <c r="L1276" t="s">
        <v>235</v>
      </c>
      <c r="M1276" t="s">
        <v>179</v>
      </c>
      <c r="N1276">
        <v>201.4</v>
      </c>
      <c r="O1276" t="s">
        <v>876</v>
      </c>
      <c r="P1276" t="s">
        <v>226</v>
      </c>
    </row>
    <row r="1277" spans="11:16" x14ac:dyDescent="0.2">
      <c r="K1277">
        <v>2011</v>
      </c>
      <c r="L1277" t="s">
        <v>235</v>
      </c>
      <c r="M1277" t="s">
        <v>179</v>
      </c>
      <c r="N1277">
        <v>199.5</v>
      </c>
      <c r="O1277" t="s">
        <v>877</v>
      </c>
      <c r="P1277" t="s">
        <v>225</v>
      </c>
    </row>
    <row r="1278" spans="11:16" x14ac:dyDescent="0.2">
      <c r="K1278">
        <v>2011</v>
      </c>
      <c r="L1278" t="s">
        <v>235</v>
      </c>
      <c r="M1278" t="s">
        <v>179</v>
      </c>
      <c r="N1278">
        <v>199.5</v>
      </c>
      <c r="O1278" t="s">
        <v>877</v>
      </c>
      <c r="P1278" t="s">
        <v>226</v>
      </c>
    </row>
    <row r="1279" spans="11:16" x14ac:dyDescent="0.2">
      <c r="K1279">
        <v>2012</v>
      </c>
      <c r="L1279" t="s">
        <v>235</v>
      </c>
      <c r="M1279" t="s">
        <v>179</v>
      </c>
      <c r="N1279">
        <v>201.4</v>
      </c>
      <c r="O1279" t="s">
        <v>878</v>
      </c>
      <c r="P1279" t="s">
        <v>225</v>
      </c>
    </row>
    <row r="1280" spans="11:16" x14ac:dyDescent="0.2">
      <c r="K1280">
        <v>2012</v>
      </c>
      <c r="L1280" t="s">
        <v>235</v>
      </c>
      <c r="M1280" t="s">
        <v>179</v>
      </c>
      <c r="N1280">
        <v>201.4</v>
      </c>
      <c r="O1280" t="s">
        <v>878</v>
      </c>
      <c r="P1280" t="s">
        <v>226</v>
      </c>
    </row>
    <row r="1281" spans="11:16" x14ac:dyDescent="0.2">
      <c r="K1281">
        <v>2008</v>
      </c>
      <c r="L1281" t="s">
        <v>223</v>
      </c>
      <c r="M1281" t="s">
        <v>175</v>
      </c>
      <c r="N1281">
        <v>299.60000000000002</v>
      </c>
      <c r="O1281" t="s">
        <v>879</v>
      </c>
      <c r="P1281" t="s">
        <v>225</v>
      </c>
    </row>
    <row r="1282" spans="11:16" x14ac:dyDescent="0.2">
      <c r="K1282">
        <v>2008</v>
      </c>
      <c r="L1282" t="s">
        <v>223</v>
      </c>
      <c r="M1282" t="s">
        <v>175</v>
      </c>
      <c r="N1282">
        <v>299.60000000000002</v>
      </c>
      <c r="O1282" t="s">
        <v>879</v>
      </c>
      <c r="P1282" t="s">
        <v>226</v>
      </c>
    </row>
    <row r="1283" spans="11:16" x14ac:dyDescent="0.2">
      <c r="K1283">
        <v>2009</v>
      </c>
      <c r="L1283" t="s">
        <v>223</v>
      </c>
      <c r="M1283" t="s">
        <v>175</v>
      </c>
      <c r="N1283">
        <v>297.7</v>
      </c>
      <c r="O1283" t="s">
        <v>880</v>
      </c>
      <c r="P1283" t="s">
        <v>225</v>
      </c>
    </row>
    <row r="1284" spans="11:16" x14ac:dyDescent="0.2">
      <c r="K1284">
        <v>2009</v>
      </c>
      <c r="L1284" t="s">
        <v>223</v>
      </c>
      <c r="M1284" t="s">
        <v>175</v>
      </c>
      <c r="N1284">
        <v>297.7</v>
      </c>
      <c r="O1284" t="s">
        <v>880</v>
      </c>
      <c r="P1284" t="s">
        <v>226</v>
      </c>
    </row>
    <row r="1285" spans="11:16" x14ac:dyDescent="0.2">
      <c r="K1285">
        <v>2010</v>
      </c>
      <c r="L1285" t="s">
        <v>223</v>
      </c>
      <c r="M1285" t="s">
        <v>175</v>
      </c>
      <c r="N1285">
        <v>298.10000000000002</v>
      </c>
      <c r="O1285" t="s">
        <v>881</v>
      </c>
      <c r="P1285" t="s">
        <v>225</v>
      </c>
    </row>
    <row r="1286" spans="11:16" x14ac:dyDescent="0.2">
      <c r="K1286">
        <v>2010</v>
      </c>
      <c r="L1286" t="s">
        <v>223</v>
      </c>
      <c r="M1286" t="s">
        <v>175</v>
      </c>
      <c r="N1286">
        <v>298.10000000000002</v>
      </c>
      <c r="O1286" t="s">
        <v>881</v>
      </c>
      <c r="P1286" t="s">
        <v>226</v>
      </c>
    </row>
    <row r="1287" spans="11:16" x14ac:dyDescent="0.2">
      <c r="K1287">
        <v>2011</v>
      </c>
      <c r="L1287" t="s">
        <v>223</v>
      </c>
      <c r="M1287" t="s">
        <v>175</v>
      </c>
      <c r="N1287">
        <v>297.7</v>
      </c>
      <c r="O1287" t="s">
        <v>882</v>
      </c>
      <c r="P1287" t="s">
        <v>225</v>
      </c>
    </row>
    <row r="1288" spans="11:16" x14ac:dyDescent="0.2">
      <c r="K1288">
        <v>2011</v>
      </c>
      <c r="L1288" t="s">
        <v>223</v>
      </c>
      <c r="M1288" t="s">
        <v>175</v>
      </c>
      <c r="N1288">
        <v>297.7</v>
      </c>
      <c r="O1288" t="s">
        <v>882</v>
      </c>
      <c r="P1288" t="s">
        <v>226</v>
      </c>
    </row>
    <row r="1289" spans="11:16" x14ac:dyDescent="0.2">
      <c r="K1289">
        <v>2012</v>
      </c>
      <c r="L1289" t="s">
        <v>223</v>
      </c>
      <c r="M1289" t="s">
        <v>175</v>
      </c>
      <c r="N1289">
        <v>293.8</v>
      </c>
      <c r="O1289" t="s">
        <v>883</v>
      </c>
      <c r="P1289" t="s">
        <v>225</v>
      </c>
    </row>
    <row r="1290" spans="11:16" x14ac:dyDescent="0.2">
      <c r="K1290">
        <v>2012</v>
      </c>
      <c r="L1290" t="s">
        <v>223</v>
      </c>
      <c r="M1290" t="s">
        <v>175</v>
      </c>
      <c r="N1290">
        <v>293.8</v>
      </c>
      <c r="O1290" t="s">
        <v>883</v>
      </c>
      <c r="P1290" t="s">
        <v>226</v>
      </c>
    </row>
    <row r="1291" spans="11:16" x14ac:dyDescent="0.2">
      <c r="K1291">
        <v>2008</v>
      </c>
      <c r="L1291" t="s">
        <v>235</v>
      </c>
      <c r="M1291" t="s">
        <v>175</v>
      </c>
      <c r="N1291">
        <v>299.60000000000002</v>
      </c>
      <c r="O1291" t="s">
        <v>884</v>
      </c>
      <c r="P1291" t="s">
        <v>225</v>
      </c>
    </row>
    <row r="1292" spans="11:16" x14ac:dyDescent="0.2">
      <c r="K1292">
        <v>2008</v>
      </c>
      <c r="L1292" t="s">
        <v>235</v>
      </c>
      <c r="M1292" t="s">
        <v>175</v>
      </c>
      <c r="N1292">
        <v>299.60000000000002</v>
      </c>
      <c r="O1292" t="s">
        <v>884</v>
      </c>
      <c r="P1292" t="s">
        <v>226</v>
      </c>
    </row>
    <row r="1293" spans="11:16" x14ac:dyDescent="0.2">
      <c r="K1293">
        <v>2009</v>
      </c>
      <c r="L1293" t="s">
        <v>235</v>
      </c>
      <c r="M1293" t="s">
        <v>175</v>
      </c>
      <c r="N1293">
        <v>292.89999999999998</v>
      </c>
      <c r="O1293" t="s">
        <v>885</v>
      </c>
      <c r="P1293" t="s">
        <v>225</v>
      </c>
    </row>
    <row r="1294" spans="11:16" x14ac:dyDescent="0.2">
      <c r="K1294">
        <v>2009</v>
      </c>
      <c r="L1294" t="s">
        <v>235</v>
      </c>
      <c r="M1294" t="s">
        <v>175</v>
      </c>
      <c r="N1294">
        <v>292.89999999999998</v>
      </c>
      <c r="O1294" t="s">
        <v>885</v>
      </c>
      <c r="P1294" t="s">
        <v>226</v>
      </c>
    </row>
    <row r="1295" spans="11:16" x14ac:dyDescent="0.2">
      <c r="K1295">
        <v>2010</v>
      </c>
      <c r="L1295" t="s">
        <v>235</v>
      </c>
      <c r="M1295" t="s">
        <v>175</v>
      </c>
      <c r="N1295">
        <v>297.7</v>
      </c>
      <c r="O1295" t="s">
        <v>886</v>
      </c>
      <c r="P1295" t="s">
        <v>225</v>
      </c>
    </row>
    <row r="1296" spans="11:16" x14ac:dyDescent="0.2">
      <c r="K1296">
        <v>2010</v>
      </c>
      <c r="L1296" t="s">
        <v>235</v>
      </c>
      <c r="M1296" t="s">
        <v>175</v>
      </c>
      <c r="N1296">
        <v>297.7</v>
      </c>
      <c r="O1296" t="s">
        <v>886</v>
      </c>
      <c r="P1296" t="s">
        <v>226</v>
      </c>
    </row>
    <row r="1297" spans="11:16" x14ac:dyDescent="0.2">
      <c r="K1297">
        <v>2011</v>
      </c>
      <c r="L1297" t="s">
        <v>235</v>
      </c>
      <c r="M1297" t="s">
        <v>175</v>
      </c>
      <c r="N1297">
        <v>295.8</v>
      </c>
      <c r="O1297" t="s">
        <v>887</v>
      </c>
      <c r="P1297" t="s">
        <v>225</v>
      </c>
    </row>
    <row r="1298" spans="11:16" x14ac:dyDescent="0.2">
      <c r="K1298">
        <v>2011</v>
      </c>
      <c r="L1298" t="s">
        <v>235</v>
      </c>
      <c r="M1298" t="s">
        <v>175</v>
      </c>
      <c r="N1298">
        <v>295.8</v>
      </c>
      <c r="O1298" t="s">
        <v>887</v>
      </c>
      <c r="P1298" t="s">
        <v>226</v>
      </c>
    </row>
    <row r="1299" spans="11:16" x14ac:dyDescent="0.2">
      <c r="K1299">
        <v>2012</v>
      </c>
      <c r="L1299" t="s">
        <v>235</v>
      </c>
      <c r="M1299" t="s">
        <v>175</v>
      </c>
      <c r="N1299">
        <v>298.7</v>
      </c>
      <c r="O1299" t="s">
        <v>888</v>
      </c>
      <c r="P1299" t="s">
        <v>225</v>
      </c>
    </row>
    <row r="1300" spans="11:16" x14ac:dyDescent="0.2">
      <c r="K1300">
        <v>2012</v>
      </c>
      <c r="L1300" t="s">
        <v>235</v>
      </c>
      <c r="M1300" t="s">
        <v>175</v>
      </c>
      <c r="N1300">
        <v>298.7</v>
      </c>
      <c r="O1300" t="s">
        <v>888</v>
      </c>
      <c r="P1300" t="s">
        <v>226</v>
      </c>
    </row>
    <row r="1301" spans="11:16" x14ac:dyDescent="0.2">
      <c r="K1301">
        <v>2009</v>
      </c>
      <c r="L1301" t="s">
        <v>223</v>
      </c>
      <c r="M1301" t="s">
        <v>181</v>
      </c>
      <c r="N1301">
        <v>238.9</v>
      </c>
      <c r="O1301" t="s">
        <v>889</v>
      </c>
      <c r="P1301" t="s">
        <v>225</v>
      </c>
    </row>
    <row r="1302" spans="11:16" x14ac:dyDescent="0.2">
      <c r="K1302">
        <v>2009</v>
      </c>
      <c r="L1302" t="s">
        <v>223</v>
      </c>
      <c r="M1302" t="s">
        <v>181</v>
      </c>
      <c r="N1302">
        <v>238.9</v>
      </c>
      <c r="O1302" t="s">
        <v>889</v>
      </c>
      <c r="P1302" t="s">
        <v>226</v>
      </c>
    </row>
    <row r="1303" spans="11:16" x14ac:dyDescent="0.2">
      <c r="K1303">
        <v>2010</v>
      </c>
      <c r="L1303" t="s">
        <v>223</v>
      </c>
      <c r="M1303" t="s">
        <v>181</v>
      </c>
      <c r="N1303">
        <v>240.3</v>
      </c>
      <c r="O1303" t="s">
        <v>890</v>
      </c>
      <c r="P1303" t="s">
        <v>225</v>
      </c>
    </row>
    <row r="1304" spans="11:16" x14ac:dyDescent="0.2">
      <c r="K1304">
        <v>2010</v>
      </c>
      <c r="L1304" t="s">
        <v>223</v>
      </c>
      <c r="M1304" t="s">
        <v>181</v>
      </c>
      <c r="N1304">
        <v>240.3</v>
      </c>
      <c r="O1304" t="s">
        <v>890</v>
      </c>
      <c r="P1304" t="s">
        <v>226</v>
      </c>
    </row>
    <row r="1305" spans="11:16" x14ac:dyDescent="0.2">
      <c r="K1305">
        <v>2011</v>
      </c>
      <c r="L1305" t="s">
        <v>223</v>
      </c>
      <c r="M1305" t="s">
        <v>181</v>
      </c>
      <c r="N1305">
        <v>237.4</v>
      </c>
      <c r="O1305" t="s">
        <v>891</v>
      </c>
      <c r="P1305" t="s">
        <v>225</v>
      </c>
    </row>
    <row r="1306" spans="11:16" x14ac:dyDescent="0.2">
      <c r="K1306">
        <v>2011</v>
      </c>
      <c r="L1306" t="s">
        <v>223</v>
      </c>
      <c r="M1306" t="s">
        <v>181</v>
      </c>
      <c r="N1306">
        <v>237.4</v>
      </c>
      <c r="O1306" t="s">
        <v>891</v>
      </c>
      <c r="P1306" t="s">
        <v>226</v>
      </c>
    </row>
    <row r="1307" spans="11:16" x14ac:dyDescent="0.2">
      <c r="K1307">
        <v>2012</v>
      </c>
      <c r="L1307" t="s">
        <v>223</v>
      </c>
      <c r="M1307" t="s">
        <v>181</v>
      </c>
      <c r="N1307">
        <v>239.4</v>
      </c>
      <c r="O1307" t="s">
        <v>892</v>
      </c>
      <c r="P1307" t="s">
        <v>225</v>
      </c>
    </row>
    <row r="1308" spans="11:16" x14ac:dyDescent="0.2">
      <c r="K1308">
        <v>2012</v>
      </c>
      <c r="L1308" t="s">
        <v>223</v>
      </c>
      <c r="M1308" t="s">
        <v>181</v>
      </c>
      <c r="N1308">
        <v>239.4</v>
      </c>
      <c r="O1308" t="s">
        <v>892</v>
      </c>
      <c r="P1308" t="s">
        <v>226</v>
      </c>
    </row>
    <row r="1309" spans="11:16" x14ac:dyDescent="0.2">
      <c r="K1309">
        <v>2008</v>
      </c>
      <c r="L1309" t="s">
        <v>235</v>
      </c>
      <c r="M1309" t="s">
        <v>181</v>
      </c>
      <c r="N1309">
        <v>236.4</v>
      </c>
      <c r="O1309" t="s">
        <v>893</v>
      </c>
      <c r="P1309" t="s">
        <v>225</v>
      </c>
    </row>
    <row r="1310" spans="11:16" x14ac:dyDescent="0.2">
      <c r="K1310">
        <v>2008</v>
      </c>
      <c r="L1310" t="s">
        <v>235</v>
      </c>
      <c r="M1310" t="s">
        <v>181</v>
      </c>
      <c r="N1310">
        <v>236.4</v>
      </c>
      <c r="O1310" t="s">
        <v>893</v>
      </c>
      <c r="P1310" t="s">
        <v>226</v>
      </c>
    </row>
    <row r="1311" spans="11:16" x14ac:dyDescent="0.2">
      <c r="K1311">
        <v>2009</v>
      </c>
      <c r="L1311" t="s">
        <v>235</v>
      </c>
      <c r="M1311" t="s">
        <v>181</v>
      </c>
      <c r="N1311">
        <v>238.4</v>
      </c>
      <c r="O1311" t="s">
        <v>894</v>
      </c>
      <c r="P1311" t="s">
        <v>225</v>
      </c>
    </row>
    <row r="1312" spans="11:16" x14ac:dyDescent="0.2">
      <c r="K1312">
        <v>2009</v>
      </c>
      <c r="L1312" t="s">
        <v>235</v>
      </c>
      <c r="M1312" t="s">
        <v>181</v>
      </c>
      <c r="N1312">
        <v>238.4</v>
      </c>
      <c r="O1312" t="s">
        <v>894</v>
      </c>
      <c r="P1312" t="s">
        <v>226</v>
      </c>
    </row>
    <row r="1313" spans="11:16" x14ac:dyDescent="0.2">
      <c r="K1313">
        <v>2010</v>
      </c>
      <c r="L1313" t="s">
        <v>235</v>
      </c>
      <c r="M1313" t="s">
        <v>181</v>
      </c>
      <c r="N1313">
        <v>234.5</v>
      </c>
      <c r="O1313" t="s">
        <v>895</v>
      </c>
      <c r="P1313" t="s">
        <v>225</v>
      </c>
    </row>
    <row r="1314" spans="11:16" x14ac:dyDescent="0.2">
      <c r="K1314">
        <v>2010</v>
      </c>
      <c r="L1314" t="s">
        <v>235</v>
      </c>
      <c r="M1314" t="s">
        <v>181</v>
      </c>
      <c r="N1314">
        <v>234.5</v>
      </c>
      <c r="O1314" t="s">
        <v>895</v>
      </c>
      <c r="P1314" t="s">
        <v>226</v>
      </c>
    </row>
    <row r="1315" spans="11:16" x14ac:dyDescent="0.2">
      <c r="K1315">
        <v>2011</v>
      </c>
      <c r="L1315" t="s">
        <v>235</v>
      </c>
      <c r="M1315" t="s">
        <v>181</v>
      </c>
      <c r="N1315">
        <v>237.4</v>
      </c>
      <c r="O1315" t="s">
        <v>896</v>
      </c>
      <c r="P1315" t="s">
        <v>225</v>
      </c>
    </row>
    <row r="1316" spans="11:16" x14ac:dyDescent="0.2">
      <c r="K1316">
        <v>2011</v>
      </c>
      <c r="L1316" t="s">
        <v>235</v>
      </c>
      <c r="M1316" t="s">
        <v>181</v>
      </c>
      <c r="N1316">
        <v>237.4</v>
      </c>
      <c r="O1316" t="s">
        <v>896</v>
      </c>
      <c r="P1316" t="s">
        <v>226</v>
      </c>
    </row>
    <row r="1317" spans="11:16" x14ac:dyDescent="0.2">
      <c r="K1317">
        <v>2012</v>
      </c>
      <c r="L1317" t="s">
        <v>235</v>
      </c>
      <c r="M1317" t="s">
        <v>181</v>
      </c>
      <c r="N1317">
        <v>236.4</v>
      </c>
      <c r="O1317" t="s">
        <v>897</v>
      </c>
      <c r="P1317" t="s">
        <v>225</v>
      </c>
    </row>
    <row r="1318" spans="11:16" x14ac:dyDescent="0.2">
      <c r="K1318">
        <v>2012</v>
      </c>
      <c r="L1318" t="s">
        <v>235</v>
      </c>
      <c r="M1318" t="s">
        <v>181</v>
      </c>
      <c r="N1318">
        <v>236.4</v>
      </c>
      <c r="O1318" t="s">
        <v>897</v>
      </c>
      <c r="P1318" t="s">
        <v>226</v>
      </c>
    </row>
    <row r="1319" spans="11:16" x14ac:dyDescent="0.2">
      <c r="K1319">
        <v>2008</v>
      </c>
      <c r="L1319" t="s">
        <v>835</v>
      </c>
      <c r="M1319" t="s">
        <v>181</v>
      </c>
      <c r="N1319">
        <v>238.3</v>
      </c>
      <c r="O1319" t="s">
        <v>898</v>
      </c>
      <c r="P1319" t="s">
        <v>225</v>
      </c>
    </row>
    <row r="1320" spans="11:16" x14ac:dyDescent="0.2">
      <c r="K1320">
        <v>2008</v>
      </c>
      <c r="L1320" t="s">
        <v>835</v>
      </c>
      <c r="M1320" t="s">
        <v>181</v>
      </c>
      <c r="N1320">
        <v>238.3</v>
      </c>
      <c r="O1320" t="s">
        <v>898</v>
      </c>
      <c r="P1320" t="s">
        <v>226</v>
      </c>
    </row>
    <row r="1321" spans="11:16" x14ac:dyDescent="0.2">
      <c r="K1321">
        <v>2009</v>
      </c>
      <c r="L1321" t="s">
        <v>223</v>
      </c>
      <c r="M1321" t="s">
        <v>191</v>
      </c>
      <c r="N1321">
        <v>155.19999999999999</v>
      </c>
      <c r="O1321" t="s">
        <v>899</v>
      </c>
      <c r="P1321" t="s">
        <v>225</v>
      </c>
    </row>
    <row r="1322" spans="11:16" x14ac:dyDescent="0.2">
      <c r="K1322">
        <v>2009</v>
      </c>
      <c r="L1322" t="s">
        <v>223</v>
      </c>
      <c r="M1322" t="s">
        <v>191</v>
      </c>
      <c r="N1322">
        <v>155.19999999999999</v>
      </c>
      <c r="O1322" t="s">
        <v>899</v>
      </c>
      <c r="P1322" t="s">
        <v>226</v>
      </c>
    </row>
    <row r="1323" spans="11:16" x14ac:dyDescent="0.2">
      <c r="K1323">
        <v>2010</v>
      </c>
      <c r="L1323" t="s">
        <v>223</v>
      </c>
      <c r="M1323" t="s">
        <v>191</v>
      </c>
      <c r="N1323">
        <v>154.69999999999999</v>
      </c>
      <c r="O1323" t="s">
        <v>900</v>
      </c>
      <c r="P1323" t="s">
        <v>225</v>
      </c>
    </row>
    <row r="1324" spans="11:16" x14ac:dyDescent="0.2">
      <c r="K1324">
        <v>2010</v>
      </c>
      <c r="L1324" t="s">
        <v>223</v>
      </c>
      <c r="M1324" t="s">
        <v>191</v>
      </c>
      <c r="N1324">
        <v>154.69999999999999</v>
      </c>
      <c r="O1324" t="s">
        <v>900</v>
      </c>
      <c r="P1324" t="s">
        <v>226</v>
      </c>
    </row>
    <row r="1325" spans="11:16" x14ac:dyDescent="0.2">
      <c r="K1325">
        <v>2011</v>
      </c>
      <c r="L1325" t="s">
        <v>223</v>
      </c>
      <c r="M1325" t="s">
        <v>191</v>
      </c>
      <c r="N1325">
        <v>156.69999999999999</v>
      </c>
      <c r="O1325" t="s">
        <v>901</v>
      </c>
      <c r="P1325" t="s">
        <v>225</v>
      </c>
    </row>
    <row r="1326" spans="11:16" x14ac:dyDescent="0.2">
      <c r="K1326">
        <v>2011</v>
      </c>
      <c r="L1326" t="s">
        <v>223</v>
      </c>
      <c r="M1326" t="s">
        <v>191</v>
      </c>
      <c r="N1326">
        <v>156.69999999999999</v>
      </c>
      <c r="O1326" t="s">
        <v>901</v>
      </c>
      <c r="P1326" t="s">
        <v>226</v>
      </c>
    </row>
    <row r="1327" spans="11:16" x14ac:dyDescent="0.2">
      <c r="K1327">
        <v>2012</v>
      </c>
      <c r="L1327" t="s">
        <v>223</v>
      </c>
      <c r="M1327" t="s">
        <v>191</v>
      </c>
      <c r="N1327">
        <v>156.69999999999999</v>
      </c>
      <c r="O1327" t="s">
        <v>902</v>
      </c>
      <c r="P1327" t="s">
        <v>225</v>
      </c>
    </row>
    <row r="1328" spans="11:16" x14ac:dyDescent="0.2">
      <c r="K1328">
        <v>2012</v>
      </c>
      <c r="L1328" t="s">
        <v>223</v>
      </c>
      <c r="M1328" t="s">
        <v>191</v>
      </c>
      <c r="N1328">
        <v>156.69999999999999</v>
      </c>
      <c r="O1328" t="s">
        <v>902</v>
      </c>
      <c r="P1328" t="s">
        <v>226</v>
      </c>
    </row>
    <row r="1329" spans="11:16" x14ac:dyDescent="0.2">
      <c r="K1329">
        <v>2008</v>
      </c>
      <c r="L1329" t="s">
        <v>235</v>
      </c>
      <c r="M1329" t="s">
        <v>191</v>
      </c>
      <c r="N1329">
        <v>153.69999999999999</v>
      </c>
      <c r="O1329" t="s">
        <v>903</v>
      </c>
      <c r="P1329" t="s">
        <v>225</v>
      </c>
    </row>
    <row r="1330" spans="11:16" x14ac:dyDescent="0.2">
      <c r="K1330">
        <v>2008</v>
      </c>
      <c r="L1330" t="s">
        <v>235</v>
      </c>
      <c r="M1330" t="s">
        <v>191</v>
      </c>
      <c r="N1330">
        <v>153.69999999999999</v>
      </c>
      <c r="O1330" t="s">
        <v>903</v>
      </c>
      <c r="P1330" t="s">
        <v>226</v>
      </c>
    </row>
    <row r="1331" spans="11:16" x14ac:dyDescent="0.2">
      <c r="K1331">
        <v>2010</v>
      </c>
      <c r="L1331" t="s">
        <v>235</v>
      </c>
      <c r="M1331" t="s">
        <v>191</v>
      </c>
      <c r="N1331">
        <v>152.80000000000001</v>
      </c>
      <c r="O1331" t="s">
        <v>904</v>
      </c>
      <c r="P1331" t="s">
        <v>225</v>
      </c>
    </row>
    <row r="1332" spans="11:16" x14ac:dyDescent="0.2">
      <c r="K1332">
        <v>2010</v>
      </c>
      <c r="L1332" t="s">
        <v>235</v>
      </c>
      <c r="M1332" t="s">
        <v>191</v>
      </c>
      <c r="N1332">
        <v>152.80000000000001</v>
      </c>
      <c r="O1332" t="s">
        <v>904</v>
      </c>
      <c r="P1332" t="s">
        <v>226</v>
      </c>
    </row>
    <row r="1333" spans="11:16" x14ac:dyDescent="0.2">
      <c r="K1333">
        <v>2011</v>
      </c>
      <c r="L1333" t="s">
        <v>235</v>
      </c>
      <c r="M1333" t="s">
        <v>191</v>
      </c>
      <c r="N1333">
        <v>148.69999999999999</v>
      </c>
      <c r="O1333" t="s">
        <v>905</v>
      </c>
      <c r="P1333" t="s">
        <v>225</v>
      </c>
    </row>
    <row r="1334" spans="11:16" x14ac:dyDescent="0.2">
      <c r="K1334">
        <v>2011</v>
      </c>
      <c r="L1334" t="s">
        <v>235</v>
      </c>
      <c r="M1334" t="s">
        <v>191</v>
      </c>
      <c r="N1334">
        <v>148.69999999999999</v>
      </c>
      <c r="O1334" t="s">
        <v>905</v>
      </c>
      <c r="P1334" t="s">
        <v>226</v>
      </c>
    </row>
    <row r="1335" spans="11:16" x14ac:dyDescent="0.2">
      <c r="K1335">
        <v>2012</v>
      </c>
      <c r="L1335" t="s">
        <v>235</v>
      </c>
      <c r="M1335" t="s">
        <v>191</v>
      </c>
      <c r="N1335">
        <v>153.69999999999999</v>
      </c>
      <c r="O1335" t="s">
        <v>906</v>
      </c>
      <c r="P1335" t="s">
        <v>225</v>
      </c>
    </row>
    <row r="1336" spans="11:16" x14ac:dyDescent="0.2">
      <c r="K1336">
        <v>2012</v>
      </c>
      <c r="L1336" t="s">
        <v>235</v>
      </c>
      <c r="M1336" t="s">
        <v>191</v>
      </c>
      <c r="N1336">
        <v>153.69999999999999</v>
      </c>
      <c r="O1336" t="s">
        <v>906</v>
      </c>
      <c r="P1336" t="s">
        <v>226</v>
      </c>
    </row>
    <row r="1337" spans="11:16" x14ac:dyDescent="0.2">
      <c r="K1337">
        <v>2008</v>
      </c>
      <c r="L1337" t="s">
        <v>835</v>
      </c>
      <c r="M1337" t="s">
        <v>191</v>
      </c>
      <c r="N1337">
        <v>155.6</v>
      </c>
      <c r="O1337" t="s">
        <v>907</v>
      </c>
      <c r="P1337" t="s">
        <v>225</v>
      </c>
    </row>
    <row r="1338" spans="11:16" x14ac:dyDescent="0.2">
      <c r="K1338">
        <v>2008</v>
      </c>
      <c r="L1338" t="s">
        <v>835</v>
      </c>
      <c r="M1338" t="s">
        <v>191</v>
      </c>
      <c r="N1338">
        <v>155.6</v>
      </c>
      <c r="O1338" t="s">
        <v>907</v>
      </c>
      <c r="P1338" t="s">
        <v>226</v>
      </c>
    </row>
    <row r="1339" spans="11:16" x14ac:dyDescent="0.2">
      <c r="K1339">
        <v>2009</v>
      </c>
      <c r="L1339" t="s">
        <v>837</v>
      </c>
      <c r="M1339" t="s">
        <v>191</v>
      </c>
      <c r="N1339">
        <v>153.69999999999999</v>
      </c>
      <c r="O1339" t="s">
        <v>908</v>
      </c>
      <c r="P1339" t="s">
        <v>225</v>
      </c>
    </row>
    <row r="1340" spans="11:16" x14ac:dyDescent="0.2">
      <c r="K1340">
        <v>2009</v>
      </c>
      <c r="L1340" t="s">
        <v>837</v>
      </c>
      <c r="M1340" t="s">
        <v>191</v>
      </c>
      <c r="N1340">
        <v>153.69999999999999</v>
      </c>
      <c r="O1340" t="s">
        <v>908</v>
      </c>
      <c r="P1340" t="s">
        <v>226</v>
      </c>
    </row>
    <row r="1341" spans="11:16" x14ac:dyDescent="0.2">
      <c r="K1341">
        <v>2009</v>
      </c>
      <c r="L1341" t="s">
        <v>223</v>
      </c>
      <c r="M1341" t="s">
        <v>182</v>
      </c>
      <c r="N1341">
        <v>228.7</v>
      </c>
      <c r="O1341" t="s">
        <v>909</v>
      </c>
      <c r="P1341" t="s">
        <v>225</v>
      </c>
    </row>
    <row r="1342" spans="11:16" x14ac:dyDescent="0.2">
      <c r="K1342">
        <v>2009</v>
      </c>
      <c r="L1342" t="s">
        <v>223</v>
      </c>
      <c r="M1342" t="s">
        <v>182</v>
      </c>
      <c r="N1342">
        <v>228.7</v>
      </c>
      <c r="O1342" t="s">
        <v>909</v>
      </c>
      <c r="P1342" t="s">
        <v>226</v>
      </c>
    </row>
    <row r="1343" spans="11:16" x14ac:dyDescent="0.2">
      <c r="K1343">
        <v>2010</v>
      </c>
      <c r="L1343" t="s">
        <v>223</v>
      </c>
      <c r="M1343" t="s">
        <v>182</v>
      </c>
      <c r="N1343">
        <v>227.6</v>
      </c>
      <c r="O1343" t="s">
        <v>910</v>
      </c>
      <c r="P1343" t="s">
        <v>225</v>
      </c>
    </row>
    <row r="1344" spans="11:16" x14ac:dyDescent="0.2">
      <c r="K1344">
        <v>2010</v>
      </c>
      <c r="L1344" t="s">
        <v>223</v>
      </c>
      <c r="M1344" t="s">
        <v>182</v>
      </c>
      <c r="N1344">
        <v>227.6</v>
      </c>
      <c r="O1344" t="s">
        <v>910</v>
      </c>
      <c r="P1344" t="s">
        <v>226</v>
      </c>
    </row>
    <row r="1345" spans="11:16" x14ac:dyDescent="0.2">
      <c r="K1345">
        <v>2011</v>
      </c>
      <c r="L1345" t="s">
        <v>223</v>
      </c>
      <c r="M1345" t="s">
        <v>182</v>
      </c>
      <c r="N1345">
        <v>226.7</v>
      </c>
      <c r="O1345" t="s">
        <v>911</v>
      </c>
      <c r="P1345" t="s">
        <v>225</v>
      </c>
    </row>
    <row r="1346" spans="11:16" x14ac:dyDescent="0.2">
      <c r="K1346">
        <v>2011</v>
      </c>
      <c r="L1346" t="s">
        <v>223</v>
      </c>
      <c r="M1346" t="s">
        <v>182</v>
      </c>
      <c r="N1346">
        <v>226.7</v>
      </c>
      <c r="O1346" t="s">
        <v>911</v>
      </c>
      <c r="P1346" t="s">
        <v>226</v>
      </c>
    </row>
    <row r="1347" spans="11:16" x14ac:dyDescent="0.2">
      <c r="K1347">
        <v>2012</v>
      </c>
      <c r="L1347" t="s">
        <v>223</v>
      </c>
      <c r="M1347" t="s">
        <v>182</v>
      </c>
      <c r="N1347">
        <v>230.6</v>
      </c>
      <c r="O1347" t="s">
        <v>912</v>
      </c>
      <c r="P1347" t="s">
        <v>225</v>
      </c>
    </row>
    <row r="1348" spans="11:16" x14ac:dyDescent="0.2">
      <c r="K1348">
        <v>2012</v>
      </c>
      <c r="L1348" t="s">
        <v>223</v>
      </c>
      <c r="M1348" t="s">
        <v>182</v>
      </c>
      <c r="N1348">
        <v>230.6</v>
      </c>
      <c r="O1348" t="s">
        <v>912</v>
      </c>
      <c r="P1348" t="s">
        <v>226</v>
      </c>
    </row>
    <row r="1349" spans="11:16" x14ac:dyDescent="0.2">
      <c r="K1349">
        <v>2008</v>
      </c>
      <c r="L1349" t="s">
        <v>235</v>
      </c>
      <c r="M1349" t="s">
        <v>182</v>
      </c>
      <c r="N1349">
        <v>227.6</v>
      </c>
      <c r="O1349" t="s">
        <v>913</v>
      </c>
      <c r="P1349" t="s">
        <v>225</v>
      </c>
    </row>
    <row r="1350" spans="11:16" x14ac:dyDescent="0.2">
      <c r="K1350">
        <v>2008</v>
      </c>
      <c r="L1350" t="s">
        <v>235</v>
      </c>
      <c r="M1350" t="s">
        <v>182</v>
      </c>
      <c r="N1350">
        <v>227.6</v>
      </c>
      <c r="O1350" t="s">
        <v>913</v>
      </c>
      <c r="P1350" t="s">
        <v>226</v>
      </c>
    </row>
    <row r="1351" spans="11:16" x14ac:dyDescent="0.2">
      <c r="K1351">
        <v>2009</v>
      </c>
      <c r="L1351" t="s">
        <v>235</v>
      </c>
      <c r="M1351" t="s">
        <v>182</v>
      </c>
      <c r="N1351">
        <v>229.6</v>
      </c>
      <c r="O1351" t="s">
        <v>914</v>
      </c>
      <c r="P1351" t="s">
        <v>225</v>
      </c>
    </row>
    <row r="1352" spans="11:16" x14ac:dyDescent="0.2">
      <c r="K1352">
        <v>2009</v>
      </c>
      <c r="L1352" t="s">
        <v>235</v>
      </c>
      <c r="M1352" t="s">
        <v>182</v>
      </c>
      <c r="N1352">
        <v>229.6</v>
      </c>
      <c r="O1352" t="s">
        <v>914</v>
      </c>
      <c r="P1352" t="s">
        <v>226</v>
      </c>
    </row>
    <row r="1353" spans="11:16" x14ac:dyDescent="0.2">
      <c r="K1353">
        <v>2010</v>
      </c>
      <c r="L1353" t="s">
        <v>235</v>
      </c>
      <c r="M1353" t="s">
        <v>182</v>
      </c>
      <c r="N1353">
        <v>226.7</v>
      </c>
      <c r="O1353" t="s">
        <v>915</v>
      </c>
      <c r="P1353" t="s">
        <v>225</v>
      </c>
    </row>
    <row r="1354" spans="11:16" x14ac:dyDescent="0.2">
      <c r="K1354">
        <v>2010</v>
      </c>
      <c r="L1354" t="s">
        <v>235</v>
      </c>
      <c r="M1354" t="s">
        <v>182</v>
      </c>
      <c r="N1354">
        <v>226.7</v>
      </c>
      <c r="O1354" t="s">
        <v>915</v>
      </c>
      <c r="P1354" t="s">
        <v>226</v>
      </c>
    </row>
    <row r="1355" spans="11:16" x14ac:dyDescent="0.2">
      <c r="K1355">
        <v>2011</v>
      </c>
      <c r="L1355" t="s">
        <v>235</v>
      </c>
      <c r="M1355" t="s">
        <v>182</v>
      </c>
      <c r="N1355">
        <v>224.8</v>
      </c>
      <c r="O1355" t="s">
        <v>916</v>
      </c>
      <c r="P1355" t="s">
        <v>225</v>
      </c>
    </row>
    <row r="1356" spans="11:16" x14ac:dyDescent="0.2">
      <c r="K1356">
        <v>2011</v>
      </c>
      <c r="L1356" t="s">
        <v>235</v>
      </c>
      <c r="M1356" t="s">
        <v>182</v>
      </c>
      <c r="N1356">
        <v>224.8</v>
      </c>
      <c r="O1356" t="s">
        <v>916</v>
      </c>
      <c r="P1356" t="s">
        <v>226</v>
      </c>
    </row>
    <row r="1357" spans="11:16" x14ac:dyDescent="0.2">
      <c r="K1357">
        <v>2012</v>
      </c>
      <c r="L1357" t="s">
        <v>235</v>
      </c>
      <c r="M1357" t="s">
        <v>182</v>
      </c>
      <c r="N1357">
        <v>225.7</v>
      </c>
      <c r="O1357" t="s">
        <v>917</v>
      </c>
      <c r="P1357" t="s">
        <v>225</v>
      </c>
    </row>
    <row r="1358" spans="11:16" x14ac:dyDescent="0.2">
      <c r="K1358">
        <v>2012</v>
      </c>
      <c r="L1358" t="s">
        <v>235</v>
      </c>
      <c r="M1358" t="s">
        <v>182</v>
      </c>
      <c r="N1358">
        <v>225.7</v>
      </c>
      <c r="O1358" t="s">
        <v>917</v>
      </c>
      <c r="P1358" t="s">
        <v>226</v>
      </c>
    </row>
    <row r="1359" spans="11:16" x14ac:dyDescent="0.2">
      <c r="K1359">
        <v>2008</v>
      </c>
      <c r="L1359" t="s">
        <v>835</v>
      </c>
      <c r="M1359" t="s">
        <v>182</v>
      </c>
      <c r="N1359">
        <v>229.6</v>
      </c>
      <c r="O1359" t="s">
        <v>918</v>
      </c>
      <c r="P1359" t="s">
        <v>225</v>
      </c>
    </row>
    <row r="1360" spans="11:16" x14ac:dyDescent="0.2">
      <c r="K1360">
        <v>2008</v>
      </c>
      <c r="L1360" t="s">
        <v>835</v>
      </c>
      <c r="M1360" t="s">
        <v>182</v>
      </c>
      <c r="N1360">
        <v>229.6</v>
      </c>
      <c r="O1360" t="s">
        <v>918</v>
      </c>
      <c r="P1360" t="s">
        <v>226</v>
      </c>
    </row>
    <row r="1361" spans="11:16" x14ac:dyDescent="0.2">
      <c r="K1361">
        <v>2009</v>
      </c>
      <c r="L1361" t="s">
        <v>223</v>
      </c>
      <c r="M1361" t="s">
        <v>190</v>
      </c>
      <c r="N1361">
        <v>237.5</v>
      </c>
      <c r="O1361" t="s">
        <v>919</v>
      </c>
      <c r="P1361" t="s">
        <v>225</v>
      </c>
    </row>
    <row r="1362" spans="11:16" x14ac:dyDescent="0.2">
      <c r="K1362">
        <v>2009</v>
      </c>
      <c r="L1362" t="s">
        <v>223</v>
      </c>
      <c r="M1362" t="s">
        <v>190</v>
      </c>
      <c r="N1362">
        <v>237.5</v>
      </c>
      <c r="O1362" t="s">
        <v>919</v>
      </c>
      <c r="P1362" t="s">
        <v>226</v>
      </c>
    </row>
    <row r="1363" spans="11:16" x14ac:dyDescent="0.2">
      <c r="K1363">
        <v>2010</v>
      </c>
      <c r="L1363" t="s">
        <v>223</v>
      </c>
      <c r="M1363" t="s">
        <v>190</v>
      </c>
      <c r="N1363">
        <v>238.4</v>
      </c>
      <c r="O1363" t="s">
        <v>920</v>
      </c>
      <c r="P1363" t="s">
        <v>225</v>
      </c>
    </row>
    <row r="1364" spans="11:16" x14ac:dyDescent="0.2">
      <c r="K1364">
        <v>2010</v>
      </c>
      <c r="L1364" t="s">
        <v>223</v>
      </c>
      <c r="M1364" t="s">
        <v>190</v>
      </c>
      <c r="N1364">
        <v>238.4</v>
      </c>
      <c r="O1364" t="s">
        <v>920</v>
      </c>
      <c r="P1364" t="s">
        <v>226</v>
      </c>
    </row>
    <row r="1365" spans="11:16" x14ac:dyDescent="0.2">
      <c r="K1365">
        <v>2011</v>
      </c>
      <c r="L1365" t="s">
        <v>223</v>
      </c>
      <c r="M1365" t="s">
        <v>190</v>
      </c>
      <c r="N1365">
        <v>237.4</v>
      </c>
      <c r="O1365" t="s">
        <v>921</v>
      </c>
      <c r="P1365" t="s">
        <v>225</v>
      </c>
    </row>
    <row r="1366" spans="11:16" x14ac:dyDescent="0.2">
      <c r="K1366">
        <v>2011</v>
      </c>
      <c r="L1366" t="s">
        <v>223</v>
      </c>
      <c r="M1366" t="s">
        <v>190</v>
      </c>
      <c r="N1366">
        <v>237.4</v>
      </c>
      <c r="O1366" t="s">
        <v>921</v>
      </c>
      <c r="P1366" t="s">
        <v>226</v>
      </c>
    </row>
    <row r="1367" spans="11:16" x14ac:dyDescent="0.2">
      <c r="K1367">
        <v>2012</v>
      </c>
      <c r="L1367" t="s">
        <v>223</v>
      </c>
      <c r="M1367" t="s">
        <v>190</v>
      </c>
      <c r="N1367">
        <v>236.4</v>
      </c>
      <c r="O1367" t="s">
        <v>922</v>
      </c>
      <c r="P1367" t="s">
        <v>225</v>
      </c>
    </row>
    <row r="1368" spans="11:16" x14ac:dyDescent="0.2">
      <c r="K1368">
        <v>2012</v>
      </c>
      <c r="L1368" t="s">
        <v>223</v>
      </c>
      <c r="M1368" t="s">
        <v>190</v>
      </c>
      <c r="N1368">
        <v>236.4</v>
      </c>
      <c r="O1368" t="s">
        <v>922</v>
      </c>
      <c r="P1368" t="s">
        <v>226</v>
      </c>
    </row>
    <row r="1369" spans="11:16" x14ac:dyDescent="0.2">
      <c r="K1369">
        <v>2008</v>
      </c>
      <c r="L1369" t="s">
        <v>235</v>
      </c>
      <c r="M1369" t="s">
        <v>190</v>
      </c>
      <c r="N1369">
        <v>236.4</v>
      </c>
      <c r="O1369" t="s">
        <v>923</v>
      </c>
      <c r="P1369" t="s">
        <v>225</v>
      </c>
    </row>
    <row r="1370" spans="11:16" x14ac:dyDescent="0.2">
      <c r="K1370">
        <v>2008</v>
      </c>
      <c r="L1370" t="s">
        <v>235</v>
      </c>
      <c r="M1370" t="s">
        <v>190</v>
      </c>
      <c r="N1370">
        <v>236.4</v>
      </c>
      <c r="O1370" t="s">
        <v>923</v>
      </c>
      <c r="P1370" t="s">
        <v>226</v>
      </c>
    </row>
    <row r="1371" spans="11:16" x14ac:dyDescent="0.2">
      <c r="K1371">
        <v>2010</v>
      </c>
      <c r="L1371" t="s">
        <v>235</v>
      </c>
      <c r="M1371" t="s">
        <v>190</v>
      </c>
      <c r="N1371">
        <v>236.4</v>
      </c>
      <c r="O1371" t="s">
        <v>924</v>
      </c>
      <c r="P1371" t="s">
        <v>225</v>
      </c>
    </row>
    <row r="1372" spans="11:16" x14ac:dyDescent="0.2">
      <c r="K1372">
        <v>2010</v>
      </c>
      <c r="L1372" t="s">
        <v>235</v>
      </c>
      <c r="M1372" t="s">
        <v>190</v>
      </c>
      <c r="N1372">
        <v>236.4</v>
      </c>
      <c r="O1372" t="s">
        <v>924</v>
      </c>
      <c r="P1372" t="s">
        <v>226</v>
      </c>
    </row>
    <row r="1373" spans="11:16" x14ac:dyDescent="0.2">
      <c r="K1373">
        <v>2011</v>
      </c>
      <c r="L1373" t="s">
        <v>235</v>
      </c>
      <c r="M1373" t="s">
        <v>190</v>
      </c>
      <c r="N1373">
        <v>236.4</v>
      </c>
      <c r="O1373" t="s">
        <v>925</v>
      </c>
      <c r="P1373" t="s">
        <v>225</v>
      </c>
    </row>
    <row r="1374" spans="11:16" x14ac:dyDescent="0.2">
      <c r="K1374">
        <v>2011</v>
      </c>
      <c r="L1374" t="s">
        <v>235</v>
      </c>
      <c r="M1374" t="s">
        <v>190</v>
      </c>
      <c r="N1374">
        <v>236.4</v>
      </c>
      <c r="O1374" t="s">
        <v>925</v>
      </c>
      <c r="P1374" t="s">
        <v>226</v>
      </c>
    </row>
    <row r="1375" spans="11:16" x14ac:dyDescent="0.2">
      <c r="K1375">
        <v>2012</v>
      </c>
      <c r="L1375" t="s">
        <v>235</v>
      </c>
      <c r="M1375" t="s">
        <v>190</v>
      </c>
      <c r="N1375">
        <v>236.4</v>
      </c>
      <c r="O1375" t="s">
        <v>926</v>
      </c>
      <c r="P1375" t="s">
        <v>225</v>
      </c>
    </row>
    <row r="1376" spans="11:16" x14ac:dyDescent="0.2">
      <c r="K1376">
        <v>2012</v>
      </c>
      <c r="L1376" t="s">
        <v>235</v>
      </c>
      <c r="M1376" t="s">
        <v>190</v>
      </c>
      <c r="N1376">
        <v>236.4</v>
      </c>
      <c r="O1376" t="s">
        <v>926</v>
      </c>
      <c r="P1376" t="s">
        <v>226</v>
      </c>
    </row>
    <row r="1377" spans="11:16" x14ac:dyDescent="0.2">
      <c r="K1377">
        <v>2008</v>
      </c>
      <c r="L1377" t="s">
        <v>835</v>
      </c>
      <c r="M1377" t="s">
        <v>190</v>
      </c>
      <c r="N1377">
        <v>237.4</v>
      </c>
      <c r="O1377" t="s">
        <v>927</v>
      </c>
      <c r="P1377" t="s">
        <v>225</v>
      </c>
    </row>
    <row r="1378" spans="11:16" x14ac:dyDescent="0.2">
      <c r="K1378">
        <v>2008</v>
      </c>
      <c r="L1378" t="s">
        <v>835</v>
      </c>
      <c r="M1378" t="s">
        <v>190</v>
      </c>
      <c r="N1378">
        <v>237.4</v>
      </c>
      <c r="O1378" t="s">
        <v>927</v>
      </c>
      <c r="P1378" t="s">
        <v>226</v>
      </c>
    </row>
    <row r="1379" spans="11:16" x14ac:dyDescent="0.2">
      <c r="K1379">
        <v>2009</v>
      </c>
      <c r="L1379" t="s">
        <v>837</v>
      </c>
      <c r="M1379" t="s">
        <v>190</v>
      </c>
      <c r="N1379">
        <v>228.7</v>
      </c>
      <c r="O1379" t="s">
        <v>928</v>
      </c>
      <c r="P1379" t="s">
        <v>225</v>
      </c>
    </row>
    <row r="1380" spans="11:16" x14ac:dyDescent="0.2">
      <c r="K1380">
        <v>2009</v>
      </c>
      <c r="L1380" t="s">
        <v>837</v>
      </c>
      <c r="M1380" t="s">
        <v>190</v>
      </c>
      <c r="N1380">
        <v>228.7</v>
      </c>
      <c r="O1380" t="s">
        <v>928</v>
      </c>
      <c r="P1380" t="s">
        <v>226</v>
      </c>
    </row>
    <row r="1381" spans="11:16" x14ac:dyDescent="0.2">
      <c r="K1381">
        <v>2009</v>
      </c>
      <c r="L1381" t="s">
        <v>223</v>
      </c>
      <c r="M1381" t="s">
        <v>183</v>
      </c>
      <c r="N1381">
        <v>149.9</v>
      </c>
      <c r="O1381" t="s">
        <v>929</v>
      </c>
      <c r="P1381" t="s">
        <v>225</v>
      </c>
    </row>
    <row r="1382" spans="11:16" x14ac:dyDescent="0.2">
      <c r="K1382">
        <v>2009</v>
      </c>
      <c r="L1382" t="s">
        <v>223</v>
      </c>
      <c r="M1382" t="s">
        <v>183</v>
      </c>
      <c r="N1382">
        <v>149.9</v>
      </c>
      <c r="O1382" t="s">
        <v>929</v>
      </c>
      <c r="P1382" t="s">
        <v>226</v>
      </c>
    </row>
    <row r="1383" spans="11:16" x14ac:dyDescent="0.2">
      <c r="K1383">
        <v>2010</v>
      </c>
      <c r="L1383" t="s">
        <v>223</v>
      </c>
      <c r="M1383" t="s">
        <v>183</v>
      </c>
      <c r="N1383">
        <v>148.5</v>
      </c>
      <c r="O1383" t="s">
        <v>930</v>
      </c>
      <c r="P1383" t="s">
        <v>225</v>
      </c>
    </row>
    <row r="1384" spans="11:16" x14ac:dyDescent="0.2">
      <c r="K1384">
        <v>2010</v>
      </c>
      <c r="L1384" t="s">
        <v>223</v>
      </c>
      <c r="M1384" t="s">
        <v>183</v>
      </c>
      <c r="N1384">
        <v>148.5</v>
      </c>
      <c r="O1384" t="s">
        <v>930</v>
      </c>
      <c r="P1384" t="s">
        <v>226</v>
      </c>
    </row>
    <row r="1385" spans="11:16" x14ac:dyDescent="0.2">
      <c r="K1385">
        <v>2011</v>
      </c>
      <c r="L1385" t="s">
        <v>223</v>
      </c>
      <c r="M1385" t="s">
        <v>183</v>
      </c>
      <c r="N1385">
        <v>231.6</v>
      </c>
      <c r="O1385" t="s">
        <v>931</v>
      </c>
      <c r="P1385" t="s">
        <v>225</v>
      </c>
    </row>
    <row r="1386" spans="11:16" x14ac:dyDescent="0.2">
      <c r="K1386">
        <v>2011</v>
      </c>
      <c r="L1386" t="s">
        <v>223</v>
      </c>
      <c r="M1386" t="s">
        <v>183</v>
      </c>
      <c r="N1386">
        <v>231.6</v>
      </c>
      <c r="O1386" t="s">
        <v>931</v>
      </c>
      <c r="P1386" t="s">
        <v>226</v>
      </c>
    </row>
    <row r="1387" spans="11:16" x14ac:dyDescent="0.2">
      <c r="K1387">
        <v>2012</v>
      </c>
      <c r="L1387" t="s">
        <v>223</v>
      </c>
      <c r="M1387" t="s">
        <v>183</v>
      </c>
      <c r="N1387">
        <v>145.9</v>
      </c>
      <c r="O1387" t="s">
        <v>932</v>
      </c>
      <c r="P1387" t="s">
        <v>225</v>
      </c>
    </row>
    <row r="1388" spans="11:16" x14ac:dyDescent="0.2">
      <c r="K1388">
        <v>2012</v>
      </c>
      <c r="L1388" t="s">
        <v>223</v>
      </c>
      <c r="M1388" t="s">
        <v>183</v>
      </c>
      <c r="N1388">
        <v>145.9</v>
      </c>
      <c r="O1388" t="s">
        <v>932</v>
      </c>
      <c r="P1388" t="s">
        <v>226</v>
      </c>
    </row>
    <row r="1389" spans="11:16" x14ac:dyDescent="0.2">
      <c r="K1389">
        <v>2008</v>
      </c>
      <c r="L1389" t="s">
        <v>235</v>
      </c>
      <c r="M1389" t="s">
        <v>183</v>
      </c>
      <c r="N1389">
        <v>148.80000000000001</v>
      </c>
      <c r="O1389" t="s">
        <v>933</v>
      </c>
      <c r="P1389" t="s">
        <v>225</v>
      </c>
    </row>
    <row r="1390" spans="11:16" x14ac:dyDescent="0.2">
      <c r="K1390">
        <v>2008</v>
      </c>
      <c r="L1390" t="s">
        <v>235</v>
      </c>
      <c r="M1390" t="s">
        <v>183</v>
      </c>
      <c r="N1390">
        <v>148.80000000000001</v>
      </c>
      <c r="O1390" t="s">
        <v>933</v>
      </c>
      <c r="P1390" t="s">
        <v>226</v>
      </c>
    </row>
    <row r="1391" spans="11:16" x14ac:dyDescent="0.2">
      <c r="K1391">
        <v>2009</v>
      </c>
      <c r="L1391" t="s">
        <v>235</v>
      </c>
      <c r="M1391" t="s">
        <v>183</v>
      </c>
      <c r="N1391">
        <v>148.80000000000001</v>
      </c>
      <c r="O1391" t="s">
        <v>934</v>
      </c>
      <c r="P1391" t="s">
        <v>225</v>
      </c>
    </row>
    <row r="1392" spans="11:16" x14ac:dyDescent="0.2">
      <c r="K1392">
        <v>2009</v>
      </c>
      <c r="L1392" t="s">
        <v>235</v>
      </c>
      <c r="M1392" t="s">
        <v>183</v>
      </c>
      <c r="N1392">
        <v>148.80000000000001</v>
      </c>
      <c r="O1392" t="s">
        <v>934</v>
      </c>
      <c r="P1392" t="s">
        <v>226</v>
      </c>
    </row>
    <row r="1393" spans="11:16" x14ac:dyDescent="0.2">
      <c r="K1393">
        <v>2010</v>
      </c>
      <c r="L1393" t="s">
        <v>235</v>
      </c>
      <c r="M1393" t="s">
        <v>183</v>
      </c>
      <c r="N1393">
        <v>146.9</v>
      </c>
      <c r="O1393" t="s">
        <v>935</v>
      </c>
      <c r="P1393" t="s">
        <v>225</v>
      </c>
    </row>
    <row r="1394" spans="11:16" x14ac:dyDescent="0.2">
      <c r="K1394">
        <v>2010</v>
      </c>
      <c r="L1394" t="s">
        <v>235</v>
      </c>
      <c r="M1394" t="s">
        <v>183</v>
      </c>
      <c r="N1394">
        <v>146.9</v>
      </c>
      <c r="O1394" t="s">
        <v>935</v>
      </c>
      <c r="P1394" t="s">
        <v>226</v>
      </c>
    </row>
    <row r="1395" spans="11:16" x14ac:dyDescent="0.2">
      <c r="K1395">
        <v>2011</v>
      </c>
      <c r="L1395" t="s">
        <v>235</v>
      </c>
      <c r="M1395" t="s">
        <v>183</v>
      </c>
      <c r="N1395">
        <v>146.9</v>
      </c>
      <c r="O1395" t="s">
        <v>936</v>
      </c>
      <c r="P1395" t="s">
        <v>225</v>
      </c>
    </row>
    <row r="1396" spans="11:16" x14ac:dyDescent="0.2">
      <c r="K1396">
        <v>2011</v>
      </c>
      <c r="L1396" t="s">
        <v>235</v>
      </c>
      <c r="M1396" t="s">
        <v>183</v>
      </c>
      <c r="N1396">
        <v>146.9</v>
      </c>
      <c r="O1396" t="s">
        <v>936</v>
      </c>
      <c r="P1396" t="s">
        <v>226</v>
      </c>
    </row>
    <row r="1397" spans="11:16" x14ac:dyDescent="0.2">
      <c r="K1397">
        <v>2012</v>
      </c>
      <c r="L1397" t="s">
        <v>235</v>
      </c>
      <c r="M1397" t="s">
        <v>183</v>
      </c>
      <c r="N1397">
        <v>146.9</v>
      </c>
      <c r="O1397" t="s">
        <v>937</v>
      </c>
      <c r="P1397" t="s">
        <v>225</v>
      </c>
    </row>
    <row r="1398" spans="11:16" x14ac:dyDescent="0.2">
      <c r="K1398">
        <v>2012</v>
      </c>
      <c r="L1398" t="s">
        <v>235</v>
      </c>
      <c r="M1398" t="s">
        <v>183</v>
      </c>
      <c r="N1398">
        <v>146.9</v>
      </c>
      <c r="O1398" t="s">
        <v>937</v>
      </c>
      <c r="P1398" t="s">
        <v>226</v>
      </c>
    </row>
    <row r="1399" spans="11:16" x14ac:dyDescent="0.2">
      <c r="K1399">
        <v>2008</v>
      </c>
      <c r="L1399" t="s">
        <v>835</v>
      </c>
      <c r="M1399" t="s">
        <v>183</v>
      </c>
      <c r="N1399">
        <v>149.80000000000001</v>
      </c>
      <c r="O1399" t="s">
        <v>938</v>
      </c>
      <c r="P1399" t="s">
        <v>225</v>
      </c>
    </row>
    <row r="1400" spans="11:16" x14ac:dyDescent="0.2">
      <c r="K1400">
        <v>2008</v>
      </c>
      <c r="L1400" t="s">
        <v>835</v>
      </c>
      <c r="M1400" t="s">
        <v>183</v>
      </c>
      <c r="N1400">
        <v>149.80000000000001</v>
      </c>
      <c r="O1400" t="s">
        <v>938</v>
      </c>
      <c r="P1400" t="s">
        <v>226</v>
      </c>
    </row>
    <row r="1401" spans="11:16" x14ac:dyDescent="0.2">
      <c r="K1401">
        <v>2009</v>
      </c>
      <c r="L1401" t="s">
        <v>223</v>
      </c>
      <c r="M1401" t="s">
        <v>189</v>
      </c>
      <c r="N1401">
        <v>238.4</v>
      </c>
      <c r="O1401" t="s">
        <v>939</v>
      </c>
      <c r="P1401" t="s">
        <v>225</v>
      </c>
    </row>
    <row r="1402" spans="11:16" x14ac:dyDescent="0.2">
      <c r="K1402">
        <v>2009</v>
      </c>
      <c r="L1402" t="s">
        <v>223</v>
      </c>
      <c r="M1402" t="s">
        <v>189</v>
      </c>
      <c r="N1402">
        <v>238.4</v>
      </c>
      <c r="O1402" t="s">
        <v>939</v>
      </c>
      <c r="P1402" t="s">
        <v>226</v>
      </c>
    </row>
    <row r="1403" spans="11:16" x14ac:dyDescent="0.2">
      <c r="K1403">
        <v>2010</v>
      </c>
      <c r="L1403" t="s">
        <v>223</v>
      </c>
      <c r="M1403" t="s">
        <v>189</v>
      </c>
      <c r="N1403">
        <v>231.3</v>
      </c>
      <c r="O1403" t="s">
        <v>940</v>
      </c>
      <c r="P1403" t="s">
        <v>225</v>
      </c>
    </row>
    <row r="1404" spans="11:16" x14ac:dyDescent="0.2">
      <c r="K1404">
        <v>2010</v>
      </c>
      <c r="L1404" t="s">
        <v>223</v>
      </c>
      <c r="M1404" t="s">
        <v>189</v>
      </c>
      <c r="N1404">
        <v>231.3</v>
      </c>
      <c r="O1404" t="s">
        <v>940</v>
      </c>
      <c r="P1404" t="s">
        <v>226</v>
      </c>
    </row>
    <row r="1405" spans="11:16" x14ac:dyDescent="0.2">
      <c r="K1405">
        <v>2011</v>
      </c>
      <c r="L1405" t="s">
        <v>223</v>
      </c>
      <c r="M1405" t="s">
        <v>189</v>
      </c>
      <c r="N1405">
        <v>240.3</v>
      </c>
      <c r="O1405" t="s">
        <v>941</v>
      </c>
      <c r="P1405" t="s">
        <v>225</v>
      </c>
    </row>
    <row r="1406" spans="11:16" x14ac:dyDescent="0.2">
      <c r="K1406">
        <v>2011</v>
      </c>
      <c r="L1406" t="s">
        <v>223</v>
      </c>
      <c r="M1406" t="s">
        <v>189</v>
      </c>
      <c r="N1406">
        <v>240.3</v>
      </c>
      <c r="O1406" t="s">
        <v>941</v>
      </c>
      <c r="P1406" t="s">
        <v>226</v>
      </c>
    </row>
    <row r="1407" spans="11:16" x14ac:dyDescent="0.2">
      <c r="K1407">
        <v>2012</v>
      </c>
      <c r="L1407" t="s">
        <v>223</v>
      </c>
      <c r="M1407" t="s">
        <v>189</v>
      </c>
      <c r="N1407">
        <v>238.7</v>
      </c>
      <c r="O1407" t="s">
        <v>942</v>
      </c>
      <c r="P1407" t="s">
        <v>225</v>
      </c>
    </row>
    <row r="1408" spans="11:16" x14ac:dyDescent="0.2">
      <c r="K1408">
        <v>2012</v>
      </c>
      <c r="L1408" t="s">
        <v>223</v>
      </c>
      <c r="M1408" t="s">
        <v>189</v>
      </c>
      <c r="N1408">
        <v>238.7</v>
      </c>
      <c r="O1408" t="s">
        <v>942</v>
      </c>
      <c r="P1408" t="s">
        <v>226</v>
      </c>
    </row>
    <row r="1409" spans="11:16" x14ac:dyDescent="0.2">
      <c r="K1409">
        <v>2008</v>
      </c>
      <c r="L1409" t="s">
        <v>235</v>
      </c>
      <c r="M1409" t="s">
        <v>189</v>
      </c>
      <c r="N1409">
        <v>238.4</v>
      </c>
      <c r="O1409" t="s">
        <v>943</v>
      </c>
      <c r="P1409" t="s">
        <v>225</v>
      </c>
    </row>
    <row r="1410" spans="11:16" x14ac:dyDescent="0.2">
      <c r="K1410">
        <v>2008</v>
      </c>
      <c r="L1410" t="s">
        <v>235</v>
      </c>
      <c r="M1410" t="s">
        <v>189</v>
      </c>
      <c r="N1410">
        <v>238.4</v>
      </c>
      <c r="O1410" t="s">
        <v>943</v>
      </c>
      <c r="P1410" t="s">
        <v>226</v>
      </c>
    </row>
    <row r="1411" spans="11:16" x14ac:dyDescent="0.2">
      <c r="K1411">
        <v>2010</v>
      </c>
      <c r="L1411" t="s">
        <v>235</v>
      </c>
      <c r="M1411" t="s">
        <v>189</v>
      </c>
      <c r="N1411">
        <v>237.4</v>
      </c>
      <c r="O1411" t="s">
        <v>944</v>
      </c>
      <c r="P1411" t="s">
        <v>225</v>
      </c>
    </row>
    <row r="1412" spans="11:16" x14ac:dyDescent="0.2">
      <c r="K1412">
        <v>2010</v>
      </c>
      <c r="L1412" t="s">
        <v>235</v>
      </c>
      <c r="M1412" t="s">
        <v>189</v>
      </c>
      <c r="N1412">
        <v>237.4</v>
      </c>
      <c r="O1412" t="s">
        <v>944</v>
      </c>
      <c r="P1412" t="s">
        <v>226</v>
      </c>
    </row>
    <row r="1413" spans="11:16" x14ac:dyDescent="0.2">
      <c r="K1413">
        <v>2011</v>
      </c>
      <c r="L1413" t="s">
        <v>235</v>
      </c>
      <c r="M1413" t="s">
        <v>189</v>
      </c>
      <c r="N1413">
        <v>237.4</v>
      </c>
      <c r="O1413" t="s">
        <v>945</v>
      </c>
      <c r="P1413" t="s">
        <v>225</v>
      </c>
    </row>
    <row r="1414" spans="11:16" x14ac:dyDescent="0.2">
      <c r="K1414">
        <v>2011</v>
      </c>
      <c r="L1414" t="s">
        <v>235</v>
      </c>
      <c r="M1414" t="s">
        <v>189</v>
      </c>
      <c r="N1414">
        <v>237.4</v>
      </c>
      <c r="O1414" t="s">
        <v>945</v>
      </c>
      <c r="P1414" t="s">
        <v>226</v>
      </c>
    </row>
    <row r="1415" spans="11:16" x14ac:dyDescent="0.2">
      <c r="K1415">
        <v>2012</v>
      </c>
      <c r="L1415" t="s">
        <v>235</v>
      </c>
      <c r="M1415" t="s">
        <v>189</v>
      </c>
      <c r="N1415">
        <v>237.4</v>
      </c>
      <c r="O1415" t="s">
        <v>946</v>
      </c>
      <c r="P1415" t="s">
        <v>225</v>
      </c>
    </row>
    <row r="1416" spans="11:16" x14ac:dyDescent="0.2">
      <c r="K1416">
        <v>2012</v>
      </c>
      <c r="L1416" t="s">
        <v>235</v>
      </c>
      <c r="M1416" t="s">
        <v>189</v>
      </c>
      <c r="N1416">
        <v>237.4</v>
      </c>
      <c r="O1416" t="s">
        <v>946</v>
      </c>
      <c r="P1416" t="s">
        <v>226</v>
      </c>
    </row>
    <row r="1417" spans="11:16" x14ac:dyDescent="0.2">
      <c r="K1417">
        <v>2008</v>
      </c>
      <c r="L1417" t="s">
        <v>835</v>
      </c>
      <c r="M1417" t="s">
        <v>189</v>
      </c>
      <c r="N1417">
        <v>240.3</v>
      </c>
      <c r="O1417" t="s">
        <v>947</v>
      </c>
      <c r="P1417" t="s">
        <v>225</v>
      </c>
    </row>
    <row r="1418" spans="11:16" x14ac:dyDescent="0.2">
      <c r="K1418">
        <v>2008</v>
      </c>
      <c r="L1418" t="s">
        <v>835</v>
      </c>
      <c r="M1418" t="s">
        <v>189</v>
      </c>
      <c r="N1418">
        <v>240.3</v>
      </c>
      <c r="O1418" t="s">
        <v>947</v>
      </c>
      <c r="P1418" t="s">
        <v>226</v>
      </c>
    </row>
    <row r="1419" spans="11:16" x14ac:dyDescent="0.2">
      <c r="K1419">
        <v>2009</v>
      </c>
      <c r="L1419" t="s">
        <v>837</v>
      </c>
      <c r="M1419" t="s">
        <v>189</v>
      </c>
      <c r="N1419">
        <v>238.4</v>
      </c>
      <c r="O1419" t="s">
        <v>948</v>
      </c>
      <c r="P1419" t="s">
        <v>225</v>
      </c>
    </row>
    <row r="1420" spans="11:16" x14ac:dyDescent="0.2">
      <c r="K1420">
        <v>2009</v>
      </c>
      <c r="L1420" t="s">
        <v>837</v>
      </c>
      <c r="M1420" t="s">
        <v>189</v>
      </c>
      <c r="N1420">
        <v>238.4</v>
      </c>
      <c r="O1420" t="s">
        <v>948</v>
      </c>
      <c r="P1420" t="s">
        <v>226</v>
      </c>
    </row>
    <row r="1421" spans="11:16" x14ac:dyDescent="0.2">
      <c r="K1421">
        <v>2009</v>
      </c>
      <c r="L1421" t="s">
        <v>223</v>
      </c>
      <c r="M1421" t="s">
        <v>184</v>
      </c>
      <c r="N1421">
        <v>233.5</v>
      </c>
      <c r="O1421" t="s">
        <v>949</v>
      </c>
      <c r="P1421" t="s">
        <v>225</v>
      </c>
    </row>
    <row r="1422" spans="11:16" x14ac:dyDescent="0.2">
      <c r="K1422">
        <v>2009</v>
      </c>
      <c r="L1422" t="s">
        <v>223</v>
      </c>
      <c r="M1422" t="s">
        <v>184</v>
      </c>
      <c r="N1422">
        <v>233.5</v>
      </c>
      <c r="O1422" t="s">
        <v>949</v>
      </c>
      <c r="P1422" t="s">
        <v>226</v>
      </c>
    </row>
    <row r="1423" spans="11:16" x14ac:dyDescent="0.2">
      <c r="K1423">
        <v>2010</v>
      </c>
      <c r="L1423" t="s">
        <v>223</v>
      </c>
      <c r="M1423" t="s">
        <v>184</v>
      </c>
      <c r="N1423">
        <v>233.5</v>
      </c>
      <c r="O1423" t="s">
        <v>950</v>
      </c>
      <c r="P1423" t="s">
        <v>225</v>
      </c>
    </row>
    <row r="1424" spans="11:16" x14ac:dyDescent="0.2">
      <c r="K1424">
        <v>2010</v>
      </c>
      <c r="L1424" t="s">
        <v>223</v>
      </c>
      <c r="M1424" t="s">
        <v>184</v>
      </c>
      <c r="N1424">
        <v>233.5</v>
      </c>
      <c r="O1424" t="s">
        <v>950</v>
      </c>
      <c r="P1424" t="s">
        <v>226</v>
      </c>
    </row>
    <row r="1425" spans="11:16" x14ac:dyDescent="0.2">
      <c r="K1425">
        <v>2011</v>
      </c>
      <c r="L1425" t="s">
        <v>223</v>
      </c>
      <c r="M1425" t="s">
        <v>184</v>
      </c>
      <c r="N1425">
        <v>232.5</v>
      </c>
      <c r="O1425" t="s">
        <v>951</v>
      </c>
      <c r="P1425" t="s">
        <v>225</v>
      </c>
    </row>
    <row r="1426" spans="11:16" x14ac:dyDescent="0.2">
      <c r="K1426">
        <v>2011</v>
      </c>
      <c r="L1426" t="s">
        <v>223</v>
      </c>
      <c r="M1426" t="s">
        <v>184</v>
      </c>
      <c r="N1426">
        <v>232.5</v>
      </c>
      <c r="O1426" t="s">
        <v>951</v>
      </c>
      <c r="P1426" t="s">
        <v>226</v>
      </c>
    </row>
    <row r="1427" spans="11:16" x14ac:dyDescent="0.2">
      <c r="K1427">
        <v>2012</v>
      </c>
      <c r="L1427" t="s">
        <v>223</v>
      </c>
      <c r="M1427" t="s">
        <v>184</v>
      </c>
      <c r="N1427">
        <v>233.5</v>
      </c>
      <c r="O1427" t="s">
        <v>952</v>
      </c>
      <c r="P1427" t="s">
        <v>225</v>
      </c>
    </row>
    <row r="1428" spans="11:16" x14ac:dyDescent="0.2">
      <c r="K1428">
        <v>2012</v>
      </c>
      <c r="L1428" t="s">
        <v>223</v>
      </c>
      <c r="M1428" t="s">
        <v>184</v>
      </c>
      <c r="N1428">
        <v>233.5</v>
      </c>
      <c r="O1428" t="s">
        <v>952</v>
      </c>
      <c r="P1428" t="s">
        <v>226</v>
      </c>
    </row>
    <row r="1429" spans="11:16" x14ac:dyDescent="0.2">
      <c r="K1429">
        <v>2008</v>
      </c>
      <c r="L1429" t="s">
        <v>235</v>
      </c>
      <c r="M1429" t="s">
        <v>184</v>
      </c>
      <c r="N1429">
        <v>229.6</v>
      </c>
      <c r="O1429" t="s">
        <v>953</v>
      </c>
      <c r="P1429" t="s">
        <v>225</v>
      </c>
    </row>
    <row r="1430" spans="11:16" x14ac:dyDescent="0.2">
      <c r="K1430">
        <v>2008</v>
      </c>
      <c r="L1430" t="s">
        <v>235</v>
      </c>
      <c r="M1430" t="s">
        <v>184</v>
      </c>
      <c r="N1430">
        <v>229.6</v>
      </c>
      <c r="O1430" t="s">
        <v>953</v>
      </c>
      <c r="P1430" t="s">
        <v>226</v>
      </c>
    </row>
    <row r="1431" spans="11:16" x14ac:dyDescent="0.2">
      <c r="K1431">
        <v>2009</v>
      </c>
      <c r="L1431" t="s">
        <v>235</v>
      </c>
      <c r="M1431" t="s">
        <v>184</v>
      </c>
      <c r="N1431">
        <v>230.1</v>
      </c>
      <c r="O1431" t="s">
        <v>954</v>
      </c>
      <c r="P1431" t="s">
        <v>225</v>
      </c>
    </row>
    <row r="1432" spans="11:16" x14ac:dyDescent="0.2">
      <c r="K1432">
        <v>2009</v>
      </c>
      <c r="L1432" t="s">
        <v>235</v>
      </c>
      <c r="M1432" t="s">
        <v>184</v>
      </c>
      <c r="N1432">
        <v>230.1</v>
      </c>
      <c r="O1432" t="s">
        <v>954</v>
      </c>
      <c r="P1432" t="s">
        <v>226</v>
      </c>
    </row>
    <row r="1433" spans="11:16" x14ac:dyDescent="0.2">
      <c r="K1433">
        <v>2010</v>
      </c>
      <c r="L1433" t="s">
        <v>235</v>
      </c>
      <c r="M1433" t="s">
        <v>184</v>
      </c>
      <c r="N1433">
        <v>232.5</v>
      </c>
      <c r="O1433" t="s">
        <v>955</v>
      </c>
      <c r="P1433" t="s">
        <v>225</v>
      </c>
    </row>
    <row r="1434" spans="11:16" x14ac:dyDescent="0.2">
      <c r="K1434">
        <v>2010</v>
      </c>
      <c r="L1434" t="s">
        <v>235</v>
      </c>
      <c r="M1434" t="s">
        <v>184</v>
      </c>
      <c r="N1434">
        <v>232.5</v>
      </c>
      <c r="O1434" t="s">
        <v>955</v>
      </c>
      <c r="P1434" t="s">
        <v>226</v>
      </c>
    </row>
    <row r="1435" spans="11:16" x14ac:dyDescent="0.2">
      <c r="K1435">
        <v>2011</v>
      </c>
      <c r="L1435" t="s">
        <v>235</v>
      </c>
      <c r="M1435" t="s">
        <v>184</v>
      </c>
      <c r="N1435">
        <v>230.6</v>
      </c>
      <c r="O1435" t="s">
        <v>956</v>
      </c>
      <c r="P1435" t="s">
        <v>225</v>
      </c>
    </row>
    <row r="1436" spans="11:16" x14ac:dyDescent="0.2">
      <c r="K1436">
        <v>2011</v>
      </c>
      <c r="L1436" t="s">
        <v>235</v>
      </c>
      <c r="M1436" t="s">
        <v>184</v>
      </c>
      <c r="N1436">
        <v>230.6</v>
      </c>
      <c r="O1436" t="s">
        <v>956</v>
      </c>
      <c r="P1436" t="s">
        <v>226</v>
      </c>
    </row>
    <row r="1437" spans="11:16" x14ac:dyDescent="0.2">
      <c r="K1437">
        <v>2012</v>
      </c>
      <c r="L1437" t="s">
        <v>235</v>
      </c>
      <c r="M1437" t="s">
        <v>184</v>
      </c>
      <c r="N1437">
        <v>230.6</v>
      </c>
      <c r="O1437" t="s">
        <v>957</v>
      </c>
      <c r="P1437" t="s">
        <v>225</v>
      </c>
    </row>
    <row r="1438" spans="11:16" x14ac:dyDescent="0.2">
      <c r="K1438">
        <v>2012</v>
      </c>
      <c r="L1438" t="s">
        <v>235</v>
      </c>
      <c r="M1438" t="s">
        <v>184</v>
      </c>
      <c r="N1438">
        <v>230.6</v>
      </c>
      <c r="O1438" t="s">
        <v>957</v>
      </c>
      <c r="P1438" t="s">
        <v>226</v>
      </c>
    </row>
    <row r="1439" spans="11:16" x14ac:dyDescent="0.2">
      <c r="K1439">
        <v>2008</v>
      </c>
      <c r="L1439" t="s">
        <v>835</v>
      </c>
      <c r="M1439" t="s">
        <v>184</v>
      </c>
      <c r="N1439">
        <v>233.5</v>
      </c>
      <c r="O1439" t="s">
        <v>958</v>
      </c>
      <c r="P1439" t="s">
        <v>225</v>
      </c>
    </row>
    <row r="1440" spans="11:16" x14ac:dyDescent="0.2">
      <c r="K1440">
        <v>2008</v>
      </c>
      <c r="L1440" t="s">
        <v>835</v>
      </c>
      <c r="M1440" t="s">
        <v>184</v>
      </c>
      <c r="N1440">
        <v>233.5</v>
      </c>
      <c r="O1440" t="s">
        <v>958</v>
      </c>
      <c r="P1440" t="s">
        <v>226</v>
      </c>
    </row>
    <row r="1441" spans="11:16" x14ac:dyDescent="0.2">
      <c r="K1441">
        <v>2009</v>
      </c>
      <c r="L1441" t="s">
        <v>223</v>
      </c>
      <c r="M1441" t="s">
        <v>186</v>
      </c>
      <c r="N1441">
        <v>183</v>
      </c>
      <c r="O1441" t="s">
        <v>959</v>
      </c>
      <c r="P1441" t="s">
        <v>225</v>
      </c>
    </row>
    <row r="1442" spans="11:16" x14ac:dyDescent="0.2">
      <c r="K1442">
        <v>2009</v>
      </c>
      <c r="L1442" t="s">
        <v>223</v>
      </c>
      <c r="M1442" t="s">
        <v>186</v>
      </c>
      <c r="N1442">
        <v>183</v>
      </c>
      <c r="O1442" t="s">
        <v>959</v>
      </c>
      <c r="P1442" t="s">
        <v>226</v>
      </c>
    </row>
    <row r="1443" spans="11:16" x14ac:dyDescent="0.2">
      <c r="K1443">
        <v>2010</v>
      </c>
      <c r="L1443" t="s">
        <v>223</v>
      </c>
      <c r="M1443" t="s">
        <v>186</v>
      </c>
      <c r="N1443">
        <v>180</v>
      </c>
      <c r="O1443" t="s">
        <v>960</v>
      </c>
      <c r="P1443" t="s">
        <v>225</v>
      </c>
    </row>
    <row r="1444" spans="11:16" x14ac:dyDescent="0.2">
      <c r="K1444">
        <v>2010</v>
      </c>
      <c r="L1444" t="s">
        <v>223</v>
      </c>
      <c r="M1444" t="s">
        <v>186</v>
      </c>
      <c r="N1444">
        <v>180</v>
      </c>
      <c r="O1444" t="s">
        <v>960</v>
      </c>
      <c r="P1444" t="s">
        <v>226</v>
      </c>
    </row>
    <row r="1445" spans="11:16" x14ac:dyDescent="0.2">
      <c r="K1445">
        <v>2011</v>
      </c>
      <c r="L1445" t="s">
        <v>223</v>
      </c>
      <c r="M1445" t="s">
        <v>186</v>
      </c>
      <c r="N1445">
        <v>180</v>
      </c>
      <c r="O1445" t="s">
        <v>961</v>
      </c>
      <c r="P1445" t="s">
        <v>225</v>
      </c>
    </row>
    <row r="1446" spans="11:16" x14ac:dyDescent="0.2">
      <c r="K1446">
        <v>2011</v>
      </c>
      <c r="L1446" t="s">
        <v>223</v>
      </c>
      <c r="M1446" t="s">
        <v>186</v>
      </c>
      <c r="N1446">
        <v>180</v>
      </c>
      <c r="O1446" t="s">
        <v>961</v>
      </c>
      <c r="P1446" t="s">
        <v>226</v>
      </c>
    </row>
    <row r="1447" spans="11:16" x14ac:dyDescent="0.2">
      <c r="K1447">
        <v>2012</v>
      </c>
      <c r="L1447" t="s">
        <v>223</v>
      </c>
      <c r="M1447" t="s">
        <v>186</v>
      </c>
      <c r="N1447">
        <v>180</v>
      </c>
      <c r="O1447" t="s">
        <v>962</v>
      </c>
      <c r="P1447" t="s">
        <v>225</v>
      </c>
    </row>
    <row r="1448" spans="11:16" x14ac:dyDescent="0.2">
      <c r="K1448">
        <v>2012</v>
      </c>
      <c r="L1448" t="s">
        <v>223</v>
      </c>
      <c r="M1448" t="s">
        <v>186</v>
      </c>
      <c r="N1448">
        <v>180</v>
      </c>
      <c r="O1448" t="s">
        <v>962</v>
      </c>
      <c r="P1448" t="s">
        <v>226</v>
      </c>
    </row>
    <row r="1449" spans="11:16" x14ac:dyDescent="0.2">
      <c r="K1449">
        <v>2008</v>
      </c>
      <c r="L1449" t="s">
        <v>235</v>
      </c>
      <c r="M1449" t="s">
        <v>186</v>
      </c>
      <c r="N1449">
        <v>178</v>
      </c>
      <c r="O1449" t="s">
        <v>963</v>
      </c>
      <c r="P1449" t="s">
        <v>225</v>
      </c>
    </row>
    <row r="1450" spans="11:16" x14ac:dyDescent="0.2">
      <c r="K1450">
        <v>2008</v>
      </c>
      <c r="L1450" t="s">
        <v>235</v>
      </c>
      <c r="M1450" t="s">
        <v>186</v>
      </c>
      <c r="N1450">
        <v>178</v>
      </c>
      <c r="O1450" t="s">
        <v>963</v>
      </c>
      <c r="P1450" t="s">
        <v>226</v>
      </c>
    </row>
    <row r="1451" spans="11:16" x14ac:dyDescent="0.2">
      <c r="K1451">
        <v>2010</v>
      </c>
      <c r="L1451" t="s">
        <v>235</v>
      </c>
      <c r="M1451" t="s">
        <v>186</v>
      </c>
      <c r="N1451">
        <v>178.1</v>
      </c>
      <c r="O1451" t="s">
        <v>964</v>
      </c>
      <c r="P1451" t="s">
        <v>225</v>
      </c>
    </row>
    <row r="1452" spans="11:16" x14ac:dyDescent="0.2">
      <c r="K1452">
        <v>2010</v>
      </c>
      <c r="L1452" t="s">
        <v>235</v>
      </c>
      <c r="M1452" t="s">
        <v>186</v>
      </c>
      <c r="N1452">
        <v>178.1</v>
      </c>
      <c r="O1452" t="s">
        <v>964</v>
      </c>
      <c r="P1452" t="s">
        <v>226</v>
      </c>
    </row>
    <row r="1453" spans="11:16" x14ac:dyDescent="0.2">
      <c r="K1453">
        <v>2011</v>
      </c>
      <c r="L1453" t="s">
        <v>235</v>
      </c>
      <c r="M1453" t="s">
        <v>186</v>
      </c>
      <c r="N1453">
        <v>177.1</v>
      </c>
      <c r="O1453" t="s">
        <v>965</v>
      </c>
      <c r="P1453" t="s">
        <v>225</v>
      </c>
    </row>
    <row r="1454" spans="11:16" x14ac:dyDescent="0.2">
      <c r="K1454">
        <v>2011</v>
      </c>
      <c r="L1454" t="s">
        <v>235</v>
      </c>
      <c r="M1454" t="s">
        <v>186</v>
      </c>
      <c r="N1454">
        <v>177.1</v>
      </c>
      <c r="O1454" t="s">
        <v>965</v>
      </c>
      <c r="P1454" t="s">
        <v>226</v>
      </c>
    </row>
    <row r="1455" spans="11:16" x14ac:dyDescent="0.2">
      <c r="K1455">
        <v>2012</v>
      </c>
      <c r="L1455" t="s">
        <v>235</v>
      </c>
      <c r="M1455" t="s">
        <v>186</v>
      </c>
      <c r="N1455">
        <v>178.1</v>
      </c>
      <c r="O1455" t="s">
        <v>966</v>
      </c>
      <c r="P1455" t="s">
        <v>225</v>
      </c>
    </row>
    <row r="1456" spans="11:16" x14ac:dyDescent="0.2">
      <c r="K1456">
        <v>2012</v>
      </c>
      <c r="L1456" t="s">
        <v>235</v>
      </c>
      <c r="M1456" t="s">
        <v>186</v>
      </c>
      <c r="N1456">
        <v>178.1</v>
      </c>
      <c r="O1456" t="s">
        <v>966</v>
      </c>
      <c r="P1456" t="s">
        <v>226</v>
      </c>
    </row>
    <row r="1457" spans="11:16" x14ac:dyDescent="0.2">
      <c r="K1457">
        <v>2008</v>
      </c>
      <c r="L1457" t="s">
        <v>835</v>
      </c>
      <c r="M1457" t="s">
        <v>186</v>
      </c>
      <c r="N1457">
        <v>180</v>
      </c>
      <c r="O1457" t="s">
        <v>967</v>
      </c>
      <c r="P1457" t="s">
        <v>225</v>
      </c>
    </row>
    <row r="1458" spans="11:16" x14ac:dyDescent="0.2">
      <c r="K1458">
        <v>2008</v>
      </c>
      <c r="L1458" t="s">
        <v>835</v>
      </c>
      <c r="M1458" t="s">
        <v>186</v>
      </c>
      <c r="N1458">
        <v>180</v>
      </c>
      <c r="O1458" t="s">
        <v>967</v>
      </c>
      <c r="P1458" t="s">
        <v>226</v>
      </c>
    </row>
    <row r="1459" spans="11:16" x14ac:dyDescent="0.2">
      <c r="K1459">
        <v>2009</v>
      </c>
      <c r="L1459" t="s">
        <v>837</v>
      </c>
      <c r="M1459" t="s">
        <v>186</v>
      </c>
      <c r="N1459">
        <v>180</v>
      </c>
      <c r="O1459" t="s">
        <v>968</v>
      </c>
      <c r="P1459" t="s">
        <v>225</v>
      </c>
    </row>
    <row r="1460" spans="11:16" x14ac:dyDescent="0.2">
      <c r="K1460">
        <v>2009</v>
      </c>
      <c r="L1460" t="s">
        <v>837</v>
      </c>
      <c r="M1460" t="s">
        <v>186</v>
      </c>
      <c r="N1460">
        <v>180</v>
      </c>
      <c r="O1460" t="s">
        <v>968</v>
      </c>
      <c r="P1460" t="s">
        <v>226</v>
      </c>
    </row>
    <row r="1461" spans="11:16" x14ac:dyDescent="0.2">
      <c r="K1461">
        <v>2009</v>
      </c>
      <c r="L1461" t="s">
        <v>223</v>
      </c>
      <c r="M1461" t="s">
        <v>188</v>
      </c>
      <c r="N1461">
        <v>209.1</v>
      </c>
      <c r="O1461" t="s">
        <v>969</v>
      </c>
      <c r="P1461" t="s">
        <v>225</v>
      </c>
    </row>
    <row r="1462" spans="11:16" x14ac:dyDescent="0.2">
      <c r="K1462">
        <v>2009</v>
      </c>
      <c r="L1462" t="s">
        <v>223</v>
      </c>
      <c r="M1462" t="s">
        <v>188</v>
      </c>
      <c r="N1462">
        <v>209.1</v>
      </c>
      <c r="O1462" t="s">
        <v>969</v>
      </c>
      <c r="P1462" t="s">
        <v>226</v>
      </c>
    </row>
    <row r="1463" spans="11:16" x14ac:dyDescent="0.2">
      <c r="K1463">
        <v>2010</v>
      </c>
      <c r="L1463" t="s">
        <v>223</v>
      </c>
      <c r="M1463" t="s">
        <v>188</v>
      </c>
      <c r="N1463">
        <v>202.3</v>
      </c>
      <c r="O1463" t="s">
        <v>970</v>
      </c>
      <c r="P1463" t="s">
        <v>225</v>
      </c>
    </row>
    <row r="1464" spans="11:16" x14ac:dyDescent="0.2">
      <c r="K1464">
        <v>2010</v>
      </c>
      <c r="L1464" t="s">
        <v>223</v>
      </c>
      <c r="M1464" t="s">
        <v>188</v>
      </c>
      <c r="N1464">
        <v>202.3</v>
      </c>
      <c r="O1464" t="s">
        <v>970</v>
      </c>
      <c r="P1464" t="s">
        <v>226</v>
      </c>
    </row>
    <row r="1465" spans="11:16" x14ac:dyDescent="0.2">
      <c r="K1465">
        <v>2011</v>
      </c>
      <c r="L1465" t="s">
        <v>223</v>
      </c>
      <c r="M1465" t="s">
        <v>188</v>
      </c>
      <c r="N1465">
        <v>203.4</v>
      </c>
      <c r="O1465" t="s">
        <v>971</v>
      </c>
      <c r="P1465" t="s">
        <v>225</v>
      </c>
    </row>
    <row r="1466" spans="11:16" x14ac:dyDescent="0.2">
      <c r="K1466">
        <v>2011</v>
      </c>
      <c r="L1466" t="s">
        <v>223</v>
      </c>
      <c r="M1466" t="s">
        <v>188</v>
      </c>
      <c r="N1466">
        <v>203.4</v>
      </c>
      <c r="O1466" t="s">
        <v>971</v>
      </c>
      <c r="P1466" t="s">
        <v>226</v>
      </c>
    </row>
    <row r="1467" spans="11:16" x14ac:dyDescent="0.2">
      <c r="K1467">
        <v>2012</v>
      </c>
      <c r="L1467" t="s">
        <v>223</v>
      </c>
      <c r="M1467" t="s">
        <v>188</v>
      </c>
      <c r="N1467">
        <v>202.4</v>
      </c>
      <c r="O1467" t="s">
        <v>972</v>
      </c>
      <c r="P1467" t="s">
        <v>225</v>
      </c>
    </row>
    <row r="1468" spans="11:16" x14ac:dyDescent="0.2">
      <c r="K1468">
        <v>2012</v>
      </c>
      <c r="L1468" t="s">
        <v>223</v>
      </c>
      <c r="M1468" t="s">
        <v>188</v>
      </c>
      <c r="N1468">
        <v>202.4</v>
      </c>
      <c r="O1468" t="s">
        <v>972</v>
      </c>
      <c r="P1468" t="s">
        <v>226</v>
      </c>
    </row>
    <row r="1469" spans="11:16" x14ac:dyDescent="0.2">
      <c r="K1469">
        <v>2008</v>
      </c>
      <c r="L1469" t="s">
        <v>235</v>
      </c>
      <c r="M1469" t="s">
        <v>188</v>
      </c>
      <c r="N1469">
        <v>201.4</v>
      </c>
      <c r="O1469" t="s">
        <v>973</v>
      </c>
      <c r="P1469" t="s">
        <v>225</v>
      </c>
    </row>
    <row r="1470" spans="11:16" x14ac:dyDescent="0.2">
      <c r="K1470">
        <v>2008</v>
      </c>
      <c r="L1470" t="s">
        <v>235</v>
      </c>
      <c r="M1470" t="s">
        <v>188</v>
      </c>
      <c r="N1470">
        <v>201.4</v>
      </c>
      <c r="O1470" t="s">
        <v>973</v>
      </c>
      <c r="P1470" t="s">
        <v>226</v>
      </c>
    </row>
    <row r="1471" spans="11:16" x14ac:dyDescent="0.2">
      <c r="K1471">
        <v>2010</v>
      </c>
      <c r="L1471" t="s">
        <v>235</v>
      </c>
      <c r="M1471" t="s">
        <v>188</v>
      </c>
      <c r="N1471">
        <v>201.4</v>
      </c>
      <c r="O1471" t="s">
        <v>974</v>
      </c>
      <c r="P1471" t="s">
        <v>225</v>
      </c>
    </row>
    <row r="1472" spans="11:16" x14ac:dyDescent="0.2">
      <c r="K1472">
        <v>2010</v>
      </c>
      <c r="L1472" t="s">
        <v>235</v>
      </c>
      <c r="M1472" t="s">
        <v>188</v>
      </c>
      <c r="N1472">
        <v>201.4</v>
      </c>
      <c r="O1472" t="s">
        <v>974</v>
      </c>
      <c r="P1472" t="s">
        <v>226</v>
      </c>
    </row>
    <row r="1473" spans="11:16" x14ac:dyDescent="0.2">
      <c r="K1473">
        <v>2011</v>
      </c>
      <c r="L1473" t="s">
        <v>235</v>
      </c>
      <c r="M1473" t="s">
        <v>188</v>
      </c>
      <c r="N1473">
        <v>203.4</v>
      </c>
      <c r="O1473" t="s">
        <v>975</v>
      </c>
      <c r="P1473" t="s">
        <v>225</v>
      </c>
    </row>
    <row r="1474" spans="11:16" x14ac:dyDescent="0.2">
      <c r="K1474">
        <v>2011</v>
      </c>
      <c r="L1474" t="s">
        <v>235</v>
      </c>
      <c r="M1474" t="s">
        <v>188</v>
      </c>
      <c r="N1474">
        <v>203.4</v>
      </c>
      <c r="O1474" t="s">
        <v>975</v>
      </c>
      <c r="P1474" t="s">
        <v>226</v>
      </c>
    </row>
    <row r="1475" spans="11:16" x14ac:dyDescent="0.2">
      <c r="K1475">
        <v>2012</v>
      </c>
      <c r="L1475" t="s">
        <v>235</v>
      </c>
      <c r="M1475" t="s">
        <v>188</v>
      </c>
      <c r="N1475">
        <v>201.4</v>
      </c>
      <c r="O1475" t="s">
        <v>976</v>
      </c>
      <c r="P1475" t="s">
        <v>225</v>
      </c>
    </row>
    <row r="1476" spans="11:16" x14ac:dyDescent="0.2">
      <c r="K1476">
        <v>2012</v>
      </c>
      <c r="L1476" t="s">
        <v>235</v>
      </c>
      <c r="M1476" t="s">
        <v>188</v>
      </c>
      <c r="N1476">
        <v>201.4</v>
      </c>
      <c r="O1476" t="s">
        <v>976</v>
      </c>
      <c r="P1476" t="s">
        <v>226</v>
      </c>
    </row>
    <row r="1477" spans="11:16" x14ac:dyDescent="0.2">
      <c r="K1477">
        <v>2008</v>
      </c>
      <c r="L1477" t="s">
        <v>835</v>
      </c>
      <c r="M1477" t="s">
        <v>188</v>
      </c>
      <c r="N1477">
        <v>203.4</v>
      </c>
      <c r="O1477" t="s">
        <v>977</v>
      </c>
      <c r="P1477" t="s">
        <v>225</v>
      </c>
    </row>
    <row r="1478" spans="11:16" x14ac:dyDescent="0.2">
      <c r="K1478">
        <v>2008</v>
      </c>
      <c r="L1478" t="s">
        <v>835</v>
      </c>
      <c r="M1478" t="s">
        <v>188</v>
      </c>
      <c r="N1478">
        <v>203.4</v>
      </c>
      <c r="O1478" t="s">
        <v>977</v>
      </c>
      <c r="P1478" t="s">
        <v>226</v>
      </c>
    </row>
    <row r="1479" spans="11:16" x14ac:dyDescent="0.2">
      <c r="K1479">
        <v>2009</v>
      </c>
      <c r="L1479" t="s">
        <v>837</v>
      </c>
      <c r="M1479" t="s">
        <v>188</v>
      </c>
      <c r="N1479">
        <v>201.4</v>
      </c>
      <c r="O1479" t="s">
        <v>978</v>
      </c>
      <c r="P1479" t="s">
        <v>225</v>
      </c>
    </row>
    <row r="1480" spans="11:16" x14ac:dyDescent="0.2">
      <c r="K1480">
        <v>2009</v>
      </c>
      <c r="L1480" t="s">
        <v>837</v>
      </c>
      <c r="M1480" t="s">
        <v>188</v>
      </c>
      <c r="N1480">
        <v>201.4</v>
      </c>
      <c r="O1480" t="s">
        <v>978</v>
      </c>
      <c r="P1480" t="s">
        <v>226</v>
      </c>
    </row>
    <row r="1481" spans="11:16" x14ac:dyDescent="0.2">
      <c r="K1481">
        <v>2009</v>
      </c>
      <c r="L1481" t="s">
        <v>223</v>
      </c>
      <c r="M1481" t="s">
        <v>187</v>
      </c>
      <c r="N1481">
        <v>156.5</v>
      </c>
      <c r="O1481" t="s">
        <v>979</v>
      </c>
      <c r="P1481" t="s">
        <v>225</v>
      </c>
    </row>
    <row r="1482" spans="11:16" x14ac:dyDescent="0.2">
      <c r="K1482">
        <v>2009</v>
      </c>
      <c r="L1482" t="s">
        <v>223</v>
      </c>
      <c r="M1482" t="s">
        <v>187</v>
      </c>
      <c r="N1482">
        <v>156.5</v>
      </c>
      <c r="O1482" t="s">
        <v>979</v>
      </c>
      <c r="P1482" t="s">
        <v>226</v>
      </c>
    </row>
    <row r="1483" spans="11:16" x14ac:dyDescent="0.2">
      <c r="K1483">
        <v>2010</v>
      </c>
      <c r="L1483" t="s">
        <v>223</v>
      </c>
      <c r="M1483" t="s">
        <v>187</v>
      </c>
      <c r="N1483">
        <v>156.6</v>
      </c>
      <c r="O1483" t="s">
        <v>980</v>
      </c>
      <c r="P1483" t="s">
        <v>225</v>
      </c>
    </row>
    <row r="1484" spans="11:16" x14ac:dyDescent="0.2">
      <c r="K1484">
        <v>2010</v>
      </c>
      <c r="L1484" t="s">
        <v>223</v>
      </c>
      <c r="M1484" t="s">
        <v>187</v>
      </c>
      <c r="N1484">
        <v>156.6</v>
      </c>
      <c r="O1484" t="s">
        <v>980</v>
      </c>
      <c r="P1484" t="s">
        <v>226</v>
      </c>
    </row>
    <row r="1485" spans="11:16" x14ac:dyDescent="0.2">
      <c r="K1485">
        <v>2011</v>
      </c>
      <c r="L1485" t="s">
        <v>223</v>
      </c>
      <c r="M1485" t="s">
        <v>187</v>
      </c>
      <c r="N1485">
        <v>155.69999999999999</v>
      </c>
      <c r="O1485" t="s">
        <v>981</v>
      </c>
      <c r="P1485" t="s">
        <v>225</v>
      </c>
    </row>
    <row r="1486" spans="11:16" x14ac:dyDescent="0.2">
      <c r="K1486">
        <v>2011</v>
      </c>
      <c r="L1486" t="s">
        <v>223</v>
      </c>
      <c r="M1486" t="s">
        <v>187</v>
      </c>
      <c r="N1486">
        <v>155.69999999999999</v>
      </c>
      <c r="O1486" t="s">
        <v>981</v>
      </c>
      <c r="P1486" t="s">
        <v>226</v>
      </c>
    </row>
    <row r="1487" spans="11:16" x14ac:dyDescent="0.2">
      <c r="K1487">
        <v>2012</v>
      </c>
      <c r="L1487" t="s">
        <v>223</v>
      </c>
      <c r="M1487" t="s">
        <v>187</v>
      </c>
      <c r="N1487">
        <v>155.69999999999999</v>
      </c>
      <c r="O1487" t="s">
        <v>982</v>
      </c>
      <c r="P1487" t="s">
        <v>225</v>
      </c>
    </row>
    <row r="1488" spans="11:16" x14ac:dyDescent="0.2">
      <c r="K1488">
        <v>2012</v>
      </c>
      <c r="L1488" t="s">
        <v>223</v>
      </c>
      <c r="M1488" t="s">
        <v>187</v>
      </c>
      <c r="N1488">
        <v>155.69999999999999</v>
      </c>
      <c r="O1488" t="s">
        <v>982</v>
      </c>
      <c r="P1488" t="s">
        <v>226</v>
      </c>
    </row>
    <row r="1489" spans="11:16" x14ac:dyDescent="0.2">
      <c r="K1489">
        <v>2008</v>
      </c>
      <c r="L1489" t="s">
        <v>235</v>
      </c>
      <c r="M1489" t="s">
        <v>187</v>
      </c>
      <c r="N1489">
        <v>155.6</v>
      </c>
      <c r="O1489" t="s">
        <v>983</v>
      </c>
      <c r="P1489" t="s">
        <v>225</v>
      </c>
    </row>
    <row r="1490" spans="11:16" x14ac:dyDescent="0.2">
      <c r="K1490">
        <v>2008</v>
      </c>
      <c r="L1490" t="s">
        <v>235</v>
      </c>
      <c r="M1490" t="s">
        <v>187</v>
      </c>
      <c r="N1490">
        <v>155.6</v>
      </c>
      <c r="O1490" t="s">
        <v>983</v>
      </c>
      <c r="P1490" t="s">
        <v>226</v>
      </c>
    </row>
    <row r="1491" spans="11:16" x14ac:dyDescent="0.2">
      <c r="K1491">
        <v>2009</v>
      </c>
      <c r="L1491" t="s">
        <v>235</v>
      </c>
      <c r="M1491" t="s">
        <v>187</v>
      </c>
      <c r="N1491">
        <v>155.69999999999999</v>
      </c>
      <c r="O1491" t="s">
        <v>984</v>
      </c>
      <c r="P1491" t="s">
        <v>225</v>
      </c>
    </row>
    <row r="1492" spans="11:16" x14ac:dyDescent="0.2">
      <c r="K1492">
        <v>2009</v>
      </c>
      <c r="L1492" t="s">
        <v>235</v>
      </c>
      <c r="M1492" t="s">
        <v>187</v>
      </c>
      <c r="N1492">
        <v>155.69999999999999</v>
      </c>
      <c r="O1492" t="s">
        <v>984</v>
      </c>
      <c r="P1492" t="s">
        <v>226</v>
      </c>
    </row>
    <row r="1493" spans="11:16" x14ac:dyDescent="0.2">
      <c r="K1493">
        <v>2010</v>
      </c>
      <c r="L1493" t="s">
        <v>235</v>
      </c>
      <c r="M1493" t="s">
        <v>187</v>
      </c>
      <c r="N1493">
        <v>155.69999999999999</v>
      </c>
      <c r="O1493" t="s">
        <v>985</v>
      </c>
      <c r="P1493" t="s">
        <v>225</v>
      </c>
    </row>
    <row r="1494" spans="11:16" x14ac:dyDescent="0.2">
      <c r="K1494">
        <v>2010</v>
      </c>
      <c r="L1494" t="s">
        <v>235</v>
      </c>
      <c r="M1494" t="s">
        <v>187</v>
      </c>
      <c r="N1494">
        <v>155.69999999999999</v>
      </c>
      <c r="O1494" t="s">
        <v>985</v>
      </c>
      <c r="P1494" t="s">
        <v>226</v>
      </c>
    </row>
    <row r="1495" spans="11:16" x14ac:dyDescent="0.2">
      <c r="K1495">
        <v>2011</v>
      </c>
      <c r="L1495" t="s">
        <v>235</v>
      </c>
      <c r="M1495" t="s">
        <v>187</v>
      </c>
      <c r="N1495">
        <v>153.69999999999999</v>
      </c>
      <c r="O1495" t="s">
        <v>986</v>
      </c>
      <c r="P1495" t="s">
        <v>225</v>
      </c>
    </row>
    <row r="1496" spans="11:16" x14ac:dyDescent="0.2">
      <c r="K1496">
        <v>2011</v>
      </c>
      <c r="L1496" t="s">
        <v>235</v>
      </c>
      <c r="M1496" t="s">
        <v>187</v>
      </c>
      <c r="N1496">
        <v>153.69999999999999</v>
      </c>
      <c r="O1496" t="s">
        <v>986</v>
      </c>
      <c r="P1496" t="s">
        <v>226</v>
      </c>
    </row>
    <row r="1497" spans="11:16" x14ac:dyDescent="0.2">
      <c r="K1497">
        <v>2012</v>
      </c>
      <c r="L1497" t="s">
        <v>235</v>
      </c>
      <c r="M1497" t="s">
        <v>187</v>
      </c>
      <c r="N1497">
        <v>155.69999999999999</v>
      </c>
      <c r="O1497" t="s">
        <v>987</v>
      </c>
      <c r="P1497" t="s">
        <v>225</v>
      </c>
    </row>
    <row r="1498" spans="11:16" x14ac:dyDescent="0.2">
      <c r="K1498">
        <v>2012</v>
      </c>
      <c r="L1498" t="s">
        <v>235</v>
      </c>
      <c r="M1498" t="s">
        <v>187</v>
      </c>
      <c r="N1498">
        <v>155.69999999999999</v>
      </c>
      <c r="O1498" t="s">
        <v>987</v>
      </c>
      <c r="P1498" t="s">
        <v>226</v>
      </c>
    </row>
    <row r="1499" spans="11:16" x14ac:dyDescent="0.2">
      <c r="K1499">
        <v>2008</v>
      </c>
      <c r="L1499" t="s">
        <v>835</v>
      </c>
      <c r="M1499" t="s">
        <v>187</v>
      </c>
      <c r="N1499">
        <v>156.6</v>
      </c>
      <c r="O1499" t="s">
        <v>988</v>
      </c>
      <c r="P1499" t="s">
        <v>225</v>
      </c>
    </row>
    <row r="1500" spans="11:16" x14ac:dyDescent="0.2">
      <c r="K1500">
        <v>2008</v>
      </c>
      <c r="L1500" t="s">
        <v>835</v>
      </c>
      <c r="M1500" t="s">
        <v>187</v>
      </c>
      <c r="N1500">
        <v>156.6</v>
      </c>
      <c r="O1500" t="s">
        <v>988</v>
      </c>
      <c r="P1500" t="s">
        <v>226</v>
      </c>
    </row>
    <row r="1501" spans="11:16" x14ac:dyDescent="0.2">
      <c r="K1501">
        <v>2009</v>
      </c>
      <c r="L1501" t="s">
        <v>223</v>
      </c>
      <c r="M1501" t="s">
        <v>185</v>
      </c>
      <c r="N1501">
        <v>187.6</v>
      </c>
      <c r="O1501" t="s">
        <v>989</v>
      </c>
      <c r="P1501" t="s">
        <v>225</v>
      </c>
    </row>
    <row r="1502" spans="11:16" x14ac:dyDescent="0.2">
      <c r="K1502">
        <v>2009</v>
      </c>
      <c r="L1502" t="s">
        <v>223</v>
      </c>
      <c r="M1502" t="s">
        <v>185</v>
      </c>
      <c r="N1502">
        <v>187.6</v>
      </c>
      <c r="O1502" t="s">
        <v>989</v>
      </c>
      <c r="P1502" t="s">
        <v>226</v>
      </c>
    </row>
    <row r="1503" spans="11:16" x14ac:dyDescent="0.2">
      <c r="K1503">
        <v>2010</v>
      </c>
      <c r="L1503" t="s">
        <v>223</v>
      </c>
      <c r="M1503" t="s">
        <v>185</v>
      </c>
      <c r="N1503">
        <v>187.7</v>
      </c>
      <c r="O1503" t="s">
        <v>990</v>
      </c>
      <c r="P1503" t="s">
        <v>225</v>
      </c>
    </row>
    <row r="1504" spans="11:16" x14ac:dyDescent="0.2">
      <c r="K1504">
        <v>2010</v>
      </c>
      <c r="L1504" t="s">
        <v>223</v>
      </c>
      <c r="M1504" t="s">
        <v>185</v>
      </c>
      <c r="N1504">
        <v>187.7</v>
      </c>
      <c r="O1504" t="s">
        <v>990</v>
      </c>
      <c r="P1504" t="s">
        <v>226</v>
      </c>
    </row>
    <row r="1505" spans="11:16" x14ac:dyDescent="0.2">
      <c r="K1505">
        <v>2011</v>
      </c>
      <c r="L1505" t="s">
        <v>223</v>
      </c>
      <c r="M1505" t="s">
        <v>185</v>
      </c>
      <c r="N1505">
        <v>187.8</v>
      </c>
      <c r="O1505" t="s">
        <v>991</v>
      </c>
      <c r="P1505" t="s">
        <v>225</v>
      </c>
    </row>
    <row r="1506" spans="11:16" x14ac:dyDescent="0.2">
      <c r="K1506">
        <v>2011</v>
      </c>
      <c r="L1506" t="s">
        <v>223</v>
      </c>
      <c r="M1506" t="s">
        <v>185</v>
      </c>
      <c r="N1506">
        <v>187.8</v>
      </c>
      <c r="O1506" t="s">
        <v>991</v>
      </c>
      <c r="P1506" t="s">
        <v>226</v>
      </c>
    </row>
    <row r="1507" spans="11:16" x14ac:dyDescent="0.2">
      <c r="K1507">
        <v>2012</v>
      </c>
      <c r="L1507" t="s">
        <v>223</v>
      </c>
      <c r="M1507" t="s">
        <v>185</v>
      </c>
      <c r="N1507">
        <v>186.8</v>
      </c>
      <c r="O1507" t="s">
        <v>992</v>
      </c>
      <c r="P1507" t="s">
        <v>225</v>
      </c>
    </row>
    <row r="1508" spans="11:16" x14ac:dyDescent="0.2">
      <c r="K1508">
        <v>2012</v>
      </c>
      <c r="L1508" t="s">
        <v>223</v>
      </c>
      <c r="M1508" t="s">
        <v>185</v>
      </c>
      <c r="N1508">
        <v>186.8</v>
      </c>
      <c r="O1508" t="s">
        <v>992</v>
      </c>
      <c r="P1508" t="s">
        <v>226</v>
      </c>
    </row>
    <row r="1509" spans="11:16" x14ac:dyDescent="0.2">
      <c r="K1509">
        <v>2008</v>
      </c>
      <c r="L1509" t="s">
        <v>235</v>
      </c>
      <c r="M1509" t="s">
        <v>185</v>
      </c>
      <c r="N1509">
        <v>185.8</v>
      </c>
      <c r="O1509" t="s">
        <v>993</v>
      </c>
      <c r="P1509" t="s">
        <v>225</v>
      </c>
    </row>
    <row r="1510" spans="11:16" x14ac:dyDescent="0.2">
      <c r="K1510">
        <v>2008</v>
      </c>
      <c r="L1510" t="s">
        <v>235</v>
      </c>
      <c r="M1510" t="s">
        <v>185</v>
      </c>
      <c r="N1510">
        <v>185.8</v>
      </c>
      <c r="O1510" t="s">
        <v>993</v>
      </c>
      <c r="P1510" t="s">
        <v>226</v>
      </c>
    </row>
    <row r="1511" spans="11:16" x14ac:dyDescent="0.2">
      <c r="K1511">
        <v>2009</v>
      </c>
      <c r="L1511" t="s">
        <v>235</v>
      </c>
      <c r="M1511" t="s">
        <v>185</v>
      </c>
      <c r="N1511">
        <v>185.8</v>
      </c>
      <c r="O1511" t="s">
        <v>994</v>
      </c>
      <c r="P1511" t="s">
        <v>225</v>
      </c>
    </row>
    <row r="1512" spans="11:16" x14ac:dyDescent="0.2">
      <c r="K1512">
        <v>2009</v>
      </c>
      <c r="L1512" t="s">
        <v>235</v>
      </c>
      <c r="M1512" t="s">
        <v>185</v>
      </c>
      <c r="N1512">
        <v>185.8</v>
      </c>
      <c r="O1512" t="s">
        <v>994</v>
      </c>
      <c r="P1512" t="s">
        <v>226</v>
      </c>
    </row>
    <row r="1513" spans="11:16" x14ac:dyDescent="0.2">
      <c r="K1513">
        <v>2010</v>
      </c>
      <c r="L1513" t="s">
        <v>235</v>
      </c>
      <c r="M1513" t="s">
        <v>185</v>
      </c>
      <c r="N1513">
        <v>185.8</v>
      </c>
      <c r="O1513" t="s">
        <v>995</v>
      </c>
      <c r="P1513" t="s">
        <v>225</v>
      </c>
    </row>
    <row r="1514" spans="11:16" x14ac:dyDescent="0.2">
      <c r="K1514">
        <v>2010</v>
      </c>
      <c r="L1514" t="s">
        <v>235</v>
      </c>
      <c r="M1514" t="s">
        <v>185</v>
      </c>
      <c r="N1514">
        <v>185.8</v>
      </c>
      <c r="O1514" t="s">
        <v>995</v>
      </c>
      <c r="P1514" t="s">
        <v>226</v>
      </c>
    </row>
    <row r="1515" spans="11:16" x14ac:dyDescent="0.2">
      <c r="K1515">
        <v>2011</v>
      </c>
      <c r="L1515" t="s">
        <v>235</v>
      </c>
      <c r="M1515" t="s">
        <v>185</v>
      </c>
      <c r="N1515">
        <v>185.8</v>
      </c>
      <c r="O1515" t="s">
        <v>996</v>
      </c>
      <c r="P1515" t="s">
        <v>225</v>
      </c>
    </row>
    <row r="1516" spans="11:16" x14ac:dyDescent="0.2">
      <c r="K1516">
        <v>2011</v>
      </c>
      <c r="L1516" t="s">
        <v>235</v>
      </c>
      <c r="M1516" t="s">
        <v>185</v>
      </c>
      <c r="N1516">
        <v>185.8</v>
      </c>
      <c r="O1516" t="s">
        <v>996</v>
      </c>
      <c r="P1516" t="s">
        <v>226</v>
      </c>
    </row>
    <row r="1517" spans="11:16" x14ac:dyDescent="0.2">
      <c r="K1517">
        <v>2012</v>
      </c>
      <c r="L1517" t="s">
        <v>235</v>
      </c>
      <c r="M1517" t="s">
        <v>185</v>
      </c>
      <c r="N1517">
        <v>185.8</v>
      </c>
      <c r="O1517" t="s">
        <v>997</v>
      </c>
      <c r="P1517" t="s">
        <v>225</v>
      </c>
    </row>
    <row r="1518" spans="11:16" x14ac:dyDescent="0.2">
      <c r="K1518">
        <v>2012</v>
      </c>
      <c r="L1518" t="s">
        <v>235</v>
      </c>
      <c r="M1518" t="s">
        <v>185</v>
      </c>
      <c r="N1518">
        <v>185.8</v>
      </c>
      <c r="O1518" t="s">
        <v>997</v>
      </c>
      <c r="P1518" t="s">
        <v>226</v>
      </c>
    </row>
    <row r="1519" spans="11:16" x14ac:dyDescent="0.2">
      <c r="K1519">
        <v>2008</v>
      </c>
      <c r="L1519" t="s">
        <v>835</v>
      </c>
      <c r="M1519" t="s">
        <v>185</v>
      </c>
      <c r="N1519">
        <v>187.7</v>
      </c>
      <c r="O1519" t="s">
        <v>998</v>
      </c>
      <c r="P1519" t="s">
        <v>225</v>
      </c>
    </row>
    <row r="1520" spans="11:16" x14ac:dyDescent="0.2">
      <c r="K1520">
        <v>2008</v>
      </c>
      <c r="L1520" t="s">
        <v>835</v>
      </c>
      <c r="M1520" t="s">
        <v>185</v>
      </c>
      <c r="N1520">
        <v>187.7</v>
      </c>
      <c r="O1520" t="s">
        <v>998</v>
      </c>
      <c r="P1520" t="s">
        <v>226</v>
      </c>
    </row>
    <row r="1521" spans="11:16" x14ac:dyDescent="0.2">
      <c r="K1521">
        <v>2010</v>
      </c>
      <c r="L1521" t="s">
        <v>223</v>
      </c>
      <c r="M1521" t="s">
        <v>212</v>
      </c>
      <c r="N1521">
        <v>14.5</v>
      </c>
      <c r="O1521" t="s">
        <v>999</v>
      </c>
      <c r="P1521" t="s">
        <v>225</v>
      </c>
    </row>
    <row r="1522" spans="11:16" x14ac:dyDescent="0.2">
      <c r="K1522">
        <v>2010</v>
      </c>
      <c r="L1522" t="s">
        <v>223</v>
      </c>
      <c r="M1522" t="s">
        <v>212</v>
      </c>
      <c r="N1522">
        <v>14.5</v>
      </c>
      <c r="O1522" t="s">
        <v>999</v>
      </c>
      <c r="P1522" t="s">
        <v>226</v>
      </c>
    </row>
    <row r="1523" spans="11:16" x14ac:dyDescent="0.2">
      <c r="K1523">
        <v>2012</v>
      </c>
      <c r="L1523" t="s">
        <v>223</v>
      </c>
      <c r="M1523" t="s">
        <v>212</v>
      </c>
      <c r="N1523">
        <v>13.7</v>
      </c>
      <c r="O1523" t="s">
        <v>1000</v>
      </c>
      <c r="P1523" t="s">
        <v>225</v>
      </c>
    </row>
    <row r="1524" spans="11:16" x14ac:dyDescent="0.2">
      <c r="K1524">
        <v>2012</v>
      </c>
      <c r="L1524" t="s">
        <v>223</v>
      </c>
      <c r="M1524" t="s">
        <v>212</v>
      </c>
      <c r="N1524">
        <v>13.7</v>
      </c>
      <c r="O1524" t="s">
        <v>1000</v>
      </c>
      <c r="P1524" t="s">
        <v>226</v>
      </c>
    </row>
    <row r="1525" spans="11:16" x14ac:dyDescent="0.2">
      <c r="K1525">
        <v>2008</v>
      </c>
      <c r="L1525" t="s">
        <v>235</v>
      </c>
      <c r="M1525" t="s">
        <v>212</v>
      </c>
      <c r="N1525">
        <v>13.7</v>
      </c>
      <c r="O1525" t="s">
        <v>1001</v>
      </c>
      <c r="P1525" t="s">
        <v>225</v>
      </c>
    </row>
    <row r="1526" spans="11:16" x14ac:dyDescent="0.2">
      <c r="K1526">
        <v>2008</v>
      </c>
      <c r="L1526" t="s">
        <v>235</v>
      </c>
      <c r="M1526" t="s">
        <v>212</v>
      </c>
      <c r="N1526">
        <v>13.7</v>
      </c>
      <c r="O1526" t="s">
        <v>1001</v>
      </c>
      <c r="P1526" t="s">
        <v>226</v>
      </c>
    </row>
    <row r="1527" spans="11:16" x14ac:dyDescent="0.2">
      <c r="K1527">
        <v>2010</v>
      </c>
      <c r="L1527" t="s">
        <v>235</v>
      </c>
      <c r="M1527" t="s">
        <v>212</v>
      </c>
      <c r="N1527">
        <v>13.2</v>
      </c>
      <c r="O1527" t="s">
        <v>1002</v>
      </c>
      <c r="P1527" t="s">
        <v>225</v>
      </c>
    </row>
    <row r="1528" spans="11:16" x14ac:dyDescent="0.2">
      <c r="K1528">
        <v>2010</v>
      </c>
      <c r="L1528" t="s">
        <v>235</v>
      </c>
      <c r="M1528" t="s">
        <v>212</v>
      </c>
      <c r="N1528">
        <v>13.2</v>
      </c>
      <c r="O1528" t="s">
        <v>1002</v>
      </c>
      <c r="P1528" t="s">
        <v>226</v>
      </c>
    </row>
    <row r="1529" spans="11:16" x14ac:dyDescent="0.2">
      <c r="K1529">
        <v>2012</v>
      </c>
      <c r="L1529" t="s">
        <v>235</v>
      </c>
      <c r="M1529" t="s">
        <v>212</v>
      </c>
      <c r="N1529">
        <v>112.9</v>
      </c>
      <c r="O1529" t="s">
        <v>1003</v>
      </c>
      <c r="P1529" t="s">
        <v>225</v>
      </c>
    </row>
    <row r="1530" spans="11:16" x14ac:dyDescent="0.2">
      <c r="K1530">
        <v>2012</v>
      </c>
      <c r="L1530" t="s">
        <v>235</v>
      </c>
      <c r="M1530" t="s">
        <v>212</v>
      </c>
      <c r="N1530">
        <v>112.9</v>
      </c>
      <c r="O1530" t="s">
        <v>1003</v>
      </c>
      <c r="P1530" t="s">
        <v>226</v>
      </c>
    </row>
    <row r="1531" spans="11:16" x14ac:dyDescent="0.2">
      <c r="K1531">
        <v>2008</v>
      </c>
      <c r="L1531" t="s">
        <v>835</v>
      </c>
      <c r="M1531" t="s">
        <v>212</v>
      </c>
      <c r="N1531">
        <v>13.8</v>
      </c>
      <c r="O1531" t="s">
        <v>1004</v>
      </c>
      <c r="P1531" t="s">
        <v>225</v>
      </c>
    </row>
    <row r="1532" spans="11:16" x14ac:dyDescent="0.2">
      <c r="K1532">
        <v>2008</v>
      </c>
      <c r="L1532" t="s">
        <v>835</v>
      </c>
      <c r="M1532" t="s">
        <v>212</v>
      </c>
      <c r="N1532">
        <v>13.8</v>
      </c>
      <c r="O1532" t="s">
        <v>1004</v>
      </c>
      <c r="P1532" t="s">
        <v>226</v>
      </c>
    </row>
    <row r="1533" spans="11:16" x14ac:dyDescent="0.2">
      <c r="K1533">
        <v>2009</v>
      </c>
      <c r="L1533" t="s">
        <v>223</v>
      </c>
      <c r="M1533" t="s">
        <v>277</v>
      </c>
      <c r="N1533">
        <v>37.799999999999997</v>
      </c>
      <c r="O1533" t="s">
        <v>1005</v>
      </c>
      <c r="P1533" t="s">
        <v>225</v>
      </c>
    </row>
    <row r="1534" spans="11:16" x14ac:dyDescent="0.2">
      <c r="K1534">
        <v>2009</v>
      </c>
      <c r="L1534" t="s">
        <v>223</v>
      </c>
      <c r="M1534" t="s">
        <v>277</v>
      </c>
      <c r="N1534">
        <v>37.799999999999997</v>
      </c>
      <c r="O1534" t="s">
        <v>1005</v>
      </c>
      <c r="P1534" t="s">
        <v>226</v>
      </c>
    </row>
    <row r="1535" spans="11:16" x14ac:dyDescent="0.2">
      <c r="K1535">
        <v>2011</v>
      </c>
      <c r="L1535" t="s">
        <v>223</v>
      </c>
      <c r="M1535" t="s">
        <v>277</v>
      </c>
      <c r="N1535">
        <v>69</v>
      </c>
      <c r="O1535" t="s">
        <v>1006</v>
      </c>
      <c r="P1535" t="s">
        <v>225</v>
      </c>
    </row>
    <row r="1536" spans="11:16" x14ac:dyDescent="0.2">
      <c r="K1536">
        <v>2011</v>
      </c>
      <c r="L1536" t="s">
        <v>223</v>
      </c>
      <c r="M1536" t="s">
        <v>277</v>
      </c>
      <c r="N1536">
        <v>69</v>
      </c>
      <c r="O1536" t="s">
        <v>1006</v>
      </c>
      <c r="P1536" t="s">
        <v>226</v>
      </c>
    </row>
    <row r="1537" spans="11:16" x14ac:dyDescent="0.2">
      <c r="K1537">
        <v>2011</v>
      </c>
      <c r="L1537" t="s">
        <v>235</v>
      </c>
      <c r="M1537" t="s">
        <v>277</v>
      </c>
      <c r="N1537">
        <v>109</v>
      </c>
      <c r="O1537" t="s">
        <v>1007</v>
      </c>
      <c r="P1537" t="s">
        <v>225</v>
      </c>
    </row>
    <row r="1538" spans="11:16" x14ac:dyDescent="0.2">
      <c r="K1538">
        <v>2011</v>
      </c>
      <c r="L1538" t="s">
        <v>235</v>
      </c>
      <c r="M1538" t="s">
        <v>277</v>
      </c>
      <c r="N1538">
        <v>109</v>
      </c>
      <c r="O1538" t="s">
        <v>1007</v>
      </c>
      <c r="P1538" t="s">
        <v>226</v>
      </c>
    </row>
    <row r="1539" spans="11:16" x14ac:dyDescent="0.2">
      <c r="K1539">
        <v>2009</v>
      </c>
      <c r="L1539" t="s">
        <v>837</v>
      </c>
      <c r="M1539" t="s">
        <v>277</v>
      </c>
      <c r="N1539">
        <v>36</v>
      </c>
      <c r="O1539" t="s">
        <v>1008</v>
      </c>
      <c r="P1539" t="s">
        <v>225</v>
      </c>
    </row>
    <row r="1540" spans="11:16" x14ac:dyDescent="0.2">
      <c r="K1540">
        <v>2009</v>
      </c>
      <c r="L1540" t="s">
        <v>837</v>
      </c>
      <c r="M1540" t="s">
        <v>277</v>
      </c>
      <c r="N1540">
        <v>36</v>
      </c>
      <c r="O1540" t="s">
        <v>1008</v>
      </c>
      <c r="P1540" t="s">
        <v>226</v>
      </c>
    </row>
  </sheetData>
  <sortState xmlns:xlrd2="http://schemas.microsoft.com/office/spreadsheetml/2017/richdata2" ref="A3:H87">
    <sortCondition ref="A3:A87"/>
  </sortState>
  <mergeCells count="1">
    <mergeCell ref="E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/>
  <dimension ref="D1:U6"/>
  <sheetViews>
    <sheetView topLeftCell="D1" workbookViewId="0">
      <pane ySplit="3" topLeftCell="A4" activePane="bottomLeft" state="frozen"/>
      <selection activeCell="B1" sqref="B1"/>
      <selection pane="bottomLeft" activeCell="J21" sqref="J21"/>
    </sheetView>
  </sheetViews>
  <sheetFormatPr defaultRowHeight="12.75" x14ac:dyDescent="0.2"/>
  <cols>
    <col min="3" max="3" width="15.42578125" customWidth="1"/>
    <col min="4" max="4" width="14.140625" customWidth="1"/>
    <col min="7" max="7" width="10" customWidth="1"/>
    <col min="20" max="20" width="7.5703125" customWidth="1"/>
    <col min="21" max="21" width="7.42578125" customWidth="1"/>
  </cols>
  <sheetData>
    <row r="1" spans="4:21" s="3" customFormat="1" x14ac:dyDescent="0.2">
      <c r="E1" s="13" t="s">
        <v>1046</v>
      </c>
      <c r="F1" s="13" t="s">
        <v>1042</v>
      </c>
      <c r="G1" s="13" t="s">
        <v>1047</v>
      </c>
      <c r="H1" s="13" t="s">
        <v>1041</v>
      </c>
      <c r="I1" s="58" t="s">
        <v>1040</v>
      </c>
      <c r="J1" s="58"/>
      <c r="K1" s="58"/>
      <c r="L1" s="3" t="s">
        <v>1041</v>
      </c>
      <c r="M1" s="3" t="s">
        <v>1042</v>
      </c>
      <c r="N1" s="3" t="s">
        <v>1043</v>
      </c>
      <c r="O1" s="3" t="s">
        <v>1044</v>
      </c>
      <c r="P1" s="3" t="s">
        <v>1044</v>
      </c>
      <c r="Q1" s="3" t="s">
        <v>1045</v>
      </c>
      <c r="R1" s="56" t="s">
        <v>1040</v>
      </c>
      <c r="S1" s="56"/>
      <c r="T1" s="56"/>
      <c r="U1" s="56"/>
    </row>
    <row r="2" spans="4:21" s="3" customFormat="1" x14ac:dyDescent="0.2">
      <c r="E2" s="57" t="s">
        <v>1054</v>
      </c>
      <c r="F2" s="57"/>
      <c r="G2" s="57"/>
      <c r="H2" s="13" t="s">
        <v>1053</v>
      </c>
      <c r="I2" s="57" t="s">
        <v>118</v>
      </c>
      <c r="J2" s="57"/>
      <c r="K2" s="57"/>
      <c r="L2" s="49" t="s">
        <v>1055</v>
      </c>
      <c r="N2" s="51" t="s">
        <v>1056</v>
      </c>
      <c r="O2" s="59" t="s">
        <v>1057</v>
      </c>
      <c r="P2" s="59"/>
      <c r="Q2" s="59"/>
      <c r="R2" s="59" t="s">
        <v>1032</v>
      </c>
      <c r="S2" s="59"/>
      <c r="T2" s="59"/>
      <c r="U2" s="59"/>
    </row>
    <row r="3" spans="4:21" ht="38.25" x14ac:dyDescent="0.2">
      <c r="D3" s="5"/>
      <c r="E3" s="29" t="s">
        <v>111</v>
      </c>
      <c r="F3" s="34" t="s">
        <v>98</v>
      </c>
      <c r="G3" s="29" t="s">
        <v>112</v>
      </c>
      <c r="H3" s="34" t="s">
        <v>1036</v>
      </c>
      <c r="I3" s="29" t="s">
        <v>1035</v>
      </c>
      <c r="J3" s="34" t="s">
        <v>1038</v>
      </c>
      <c r="K3" s="29" t="s">
        <v>1039</v>
      </c>
      <c r="L3" s="34" t="s">
        <v>1037</v>
      </c>
      <c r="M3" s="29" t="s">
        <v>1019</v>
      </c>
      <c r="N3" s="34" t="s">
        <v>113</v>
      </c>
      <c r="O3" s="34" t="s">
        <v>1062</v>
      </c>
      <c r="P3" s="29" t="s">
        <v>1020</v>
      </c>
      <c r="Q3" s="34" t="s">
        <v>1021</v>
      </c>
      <c r="R3" s="29" t="s">
        <v>1026</v>
      </c>
      <c r="S3" s="34" t="s">
        <v>1027</v>
      </c>
      <c r="T3" s="29" t="s">
        <v>1048</v>
      </c>
      <c r="U3" s="34" t="s">
        <v>1049</v>
      </c>
    </row>
    <row r="4" spans="4:21" x14ac:dyDescent="0.2">
      <c r="D4" s="14" t="s">
        <v>121</v>
      </c>
      <c r="E4" s="1">
        <f>'All Sample IDs'!I1</f>
        <v>1574</v>
      </c>
      <c r="F4" s="1">
        <f>'All Sample IDs'!J1</f>
        <v>383</v>
      </c>
      <c r="G4" s="1">
        <f>'All Sample IDs'!M1</f>
        <v>84</v>
      </c>
      <c r="H4" s="1">
        <f>'All Sample IDs'!Q1</f>
        <v>248</v>
      </c>
      <c r="I4" s="1">
        <f>'All Sample IDs'!R1</f>
        <v>9</v>
      </c>
      <c r="J4" s="1"/>
      <c r="K4" s="1">
        <f>I4+J4</f>
        <v>9</v>
      </c>
      <c r="L4" s="1">
        <f>'All Sample IDs'!T1</f>
        <v>212</v>
      </c>
      <c r="M4" s="1">
        <f>SUM('All Sample IDs'!I1:J1)</f>
        <v>1957</v>
      </c>
      <c r="N4" s="1">
        <f>'All Sample IDs'!D1</f>
        <v>467</v>
      </c>
      <c r="O4" s="1">
        <f>'All Sample IDs'!G2</f>
        <v>467</v>
      </c>
      <c r="P4" s="1">
        <f>'All Sample IDs'!G3</f>
        <v>467</v>
      </c>
      <c r="Q4" s="1">
        <f>'All Sample IDs'!G1</f>
        <v>934</v>
      </c>
      <c r="R4" s="1">
        <f>'All Sample IDs'!V1</f>
        <v>5</v>
      </c>
      <c r="S4" s="1">
        <f>'All Sample IDs'!W1</f>
        <v>5</v>
      </c>
      <c r="T4" s="41">
        <f t="shared" ref="T4" si="0">R4</f>
        <v>5</v>
      </c>
      <c r="U4" s="41">
        <f t="shared" ref="U4" si="1">S4</f>
        <v>5</v>
      </c>
    </row>
    <row r="5" spans="4:21" x14ac:dyDescent="0.2">
      <c r="D5" s="19">
        <v>0.05</v>
      </c>
      <c r="E5" s="2">
        <f t="shared" ref="E5:U5" si="2">ROUNDUP(E4*0.05,0)</f>
        <v>79</v>
      </c>
      <c r="F5" s="2">
        <f t="shared" si="2"/>
        <v>20</v>
      </c>
      <c r="G5" s="2">
        <f t="shared" si="2"/>
        <v>5</v>
      </c>
      <c r="H5" s="2">
        <f t="shared" si="2"/>
        <v>13</v>
      </c>
      <c r="I5" s="2">
        <f t="shared" si="2"/>
        <v>1</v>
      </c>
      <c r="J5" s="2">
        <f t="shared" si="2"/>
        <v>0</v>
      </c>
      <c r="K5" s="2">
        <f t="shared" si="2"/>
        <v>1</v>
      </c>
      <c r="L5" s="2">
        <f t="shared" si="2"/>
        <v>11</v>
      </c>
      <c r="M5" s="2">
        <f t="shared" si="2"/>
        <v>98</v>
      </c>
      <c r="N5" s="2">
        <f t="shared" si="2"/>
        <v>24</v>
      </c>
      <c r="O5" s="2">
        <f t="shared" si="2"/>
        <v>24</v>
      </c>
      <c r="P5" s="2">
        <f t="shared" si="2"/>
        <v>24</v>
      </c>
      <c r="Q5" s="2">
        <f t="shared" si="2"/>
        <v>47</v>
      </c>
      <c r="R5" s="2">
        <f t="shared" si="2"/>
        <v>1</v>
      </c>
      <c r="S5" s="2">
        <f t="shared" si="2"/>
        <v>1</v>
      </c>
      <c r="T5" s="2">
        <f t="shared" si="2"/>
        <v>1</v>
      </c>
      <c r="U5" s="2">
        <f t="shared" si="2"/>
        <v>1</v>
      </c>
    </row>
    <row r="6" spans="4:21" ht="38.25" x14ac:dyDescent="0.2">
      <c r="D6" s="26" t="s">
        <v>1017</v>
      </c>
      <c r="E6" s="35">
        <f t="shared" ref="E6:U6" si="3">E5+E4</f>
        <v>1653</v>
      </c>
      <c r="F6" s="35">
        <f t="shared" si="3"/>
        <v>403</v>
      </c>
      <c r="G6" s="35">
        <f t="shared" si="3"/>
        <v>89</v>
      </c>
      <c r="H6" s="35">
        <f t="shared" si="3"/>
        <v>261</v>
      </c>
      <c r="I6" s="35">
        <f t="shared" si="3"/>
        <v>10</v>
      </c>
      <c r="J6" s="35">
        <f t="shared" si="3"/>
        <v>0</v>
      </c>
      <c r="K6" s="35">
        <f t="shared" si="3"/>
        <v>10</v>
      </c>
      <c r="L6" s="35">
        <f t="shared" si="3"/>
        <v>223</v>
      </c>
      <c r="M6" s="35">
        <f t="shared" si="3"/>
        <v>2055</v>
      </c>
      <c r="N6" s="35">
        <f t="shared" si="3"/>
        <v>491</v>
      </c>
      <c r="O6" s="35">
        <f t="shared" si="3"/>
        <v>491</v>
      </c>
      <c r="P6" s="35">
        <f t="shared" si="3"/>
        <v>491</v>
      </c>
      <c r="Q6" s="35">
        <f t="shared" si="3"/>
        <v>981</v>
      </c>
      <c r="R6" s="35">
        <f t="shared" si="3"/>
        <v>6</v>
      </c>
      <c r="S6" s="35">
        <f t="shared" si="3"/>
        <v>6</v>
      </c>
      <c r="T6" s="35">
        <f t="shared" si="3"/>
        <v>6</v>
      </c>
      <c r="U6" s="35">
        <f t="shared" si="3"/>
        <v>6</v>
      </c>
    </row>
  </sheetData>
  <mergeCells count="6">
    <mergeCell ref="E2:G2"/>
    <mergeCell ref="I1:K1"/>
    <mergeCell ref="R1:U1"/>
    <mergeCell ref="R2:U2"/>
    <mergeCell ref="O2:Q2"/>
    <mergeCell ref="I2:K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9"/>
  <dimension ref="A1:G172"/>
  <sheetViews>
    <sheetView workbookViewId="0">
      <pane ySplit="1" topLeftCell="A2" activePane="bottomLeft" state="frozen"/>
      <selection pane="bottomLeft" activeCell="G28" sqref="G28"/>
    </sheetView>
  </sheetViews>
  <sheetFormatPr defaultRowHeight="12.75" x14ac:dyDescent="0.2"/>
  <cols>
    <col min="1" max="2" width="11" bestFit="1" customWidth="1"/>
    <col min="3" max="3" width="11.5703125" customWidth="1"/>
  </cols>
  <sheetData>
    <row r="1" spans="1:7" ht="25.5" x14ac:dyDescent="0.2">
      <c r="A1" s="11" t="s">
        <v>197</v>
      </c>
      <c r="B1" s="11" t="s">
        <v>95</v>
      </c>
      <c r="C1" s="11" t="s">
        <v>100</v>
      </c>
      <c r="D1" s="11" t="s">
        <v>198</v>
      </c>
      <c r="E1" s="11" t="s">
        <v>101</v>
      </c>
      <c r="F1" s="11" t="s">
        <v>114</v>
      </c>
      <c r="G1" s="11" t="s">
        <v>115</v>
      </c>
    </row>
    <row r="2" spans="1:7" x14ac:dyDescent="0.2">
      <c r="A2" s="2" t="s">
        <v>0</v>
      </c>
      <c r="B2" s="2" t="s">
        <v>196</v>
      </c>
      <c r="C2" s="2" t="s">
        <v>1466</v>
      </c>
      <c r="D2" s="2" t="s">
        <v>118</v>
      </c>
      <c r="E2" s="2" t="s">
        <v>3</v>
      </c>
      <c r="F2" t="s">
        <v>1467</v>
      </c>
      <c r="G2" t="s">
        <v>1281</v>
      </c>
    </row>
    <row r="3" spans="1:7" x14ac:dyDescent="0.2">
      <c r="A3" s="2" t="s">
        <v>0</v>
      </c>
      <c r="B3" s="2" t="s">
        <v>196</v>
      </c>
      <c r="C3" s="2" t="s">
        <v>1468</v>
      </c>
      <c r="D3" s="2" t="s">
        <v>118</v>
      </c>
      <c r="E3" s="2" t="s">
        <v>19</v>
      </c>
      <c r="F3" t="s">
        <v>1467</v>
      </c>
      <c r="G3" t="s">
        <v>1281</v>
      </c>
    </row>
    <row r="4" spans="1:7" x14ac:dyDescent="0.2">
      <c r="A4" s="2" t="s">
        <v>0</v>
      </c>
      <c r="B4" s="2" t="s">
        <v>196</v>
      </c>
      <c r="C4" s="2" t="s">
        <v>1469</v>
      </c>
      <c r="D4" s="2" t="s">
        <v>118</v>
      </c>
      <c r="E4" s="2" t="s">
        <v>20</v>
      </c>
      <c r="F4" t="s">
        <v>1467</v>
      </c>
      <c r="G4" t="s">
        <v>1281</v>
      </c>
    </row>
    <row r="5" spans="1:7" x14ac:dyDescent="0.2">
      <c r="A5" s="2" t="s">
        <v>61</v>
      </c>
      <c r="B5" s="2" t="s">
        <v>65</v>
      </c>
      <c r="C5" s="2" t="s">
        <v>1072</v>
      </c>
      <c r="D5" s="2" t="s">
        <v>118</v>
      </c>
      <c r="E5" s="2" t="s">
        <v>3</v>
      </c>
      <c r="F5" t="s">
        <v>1640</v>
      </c>
      <c r="G5" t="s">
        <v>1474</v>
      </c>
    </row>
    <row r="6" spans="1:7" x14ac:dyDescent="0.2">
      <c r="A6" s="2" t="s">
        <v>61</v>
      </c>
      <c r="B6" s="2" t="s">
        <v>65</v>
      </c>
      <c r="C6" s="2" t="s">
        <v>1648</v>
      </c>
      <c r="D6" s="2" t="s">
        <v>118</v>
      </c>
      <c r="E6" s="2" t="s">
        <v>19</v>
      </c>
      <c r="F6" t="s">
        <v>1640</v>
      </c>
      <c r="G6" t="s">
        <v>1474</v>
      </c>
    </row>
    <row r="7" spans="1:7" x14ac:dyDescent="0.2">
      <c r="A7" s="2" t="s">
        <v>61</v>
      </c>
      <c r="B7" s="2" t="s">
        <v>65</v>
      </c>
      <c r="C7" s="2" t="s">
        <v>1649</v>
      </c>
      <c r="D7" s="2" t="s">
        <v>118</v>
      </c>
      <c r="E7" s="2" t="s">
        <v>20</v>
      </c>
      <c r="F7" t="s">
        <v>1640</v>
      </c>
      <c r="G7" t="s">
        <v>1474</v>
      </c>
    </row>
    <row r="8" spans="1:7" x14ac:dyDescent="0.2">
      <c r="A8" s="2" t="s">
        <v>61</v>
      </c>
      <c r="B8" s="2" t="s">
        <v>66</v>
      </c>
      <c r="C8" s="2" t="s">
        <v>1071</v>
      </c>
      <c r="D8" s="2" t="s">
        <v>118</v>
      </c>
      <c r="E8" s="2" t="s">
        <v>3</v>
      </c>
      <c r="F8" t="s">
        <v>1653</v>
      </c>
      <c r="G8" t="s">
        <v>1474</v>
      </c>
    </row>
    <row r="9" spans="1:7" x14ac:dyDescent="0.2">
      <c r="A9" s="2" t="s">
        <v>61</v>
      </c>
      <c r="B9" s="2" t="s">
        <v>66</v>
      </c>
      <c r="C9" s="2" t="s">
        <v>1659</v>
      </c>
      <c r="D9" s="2" t="s">
        <v>118</v>
      </c>
      <c r="E9" s="2" t="s">
        <v>19</v>
      </c>
      <c r="F9" t="s">
        <v>1653</v>
      </c>
      <c r="G9" t="s">
        <v>1474</v>
      </c>
    </row>
    <row r="10" spans="1:7" x14ac:dyDescent="0.2">
      <c r="A10" s="2" t="s">
        <v>61</v>
      </c>
      <c r="B10" s="2" t="s">
        <v>66</v>
      </c>
      <c r="C10" s="2" t="s">
        <v>1660</v>
      </c>
      <c r="D10" s="2" t="s">
        <v>118</v>
      </c>
      <c r="E10" s="2" t="s">
        <v>20</v>
      </c>
      <c r="F10" t="s">
        <v>1653</v>
      </c>
      <c r="G10" t="s">
        <v>1474</v>
      </c>
    </row>
    <row r="11" spans="1:7" x14ac:dyDescent="0.2">
      <c r="A11" s="2"/>
      <c r="B11" s="2"/>
      <c r="C11" s="2"/>
      <c r="D11" s="2"/>
      <c r="E11" s="2"/>
    </row>
    <row r="12" spans="1:7" x14ac:dyDescent="0.2">
      <c r="A12" s="2"/>
      <c r="B12" s="2"/>
      <c r="C12" s="2"/>
      <c r="D12" s="2"/>
      <c r="E12" s="2"/>
    </row>
    <row r="13" spans="1:7" x14ac:dyDescent="0.2">
      <c r="A13" s="2"/>
      <c r="B13" s="2"/>
      <c r="C13" s="2"/>
      <c r="D13" s="2"/>
      <c r="E13" s="2"/>
    </row>
    <row r="14" spans="1:7" x14ac:dyDescent="0.2">
      <c r="A14" s="2"/>
      <c r="B14" s="2"/>
      <c r="C14" s="2"/>
      <c r="D14" s="2"/>
      <c r="E14" s="2"/>
    </row>
    <row r="15" spans="1:7" x14ac:dyDescent="0.2">
      <c r="A15" s="2"/>
      <c r="B15" s="2"/>
      <c r="C15" s="2"/>
      <c r="D15" s="2"/>
      <c r="E15" s="2"/>
    </row>
    <row r="16" spans="1:7" x14ac:dyDescent="0.2">
      <c r="A16" s="2"/>
      <c r="B16" s="2"/>
      <c r="C16" s="2"/>
      <c r="D16" s="2"/>
      <c r="E16" s="2"/>
    </row>
    <row r="17" spans="1:5" x14ac:dyDescent="0.2">
      <c r="A17" s="2"/>
      <c r="B17" s="2"/>
      <c r="C17" s="2"/>
      <c r="D17" s="2"/>
      <c r="E17" s="2"/>
    </row>
    <row r="18" spans="1:5" x14ac:dyDescent="0.2">
      <c r="A18" s="2"/>
      <c r="B18" s="2"/>
      <c r="C18" s="2"/>
      <c r="D18" s="2"/>
      <c r="E18" s="2"/>
    </row>
    <row r="19" spans="1:5" x14ac:dyDescent="0.2">
      <c r="A19" s="2"/>
      <c r="B19" s="2"/>
      <c r="C19" s="2"/>
      <c r="D19" s="2"/>
      <c r="E19" s="2"/>
    </row>
    <row r="20" spans="1:5" x14ac:dyDescent="0.2">
      <c r="A20" s="2"/>
      <c r="B20" s="2"/>
      <c r="C20" s="2"/>
      <c r="D20" s="2"/>
      <c r="E20" s="2"/>
    </row>
    <row r="21" spans="1:5" x14ac:dyDescent="0.2">
      <c r="A21" s="2"/>
      <c r="B21" s="2"/>
      <c r="C21" s="2"/>
      <c r="D21" s="2"/>
      <c r="E21" s="2"/>
    </row>
    <row r="22" spans="1:5" x14ac:dyDescent="0.2">
      <c r="A22" s="2"/>
      <c r="B22" s="2"/>
      <c r="C22" s="2"/>
      <c r="D22" s="2"/>
      <c r="E22" s="2"/>
    </row>
    <row r="23" spans="1:5" x14ac:dyDescent="0.2">
      <c r="A23" s="2"/>
      <c r="B23" s="2"/>
      <c r="C23" s="2"/>
      <c r="D23" s="2"/>
      <c r="E23" s="2"/>
    </row>
    <row r="24" spans="1:5" x14ac:dyDescent="0.2">
      <c r="A24" s="2"/>
      <c r="B24" s="2"/>
      <c r="C24" s="2"/>
      <c r="D24" s="2"/>
      <c r="E24" s="2"/>
    </row>
    <row r="25" spans="1:5" x14ac:dyDescent="0.2">
      <c r="A25" s="2"/>
      <c r="B25" s="2"/>
      <c r="C25" s="2"/>
      <c r="D25" s="2"/>
      <c r="E25" s="2"/>
    </row>
    <row r="26" spans="1:5" x14ac:dyDescent="0.2">
      <c r="A26" s="2"/>
      <c r="B26" s="2"/>
      <c r="C26" s="2"/>
      <c r="D26" s="2"/>
      <c r="E26" s="2"/>
    </row>
    <row r="27" spans="1:5" x14ac:dyDescent="0.2">
      <c r="A27" s="2"/>
      <c r="B27" s="2"/>
      <c r="C27" s="2"/>
      <c r="D27" s="2"/>
      <c r="E27" s="2"/>
    </row>
    <row r="28" spans="1:5" x14ac:dyDescent="0.2">
      <c r="A28" s="2"/>
      <c r="B28" s="2"/>
      <c r="C28" s="2"/>
      <c r="D28" s="2"/>
      <c r="E28" s="2"/>
    </row>
    <row r="29" spans="1:5" x14ac:dyDescent="0.2">
      <c r="A29" s="2"/>
      <c r="B29" s="2"/>
      <c r="C29" s="2"/>
      <c r="D29" s="2"/>
      <c r="E29" s="2"/>
    </row>
    <row r="30" spans="1:5" x14ac:dyDescent="0.2">
      <c r="A30" s="2"/>
      <c r="B30" s="2"/>
      <c r="C30" s="2"/>
      <c r="D30" s="2"/>
      <c r="E30" s="2"/>
    </row>
    <row r="31" spans="1:5" x14ac:dyDescent="0.2">
      <c r="A31" s="2"/>
      <c r="B31" s="2"/>
      <c r="C31" s="2"/>
      <c r="D31" s="2"/>
      <c r="E31" s="2"/>
    </row>
    <row r="32" spans="1:5" x14ac:dyDescent="0.2">
      <c r="A32" s="2"/>
      <c r="B32" s="2"/>
      <c r="C32" s="2"/>
      <c r="D32" s="2"/>
      <c r="E32" s="2"/>
    </row>
    <row r="33" spans="1:5" x14ac:dyDescent="0.2">
      <c r="A33" s="2"/>
      <c r="B33" s="2"/>
      <c r="C33" s="2"/>
      <c r="D33" s="2"/>
      <c r="E33" s="2"/>
    </row>
    <row r="34" spans="1:5" x14ac:dyDescent="0.2">
      <c r="A34" s="2"/>
      <c r="B34" s="2"/>
      <c r="C34" s="2"/>
      <c r="D34" s="2"/>
      <c r="E34" s="2"/>
    </row>
    <row r="35" spans="1:5" x14ac:dyDescent="0.2">
      <c r="A35" s="2"/>
      <c r="B35" s="2"/>
      <c r="C35" s="2"/>
      <c r="D35" s="2"/>
      <c r="E35" s="2"/>
    </row>
    <row r="36" spans="1:5" x14ac:dyDescent="0.2">
      <c r="A36" s="2"/>
      <c r="B36" s="2"/>
      <c r="C36" s="2"/>
      <c r="D36" s="2"/>
      <c r="E36" s="2"/>
    </row>
    <row r="37" spans="1:5" x14ac:dyDescent="0.2">
      <c r="A37" s="2"/>
      <c r="B37" s="2"/>
      <c r="C37" s="2"/>
      <c r="D37" s="2"/>
      <c r="E37" s="2"/>
    </row>
    <row r="38" spans="1:5" x14ac:dyDescent="0.2">
      <c r="A38" s="2"/>
      <c r="B38" s="2"/>
      <c r="C38" s="2"/>
      <c r="D38" s="2"/>
      <c r="E38" s="2"/>
    </row>
    <row r="39" spans="1:5" x14ac:dyDescent="0.2">
      <c r="A39" s="2"/>
      <c r="B39" s="2"/>
      <c r="C39" s="2"/>
      <c r="D39" s="2"/>
      <c r="E39" s="2"/>
    </row>
    <row r="40" spans="1:5" x14ac:dyDescent="0.2">
      <c r="A40" s="2"/>
      <c r="B40" s="2"/>
      <c r="C40" s="2"/>
      <c r="D40" s="2"/>
      <c r="E40" s="2"/>
    </row>
    <row r="41" spans="1:5" x14ac:dyDescent="0.2">
      <c r="A41" s="2"/>
      <c r="B41" s="2"/>
      <c r="C41" s="2"/>
      <c r="D41" s="2"/>
      <c r="E41" s="2"/>
    </row>
    <row r="42" spans="1:5" x14ac:dyDescent="0.2">
      <c r="A42" s="2"/>
      <c r="B42" s="2"/>
      <c r="C42" s="2"/>
      <c r="D42" s="2"/>
      <c r="E42" s="2"/>
    </row>
    <row r="43" spans="1:5" x14ac:dyDescent="0.2">
      <c r="A43" s="2"/>
      <c r="B43" s="2"/>
      <c r="C43" s="2"/>
      <c r="D43" s="2"/>
      <c r="E43" s="2"/>
    </row>
    <row r="44" spans="1:5" x14ac:dyDescent="0.2">
      <c r="A44" s="2"/>
      <c r="B44" s="2"/>
      <c r="C44" s="2"/>
      <c r="D44" s="2"/>
      <c r="E44" s="2"/>
    </row>
    <row r="45" spans="1:5" x14ac:dyDescent="0.2">
      <c r="A45" s="2"/>
      <c r="B45" s="2"/>
      <c r="C45" s="2"/>
      <c r="D45" s="2"/>
      <c r="E45" s="2"/>
    </row>
    <row r="46" spans="1:5" x14ac:dyDescent="0.2">
      <c r="A46" s="2"/>
      <c r="B46" s="2"/>
      <c r="C46" s="2"/>
      <c r="D46" s="2"/>
      <c r="E46" s="2"/>
    </row>
    <row r="47" spans="1:5" x14ac:dyDescent="0.2">
      <c r="A47" s="2"/>
      <c r="B47" s="2"/>
      <c r="C47" s="2"/>
      <c r="D47" s="2"/>
      <c r="E47" s="2"/>
    </row>
    <row r="48" spans="1:5" x14ac:dyDescent="0.2">
      <c r="A48" s="2"/>
      <c r="B48" s="2"/>
      <c r="C48" s="2"/>
      <c r="D48" s="2"/>
      <c r="E48" s="2"/>
    </row>
    <row r="49" spans="1:5" x14ac:dyDescent="0.2">
      <c r="A49" s="2"/>
      <c r="B49" s="2"/>
      <c r="C49" s="2"/>
      <c r="D49" s="2"/>
      <c r="E49" s="2"/>
    </row>
    <row r="50" spans="1:5" x14ac:dyDescent="0.2">
      <c r="A50" s="2"/>
      <c r="B50" s="2"/>
      <c r="C50" s="2"/>
      <c r="D50" s="2"/>
      <c r="E50" s="2"/>
    </row>
    <row r="51" spans="1:5" x14ac:dyDescent="0.2">
      <c r="A51" s="2"/>
      <c r="B51" s="2"/>
      <c r="C51" s="2"/>
      <c r="D51" s="2"/>
      <c r="E51" s="2"/>
    </row>
    <row r="52" spans="1:5" x14ac:dyDescent="0.2">
      <c r="A52" s="2"/>
      <c r="B52" s="2"/>
      <c r="C52" s="2"/>
      <c r="D52" s="2"/>
      <c r="E52" s="2"/>
    </row>
    <row r="53" spans="1:5" x14ac:dyDescent="0.2">
      <c r="A53" s="2"/>
      <c r="B53" s="2"/>
      <c r="C53" s="2"/>
      <c r="D53" s="2"/>
      <c r="E53" s="2"/>
    </row>
    <row r="54" spans="1:5" x14ac:dyDescent="0.2">
      <c r="A54" s="2"/>
      <c r="B54" s="2"/>
      <c r="C54" s="2"/>
      <c r="D54" s="2"/>
      <c r="E54" s="2"/>
    </row>
    <row r="55" spans="1:5" x14ac:dyDescent="0.2">
      <c r="A55" s="2"/>
      <c r="B55" s="2"/>
      <c r="C55" s="2"/>
      <c r="D55" s="2"/>
      <c r="E55" s="2"/>
    </row>
    <row r="56" spans="1:5" x14ac:dyDescent="0.2">
      <c r="A56" s="2"/>
      <c r="B56" s="2"/>
      <c r="C56" s="2"/>
      <c r="D56" s="2"/>
      <c r="E56" s="2"/>
    </row>
    <row r="57" spans="1:5" x14ac:dyDescent="0.2">
      <c r="A57" s="2"/>
      <c r="B57" s="2"/>
      <c r="C57" s="2"/>
      <c r="D57" s="2"/>
      <c r="E57" s="2"/>
    </row>
    <row r="58" spans="1:5" x14ac:dyDescent="0.2">
      <c r="A58" s="2"/>
      <c r="B58" s="2"/>
      <c r="C58" s="2"/>
      <c r="D58" s="2"/>
      <c r="E58" s="2"/>
    </row>
    <row r="59" spans="1:5" x14ac:dyDescent="0.2">
      <c r="A59" s="2"/>
      <c r="B59" s="2"/>
      <c r="C59" s="2"/>
      <c r="D59" s="2"/>
      <c r="E59" s="2"/>
    </row>
    <row r="60" spans="1:5" x14ac:dyDescent="0.2">
      <c r="A60" s="2"/>
      <c r="B60" s="2"/>
      <c r="C60" s="2"/>
      <c r="D60" s="2"/>
      <c r="E60" s="2"/>
    </row>
    <row r="61" spans="1:5" x14ac:dyDescent="0.2">
      <c r="A61" s="2"/>
      <c r="B61" s="2"/>
      <c r="C61" s="2"/>
      <c r="D61" s="2"/>
      <c r="E61" s="2"/>
    </row>
    <row r="62" spans="1:5" x14ac:dyDescent="0.2">
      <c r="A62" s="2"/>
      <c r="B62" s="2"/>
      <c r="C62" s="2"/>
      <c r="D62" s="2"/>
      <c r="E62" s="2"/>
    </row>
    <row r="63" spans="1:5" x14ac:dyDescent="0.2">
      <c r="A63" s="2"/>
      <c r="B63" s="2"/>
      <c r="C63" s="2"/>
      <c r="D63" s="2"/>
      <c r="E63" s="2"/>
    </row>
    <row r="64" spans="1:5" x14ac:dyDescent="0.2">
      <c r="A64" s="2"/>
      <c r="B64" s="2"/>
      <c r="C64" s="2"/>
      <c r="D64" s="2"/>
      <c r="E64" s="2"/>
    </row>
    <row r="65" spans="1:5" x14ac:dyDescent="0.2">
      <c r="A65" s="2"/>
      <c r="B65" s="2"/>
      <c r="C65" s="2"/>
      <c r="D65" s="2"/>
      <c r="E65" s="2"/>
    </row>
    <row r="66" spans="1:5" x14ac:dyDescent="0.2">
      <c r="A66" s="2"/>
      <c r="B66" s="2"/>
      <c r="C66" s="2"/>
      <c r="D66" s="2"/>
      <c r="E66" s="2"/>
    </row>
    <row r="67" spans="1:5" x14ac:dyDescent="0.2">
      <c r="A67" s="2"/>
      <c r="B67" s="2"/>
      <c r="C67" s="2"/>
      <c r="D67" s="2"/>
      <c r="E67" s="2"/>
    </row>
    <row r="68" spans="1:5" x14ac:dyDescent="0.2">
      <c r="A68" s="2"/>
      <c r="B68" s="2"/>
      <c r="C68" s="2"/>
      <c r="D68" s="2"/>
      <c r="E68" s="2"/>
    </row>
    <row r="69" spans="1:5" x14ac:dyDescent="0.2">
      <c r="A69" s="2"/>
      <c r="B69" s="2"/>
      <c r="C69" s="2"/>
      <c r="D69" s="2"/>
      <c r="E69" s="2"/>
    </row>
    <row r="70" spans="1:5" x14ac:dyDescent="0.2">
      <c r="A70" s="2"/>
      <c r="B70" s="2"/>
      <c r="C70" s="2"/>
      <c r="D70" s="2"/>
      <c r="E70" s="2"/>
    </row>
    <row r="71" spans="1:5" x14ac:dyDescent="0.2">
      <c r="A71" s="2"/>
      <c r="B71" s="2"/>
      <c r="C71" s="2"/>
      <c r="D71" s="2"/>
      <c r="E71" s="2"/>
    </row>
    <row r="72" spans="1:5" x14ac:dyDescent="0.2">
      <c r="A72" s="2"/>
      <c r="B72" s="2"/>
      <c r="C72" s="2"/>
      <c r="D72" s="2"/>
      <c r="E72" s="2"/>
    </row>
    <row r="73" spans="1:5" x14ac:dyDescent="0.2">
      <c r="A73" s="2"/>
      <c r="B73" s="2"/>
      <c r="C73" s="2"/>
      <c r="D73" s="2"/>
      <c r="E73" s="2"/>
    </row>
    <row r="74" spans="1:5" x14ac:dyDescent="0.2">
      <c r="A74" s="2"/>
      <c r="B74" s="2"/>
      <c r="C74" s="2"/>
      <c r="D74" s="2"/>
      <c r="E74" s="2"/>
    </row>
    <row r="75" spans="1:5" x14ac:dyDescent="0.2">
      <c r="A75" s="2"/>
      <c r="B75" s="2"/>
      <c r="C75" s="2"/>
      <c r="D75" s="2"/>
      <c r="E75" s="2"/>
    </row>
    <row r="76" spans="1:5" x14ac:dyDescent="0.2">
      <c r="A76" s="2"/>
      <c r="B76" s="2"/>
      <c r="C76" s="2"/>
      <c r="D76" s="2"/>
      <c r="E76" s="2"/>
    </row>
    <row r="77" spans="1:5" x14ac:dyDescent="0.2">
      <c r="A77" s="2"/>
      <c r="B77" s="2"/>
      <c r="C77" s="2"/>
      <c r="D77" s="2"/>
      <c r="E77" s="2"/>
    </row>
    <row r="78" spans="1:5" x14ac:dyDescent="0.2">
      <c r="A78" s="2"/>
      <c r="B78" s="2"/>
      <c r="C78" s="2"/>
      <c r="D78" s="2"/>
      <c r="E78" s="2"/>
    </row>
    <row r="79" spans="1:5" x14ac:dyDescent="0.2">
      <c r="A79" s="2"/>
      <c r="B79" s="2"/>
      <c r="C79" s="2"/>
      <c r="D79" s="2"/>
      <c r="E79" s="2"/>
    </row>
    <row r="80" spans="1:5" x14ac:dyDescent="0.2">
      <c r="A80" s="2"/>
      <c r="B80" s="2"/>
      <c r="C80" s="2"/>
      <c r="D80" s="2"/>
      <c r="E80" s="2"/>
    </row>
    <row r="81" spans="1:5" x14ac:dyDescent="0.2">
      <c r="A81" s="2"/>
      <c r="B81" s="2"/>
      <c r="C81" s="2"/>
      <c r="D81" s="2"/>
      <c r="E81" s="2"/>
    </row>
    <row r="82" spans="1:5" x14ac:dyDescent="0.2">
      <c r="A82" s="2"/>
      <c r="B82" s="2"/>
      <c r="C82" s="2"/>
      <c r="D82" s="2"/>
      <c r="E82" s="2"/>
    </row>
    <row r="83" spans="1:5" x14ac:dyDescent="0.2">
      <c r="A83" s="2"/>
      <c r="B83" s="2"/>
      <c r="C83" s="2"/>
      <c r="D83" s="2"/>
      <c r="E83" s="2"/>
    </row>
    <row r="84" spans="1:5" x14ac:dyDescent="0.2">
      <c r="A84" s="2"/>
      <c r="B84" s="2"/>
      <c r="C84" s="2"/>
      <c r="D84" s="2"/>
      <c r="E84" s="2"/>
    </row>
    <row r="85" spans="1:5" x14ac:dyDescent="0.2">
      <c r="A85" s="2"/>
      <c r="B85" s="2"/>
      <c r="C85" s="2"/>
      <c r="D85" s="2"/>
      <c r="E85" s="2"/>
    </row>
    <row r="86" spans="1:5" x14ac:dyDescent="0.2">
      <c r="A86" s="2"/>
      <c r="B86" s="2"/>
      <c r="C86" s="2"/>
      <c r="D86" s="2"/>
      <c r="E86" s="2"/>
    </row>
    <row r="87" spans="1:5" x14ac:dyDescent="0.2">
      <c r="A87" s="2"/>
      <c r="B87" s="2"/>
      <c r="C87" s="2"/>
      <c r="D87" s="2"/>
      <c r="E87" s="2"/>
    </row>
    <row r="88" spans="1:5" x14ac:dyDescent="0.2">
      <c r="A88" s="2"/>
      <c r="B88" s="2"/>
      <c r="C88" s="2"/>
      <c r="D88" s="2"/>
      <c r="E88" s="2"/>
    </row>
    <row r="89" spans="1:5" x14ac:dyDescent="0.2">
      <c r="A89" s="2"/>
      <c r="B89" s="2"/>
      <c r="C89" s="2"/>
      <c r="D89" s="2"/>
      <c r="E89" s="2"/>
    </row>
    <row r="90" spans="1:5" x14ac:dyDescent="0.2">
      <c r="A90" s="2"/>
      <c r="B90" s="2"/>
      <c r="C90" s="2"/>
      <c r="D90" s="2"/>
      <c r="E90" s="2"/>
    </row>
    <row r="91" spans="1:5" x14ac:dyDescent="0.2">
      <c r="A91" s="2"/>
      <c r="B91" s="2"/>
      <c r="C91" s="2"/>
      <c r="D91" s="2"/>
      <c r="E91" s="2"/>
    </row>
    <row r="92" spans="1:5" x14ac:dyDescent="0.2">
      <c r="A92" s="2"/>
      <c r="B92" s="2"/>
      <c r="C92" s="2"/>
      <c r="D92" s="2"/>
      <c r="E92" s="2"/>
    </row>
    <row r="93" spans="1:5" x14ac:dyDescent="0.2">
      <c r="A93" s="2"/>
      <c r="B93" s="2"/>
      <c r="C93" s="2"/>
      <c r="D93" s="2"/>
      <c r="E93" s="2"/>
    </row>
    <row r="94" spans="1:5" x14ac:dyDescent="0.2">
      <c r="A94" s="2"/>
      <c r="B94" s="2"/>
      <c r="C94" s="2"/>
      <c r="D94" s="2"/>
      <c r="E94" s="2"/>
    </row>
    <row r="95" spans="1:5" x14ac:dyDescent="0.2">
      <c r="A95" s="2"/>
      <c r="B95" s="2"/>
      <c r="C95" s="2"/>
      <c r="D95" s="2"/>
      <c r="E95" s="2"/>
    </row>
    <row r="96" spans="1:5" x14ac:dyDescent="0.2">
      <c r="A96" s="2"/>
      <c r="B96" s="2"/>
      <c r="C96" s="2"/>
      <c r="D96" s="2"/>
      <c r="E96" s="2"/>
    </row>
    <row r="97" spans="1:5" x14ac:dyDescent="0.2">
      <c r="A97" s="2"/>
      <c r="B97" s="2"/>
      <c r="C97" s="2"/>
      <c r="D97" s="2"/>
      <c r="E97" s="2"/>
    </row>
    <row r="98" spans="1:5" x14ac:dyDescent="0.2">
      <c r="A98" s="2"/>
      <c r="B98" s="2"/>
      <c r="C98" s="2"/>
      <c r="D98" s="2"/>
      <c r="E98" s="2"/>
    </row>
    <row r="99" spans="1:5" x14ac:dyDescent="0.2">
      <c r="A99" s="2"/>
      <c r="B99" s="2"/>
      <c r="C99" s="2"/>
      <c r="D99" s="2"/>
      <c r="E99" s="2"/>
    </row>
    <row r="100" spans="1:5" x14ac:dyDescent="0.2">
      <c r="A100" s="2"/>
      <c r="B100" s="2"/>
      <c r="C100" s="2"/>
      <c r="D100" s="2"/>
      <c r="E100" s="2"/>
    </row>
    <row r="101" spans="1:5" x14ac:dyDescent="0.2">
      <c r="A101" s="2"/>
      <c r="B101" s="2"/>
      <c r="C101" s="2"/>
      <c r="D101" s="2"/>
      <c r="E101" s="2"/>
    </row>
    <row r="102" spans="1:5" x14ac:dyDescent="0.2">
      <c r="A102" s="2"/>
      <c r="B102" s="2"/>
      <c r="C102" s="2"/>
      <c r="D102" s="2"/>
      <c r="E102" s="2"/>
    </row>
    <row r="103" spans="1:5" x14ac:dyDescent="0.2">
      <c r="A103" s="2"/>
      <c r="B103" s="2"/>
      <c r="C103" s="2"/>
      <c r="D103" s="2"/>
      <c r="E103" s="2"/>
    </row>
    <row r="104" spans="1:5" x14ac:dyDescent="0.2">
      <c r="A104" s="2"/>
      <c r="B104" s="2"/>
      <c r="C104" s="2"/>
      <c r="D104" s="2"/>
      <c r="E104" s="2"/>
    </row>
    <row r="105" spans="1:5" x14ac:dyDescent="0.2">
      <c r="A105" s="2"/>
      <c r="B105" s="2"/>
      <c r="C105" s="2"/>
      <c r="D105" s="2"/>
      <c r="E105" s="2"/>
    </row>
    <row r="106" spans="1:5" x14ac:dyDescent="0.2">
      <c r="A106" s="2"/>
      <c r="B106" s="2"/>
      <c r="C106" s="2"/>
      <c r="D106" s="2"/>
      <c r="E106" s="2"/>
    </row>
    <row r="107" spans="1:5" x14ac:dyDescent="0.2">
      <c r="A107" s="2"/>
      <c r="B107" s="2"/>
      <c r="C107" s="2"/>
      <c r="D107" s="2"/>
      <c r="E107" s="2"/>
    </row>
    <row r="108" spans="1:5" x14ac:dyDescent="0.2">
      <c r="A108" s="2"/>
      <c r="B108" s="2"/>
      <c r="C108" s="2"/>
      <c r="D108" s="2"/>
      <c r="E108" s="2"/>
    </row>
    <row r="109" spans="1:5" x14ac:dyDescent="0.2">
      <c r="A109" s="2"/>
      <c r="B109" s="2"/>
      <c r="C109" s="2"/>
      <c r="D109" s="2"/>
      <c r="E109" s="2"/>
    </row>
    <row r="110" spans="1:5" x14ac:dyDescent="0.2">
      <c r="A110" s="2"/>
      <c r="B110" s="2"/>
      <c r="C110" s="2"/>
      <c r="D110" s="2"/>
      <c r="E110" s="2"/>
    </row>
    <row r="111" spans="1:5" x14ac:dyDescent="0.2">
      <c r="A111" s="2"/>
      <c r="B111" s="2"/>
      <c r="C111" s="2"/>
      <c r="D111" s="2"/>
      <c r="E111" s="2"/>
    </row>
    <row r="112" spans="1:5" x14ac:dyDescent="0.2">
      <c r="A112" s="2"/>
      <c r="B112" s="2"/>
      <c r="C112" s="2"/>
      <c r="D112" s="2"/>
      <c r="E112" s="2"/>
    </row>
    <row r="113" spans="1:5" x14ac:dyDescent="0.2">
      <c r="A113" s="2"/>
      <c r="B113" s="2"/>
      <c r="C113" s="2"/>
      <c r="D113" s="2"/>
      <c r="E113" s="2"/>
    </row>
    <row r="114" spans="1:5" x14ac:dyDescent="0.2">
      <c r="A114" s="2"/>
      <c r="B114" s="2"/>
      <c r="C114" s="2"/>
      <c r="D114" s="2"/>
      <c r="E114" s="2"/>
    </row>
    <row r="115" spans="1:5" x14ac:dyDescent="0.2">
      <c r="A115" s="2"/>
      <c r="B115" s="2"/>
      <c r="C115" s="2"/>
      <c r="D115" s="2"/>
      <c r="E115" s="2"/>
    </row>
    <row r="116" spans="1:5" x14ac:dyDescent="0.2">
      <c r="A116" s="2"/>
      <c r="B116" s="2"/>
      <c r="C116" s="2"/>
      <c r="D116" s="2"/>
      <c r="E116" s="2"/>
    </row>
    <row r="117" spans="1:5" x14ac:dyDescent="0.2">
      <c r="A117" s="2"/>
      <c r="B117" s="2"/>
      <c r="C117" s="2"/>
      <c r="D117" s="2"/>
      <c r="E117" s="2"/>
    </row>
    <row r="118" spans="1:5" x14ac:dyDescent="0.2">
      <c r="A118" s="2"/>
      <c r="B118" s="2"/>
      <c r="C118" s="2"/>
      <c r="D118" s="2"/>
      <c r="E118" s="2"/>
    </row>
    <row r="119" spans="1:5" x14ac:dyDescent="0.2">
      <c r="A119" s="2"/>
      <c r="B119" s="2"/>
      <c r="C119" s="2"/>
      <c r="D119" s="2"/>
      <c r="E119" s="2"/>
    </row>
    <row r="120" spans="1:5" x14ac:dyDescent="0.2">
      <c r="A120" s="2"/>
      <c r="B120" s="2"/>
      <c r="C120" s="2"/>
      <c r="D120" s="2"/>
      <c r="E120" s="2"/>
    </row>
    <row r="121" spans="1:5" x14ac:dyDescent="0.2">
      <c r="A121" s="2"/>
      <c r="B121" s="2"/>
      <c r="C121" s="2"/>
      <c r="D121" s="2"/>
      <c r="E121" s="2"/>
    </row>
    <row r="122" spans="1:5" x14ac:dyDescent="0.2">
      <c r="A122" s="2"/>
      <c r="B122" s="2"/>
      <c r="C122" s="2"/>
      <c r="D122" s="2"/>
      <c r="E122" s="2"/>
    </row>
    <row r="123" spans="1:5" x14ac:dyDescent="0.2">
      <c r="A123" s="2"/>
      <c r="B123" s="2"/>
      <c r="C123" s="2"/>
      <c r="D123" s="2"/>
      <c r="E123" s="2"/>
    </row>
    <row r="124" spans="1:5" x14ac:dyDescent="0.2">
      <c r="A124" s="2"/>
      <c r="B124" s="2"/>
      <c r="C124" s="2"/>
      <c r="D124" s="2"/>
      <c r="E124" s="2"/>
    </row>
    <row r="125" spans="1:5" x14ac:dyDescent="0.2">
      <c r="A125" s="2"/>
      <c r="B125" s="2"/>
      <c r="C125" s="2"/>
      <c r="D125" s="2"/>
      <c r="E125" s="2"/>
    </row>
    <row r="126" spans="1:5" x14ac:dyDescent="0.2">
      <c r="A126" s="2"/>
      <c r="B126" s="2"/>
      <c r="C126" s="2"/>
      <c r="D126" s="2"/>
      <c r="E126" s="2"/>
    </row>
    <row r="127" spans="1:5" x14ac:dyDescent="0.2">
      <c r="A127" s="2"/>
      <c r="B127" s="2"/>
      <c r="C127" s="2"/>
      <c r="D127" s="2"/>
      <c r="E127" s="2"/>
    </row>
    <row r="128" spans="1:5" x14ac:dyDescent="0.2">
      <c r="A128" s="2"/>
      <c r="B128" s="2"/>
      <c r="C128" s="2"/>
      <c r="D128" s="2"/>
      <c r="E128" s="2"/>
    </row>
    <row r="129" spans="1:5" x14ac:dyDescent="0.2">
      <c r="A129" s="2"/>
      <c r="B129" s="2"/>
      <c r="C129" s="2"/>
      <c r="D129" s="2"/>
      <c r="E129" s="2"/>
    </row>
    <row r="130" spans="1:5" x14ac:dyDescent="0.2">
      <c r="A130" s="2"/>
      <c r="B130" s="2"/>
      <c r="C130" s="2"/>
      <c r="D130" s="2"/>
      <c r="E130" s="2"/>
    </row>
    <row r="131" spans="1:5" x14ac:dyDescent="0.2">
      <c r="A131" s="2"/>
      <c r="B131" s="2"/>
      <c r="C131" s="2"/>
      <c r="D131" s="2"/>
      <c r="E131" s="2"/>
    </row>
    <row r="132" spans="1:5" x14ac:dyDescent="0.2">
      <c r="A132" s="2"/>
      <c r="B132" s="2"/>
      <c r="C132" s="2"/>
      <c r="D132" s="2"/>
      <c r="E132" s="2"/>
    </row>
    <row r="133" spans="1:5" x14ac:dyDescent="0.2">
      <c r="A133" s="2"/>
      <c r="B133" s="2"/>
      <c r="C133" s="2"/>
      <c r="D133" s="2"/>
      <c r="E133" s="2"/>
    </row>
    <row r="134" spans="1:5" x14ac:dyDescent="0.2">
      <c r="A134" s="2"/>
      <c r="B134" s="2"/>
      <c r="C134" s="2"/>
      <c r="D134" s="2"/>
      <c r="E134" s="2"/>
    </row>
    <row r="135" spans="1:5" x14ac:dyDescent="0.2">
      <c r="A135" s="2"/>
      <c r="B135" s="2"/>
      <c r="C135" s="2"/>
      <c r="D135" s="2"/>
      <c r="E135" s="2"/>
    </row>
    <row r="136" spans="1:5" x14ac:dyDescent="0.2">
      <c r="A136" s="2"/>
      <c r="B136" s="2"/>
      <c r="C136" s="2"/>
      <c r="D136" s="2"/>
      <c r="E136" s="2"/>
    </row>
    <row r="137" spans="1:5" x14ac:dyDescent="0.2">
      <c r="A137" s="2"/>
      <c r="B137" s="2"/>
      <c r="C137" s="2"/>
      <c r="D137" s="2"/>
      <c r="E137" s="2"/>
    </row>
    <row r="138" spans="1:5" x14ac:dyDescent="0.2">
      <c r="A138" s="2"/>
      <c r="B138" s="2"/>
      <c r="C138" s="2"/>
      <c r="D138" s="2"/>
      <c r="E138" s="2"/>
    </row>
    <row r="139" spans="1:5" x14ac:dyDescent="0.2">
      <c r="A139" s="2"/>
      <c r="B139" s="2"/>
      <c r="C139" s="2"/>
      <c r="D139" s="2"/>
      <c r="E139" s="2"/>
    </row>
    <row r="140" spans="1:5" x14ac:dyDescent="0.2">
      <c r="A140" s="2"/>
      <c r="B140" s="2"/>
      <c r="C140" s="2"/>
      <c r="D140" s="2"/>
      <c r="E140" s="2"/>
    </row>
    <row r="141" spans="1:5" x14ac:dyDescent="0.2">
      <c r="A141" s="2"/>
      <c r="B141" s="2"/>
      <c r="C141" s="2"/>
      <c r="D141" s="2"/>
      <c r="E141" s="2"/>
    </row>
    <row r="142" spans="1:5" x14ac:dyDescent="0.2">
      <c r="A142" s="2"/>
      <c r="B142" s="2"/>
      <c r="C142" s="2"/>
      <c r="D142" s="2"/>
      <c r="E142" s="2"/>
    </row>
    <row r="143" spans="1:5" x14ac:dyDescent="0.2">
      <c r="A143" s="2"/>
      <c r="B143" s="2"/>
      <c r="C143" s="2"/>
      <c r="D143" s="2"/>
      <c r="E143" s="2"/>
    </row>
    <row r="144" spans="1:5" x14ac:dyDescent="0.2">
      <c r="A144" s="2"/>
      <c r="B144" s="2"/>
      <c r="C144" s="2"/>
      <c r="D144" s="2"/>
      <c r="E144" s="2"/>
    </row>
    <row r="145" spans="1:5" x14ac:dyDescent="0.2">
      <c r="A145" s="2"/>
      <c r="B145" s="2"/>
      <c r="C145" s="2"/>
      <c r="D145" s="2"/>
      <c r="E145" s="2"/>
    </row>
    <row r="146" spans="1:5" x14ac:dyDescent="0.2">
      <c r="A146" s="2"/>
      <c r="B146" s="2"/>
      <c r="C146" s="2"/>
      <c r="D146" s="2"/>
      <c r="E146" s="2"/>
    </row>
    <row r="147" spans="1:5" x14ac:dyDescent="0.2">
      <c r="A147" s="2"/>
      <c r="B147" s="2"/>
      <c r="C147" s="2"/>
      <c r="D147" s="2"/>
      <c r="E147" s="2"/>
    </row>
    <row r="148" spans="1:5" x14ac:dyDescent="0.2">
      <c r="A148" s="2"/>
      <c r="B148" s="2"/>
      <c r="C148" s="2"/>
      <c r="D148" s="2"/>
      <c r="E148" s="2"/>
    </row>
    <row r="149" spans="1:5" x14ac:dyDescent="0.2">
      <c r="A149" s="2"/>
      <c r="B149" s="2"/>
      <c r="C149" s="2"/>
      <c r="D149" s="2"/>
      <c r="E149" s="2"/>
    </row>
    <row r="150" spans="1:5" x14ac:dyDescent="0.2">
      <c r="A150" s="2"/>
      <c r="B150" s="2"/>
      <c r="C150" s="2"/>
      <c r="D150" s="2"/>
      <c r="E150" s="2"/>
    </row>
    <row r="151" spans="1:5" x14ac:dyDescent="0.2">
      <c r="A151" s="2"/>
      <c r="B151" s="2"/>
      <c r="C151" s="2"/>
      <c r="D151" s="2"/>
      <c r="E151" s="2"/>
    </row>
    <row r="152" spans="1:5" x14ac:dyDescent="0.2">
      <c r="A152" s="2"/>
      <c r="B152" s="2"/>
      <c r="C152" s="2"/>
      <c r="D152" s="2"/>
      <c r="E152" s="2"/>
    </row>
    <row r="153" spans="1:5" x14ac:dyDescent="0.2">
      <c r="A153" s="2"/>
      <c r="B153" s="2"/>
      <c r="C153" s="2"/>
      <c r="D153" s="2"/>
      <c r="E153" s="2"/>
    </row>
    <row r="154" spans="1:5" x14ac:dyDescent="0.2">
      <c r="A154" s="2"/>
      <c r="B154" s="2"/>
      <c r="C154" s="2"/>
      <c r="D154" s="2"/>
      <c r="E154" s="2"/>
    </row>
    <row r="155" spans="1:5" x14ac:dyDescent="0.2">
      <c r="A155" s="2"/>
      <c r="B155" s="2"/>
      <c r="C155" s="2"/>
      <c r="D155" s="2"/>
      <c r="E155" s="2"/>
    </row>
    <row r="156" spans="1:5" x14ac:dyDescent="0.2">
      <c r="A156" s="2"/>
      <c r="B156" s="2"/>
      <c r="C156" s="2"/>
      <c r="D156" s="2"/>
      <c r="E156" s="2"/>
    </row>
    <row r="157" spans="1:5" x14ac:dyDescent="0.2">
      <c r="A157" s="2"/>
      <c r="B157" s="2"/>
      <c r="C157" s="2"/>
      <c r="D157" s="2"/>
      <c r="E157" s="2"/>
    </row>
    <row r="158" spans="1:5" x14ac:dyDescent="0.2">
      <c r="A158" s="2"/>
      <c r="B158" s="2"/>
      <c r="C158" s="2"/>
      <c r="D158" s="2"/>
      <c r="E158" s="2"/>
    </row>
    <row r="159" spans="1:5" x14ac:dyDescent="0.2">
      <c r="A159" s="2"/>
      <c r="B159" s="2"/>
      <c r="C159" s="2"/>
      <c r="D159" s="2"/>
      <c r="E159" s="2"/>
    </row>
    <row r="160" spans="1:5" x14ac:dyDescent="0.2">
      <c r="A160" s="2"/>
      <c r="B160" s="2"/>
      <c r="C160" s="2"/>
      <c r="D160" s="2"/>
      <c r="E160" s="2"/>
    </row>
    <row r="161" spans="1:5" x14ac:dyDescent="0.2">
      <c r="A161" s="2"/>
      <c r="B161" s="2"/>
      <c r="C161" s="2"/>
      <c r="D161" s="2"/>
      <c r="E161" s="2"/>
    </row>
    <row r="162" spans="1:5" x14ac:dyDescent="0.2">
      <c r="A162" s="2"/>
      <c r="B162" s="2"/>
      <c r="C162" s="2"/>
      <c r="D162" s="2"/>
      <c r="E162" s="2"/>
    </row>
    <row r="163" spans="1:5" x14ac:dyDescent="0.2">
      <c r="A163" s="2"/>
      <c r="B163" s="2"/>
      <c r="C163" s="2"/>
      <c r="D163" s="2"/>
      <c r="E163" s="2"/>
    </row>
    <row r="164" spans="1:5" x14ac:dyDescent="0.2">
      <c r="A164" s="2"/>
      <c r="B164" s="2"/>
      <c r="C164" s="2"/>
      <c r="D164" s="2"/>
      <c r="E164" s="2"/>
    </row>
    <row r="165" spans="1:5" x14ac:dyDescent="0.2">
      <c r="A165" s="2"/>
      <c r="B165" s="2"/>
      <c r="C165" s="2"/>
      <c r="D165" s="2"/>
      <c r="E165" s="2"/>
    </row>
    <row r="166" spans="1:5" x14ac:dyDescent="0.2">
      <c r="A166" s="2"/>
      <c r="B166" s="2"/>
      <c r="C166" s="2"/>
      <c r="D166" s="2"/>
      <c r="E166" s="2"/>
    </row>
    <row r="167" spans="1:5" x14ac:dyDescent="0.2">
      <c r="A167" s="2"/>
      <c r="B167" s="2"/>
      <c r="C167" s="2"/>
      <c r="D167" s="2"/>
      <c r="E167" s="2"/>
    </row>
    <row r="168" spans="1:5" x14ac:dyDescent="0.2">
      <c r="A168" s="2"/>
      <c r="B168" s="2"/>
      <c r="C168" s="2"/>
      <c r="D168" s="2"/>
      <c r="E168" s="2"/>
    </row>
    <row r="169" spans="1:5" x14ac:dyDescent="0.2">
      <c r="A169" s="2"/>
      <c r="B169" s="2"/>
      <c r="C169" s="2"/>
      <c r="D169" s="2"/>
      <c r="E169" s="2"/>
    </row>
    <row r="170" spans="1:5" x14ac:dyDescent="0.2">
      <c r="A170" s="2"/>
      <c r="B170" s="2"/>
      <c r="C170" s="2"/>
      <c r="D170" s="2"/>
      <c r="E170" s="2"/>
    </row>
    <row r="171" spans="1:5" x14ac:dyDescent="0.2">
      <c r="A171" s="2"/>
      <c r="B171" s="2"/>
      <c r="C171" s="2"/>
      <c r="D171" s="2"/>
      <c r="E171" s="2"/>
    </row>
    <row r="172" spans="1:5" x14ac:dyDescent="0.2">
      <c r="A172" s="2"/>
      <c r="B172" s="2"/>
      <c r="C172" s="2"/>
      <c r="D172" s="2"/>
      <c r="E17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20"/>
  <sheetViews>
    <sheetView zoomScaleNormal="100" workbookViewId="0">
      <pane ySplit="5" topLeftCell="A943" activePane="bottomLeft" state="frozen"/>
      <selection pane="bottomLeft" activeCell="G975" sqref="G975"/>
    </sheetView>
  </sheetViews>
  <sheetFormatPr defaultColWidth="9.140625" defaultRowHeight="12.75" x14ac:dyDescent="0.2"/>
  <cols>
    <col min="2" max="2" width="12" customWidth="1"/>
    <col min="3" max="3" width="12.5703125" customWidth="1"/>
    <col min="6" max="6" width="17.42578125" customWidth="1"/>
    <col min="7" max="7" width="11.42578125" customWidth="1"/>
    <col min="10" max="15" width="9.140625" customWidth="1"/>
    <col min="16" max="16" width="10.42578125" customWidth="1"/>
    <col min="22" max="22" width="9" customWidth="1"/>
  </cols>
  <sheetData>
    <row r="1" spans="1:27" ht="25.5" x14ac:dyDescent="0.2">
      <c r="D1" s="3">
        <f>H4</f>
        <v>467</v>
      </c>
      <c r="E1" s="11" t="s">
        <v>1023</v>
      </c>
      <c r="F1" s="11" t="s">
        <v>1022</v>
      </c>
      <c r="G1" s="30">
        <f>H4*2</f>
        <v>934</v>
      </c>
      <c r="H1" s="43"/>
      <c r="I1" s="44">
        <f>(H4*3)+I4</f>
        <v>1574</v>
      </c>
      <c r="J1" s="45">
        <f>H4-K4</f>
        <v>383</v>
      </c>
      <c r="K1" s="31"/>
      <c r="L1" s="32"/>
      <c r="M1" s="32">
        <f>SUM(K4:P4)</f>
        <v>84</v>
      </c>
      <c r="N1" s="32"/>
      <c r="O1" s="32"/>
      <c r="P1" s="33"/>
      <c r="Q1" s="31">
        <f>Q4+S4</f>
        <v>248</v>
      </c>
      <c r="R1" s="32">
        <f>R4</f>
        <v>9</v>
      </c>
      <c r="S1" s="33"/>
      <c r="T1" s="28">
        <f>T4</f>
        <v>212</v>
      </c>
      <c r="V1" s="36">
        <f>V4</f>
        <v>5</v>
      </c>
      <c r="W1" s="36">
        <f>W4</f>
        <v>5</v>
      </c>
    </row>
    <row r="2" spans="1:27" ht="25.5" x14ac:dyDescent="0.2">
      <c r="B2">
        <f>492-84</f>
        <v>408</v>
      </c>
      <c r="E2" s="11"/>
      <c r="F2" s="11" t="s">
        <v>1024</v>
      </c>
      <c r="G2">
        <f>H4</f>
        <v>467</v>
      </c>
      <c r="H2" s="53" t="s">
        <v>97</v>
      </c>
      <c r="I2" s="54"/>
      <c r="J2" s="46" t="s">
        <v>98</v>
      </c>
      <c r="K2" s="53" t="s">
        <v>99</v>
      </c>
      <c r="L2" s="55"/>
      <c r="M2" s="55"/>
      <c r="N2" s="55"/>
      <c r="O2" s="55"/>
      <c r="P2" s="54"/>
      <c r="Q2" s="53" t="s">
        <v>206</v>
      </c>
      <c r="R2" s="55"/>
      <c r="S2" s="54"/>
      <c r="T2" s="27" t="s">
        <v>199</v>
      </c>
      <c r="V2" s="27" t="s">
        <v>1030</v>
      </c>
      <c r="W2" s="27" t="s">
        <v>1031</v>
      </c>
    </row>
    <row r="3" spans="1:27" x14ac:dyDescent="0.2">
      <c r="F3" s="11" t="s">
        <v>1025</v>
      </c>
      <c r="G3">
        <f>H4</f>
        <v>467</v>
      </c>
      <c r="H3" s="4"/>
      <c r="I3" s="4"/>
      <c r="J3" s="4"/>
      <c r="K3" s="4" t="s">
        <v>1053</v>
      </c>
      <c r="L3" s="4"/>
      <c r="M3" s="4"/>
      <c r="N3" s="4"/>
      <c r="O3" s="4"/>
      <c r="P3" s="4">
        <f>SUM(P6:P991)</f>
        <v>29</v>
      </c>
      <c r="Q3" s="4"/>
      <c r="R3" s="4"/>
      <c r="S3" s="4"/>
      <c r="T3" s="4"/>
      <c r="U3" t="s">
        <v>96</v>
      </c>
    </row>
    <row r="4" spans="1:27" x14ac:dyDescent="0.2">
      <c r="G4" s="47" t="s">
        <v>117</v>
      </c>
      <c r="H4" s="48">
        <f>SUM(H6:H976)</f>
        <v>467</v>
      </c>
      <c r="I4" s="48">
        <f>SUM(I6:I976)</f>
        <v>173</v>
      </c>
      <c r="J4" s="48">
        <f>SUM(J6:J976)</f>
        <v>381</v>
      </c>
      <c r="K4" s="48">
        <f>SUM(K6:K976)</f>
        <v>84</v>
      </c>
      <c r="L4" s="48"/>
      <c r="M4" s="48"/>
      <c r="N4" s="48"/>
      <c r="O4" s="48"/>
      <c r="P4" s="48"/>
      <c r="Q4" s="48">
        <f t="shared" ref="Q4:Y4" si="0">SUM(Q6:Q976)</f>
        <v>136</v>
      </c>
      <c r="R4" s="48">
        <f t="shared" si="0"/>
        <v>9</v>
      </c>
      <c r="S4" s="48">
        <f t="shared" si="0"/>
        <v>112</v>
      </c>
      <c r="T4" s="48">
        <f t="shared" si="0"/>
        <v>212</v>
      </c>
      <c r="U4" s="48">
        <f>SUM(U6:U1020)</f>
        <v>43</v>
      </c>
      <c r="V4" s="48">
        <f t="shared" si="0"/>
        <v>5</v>
      </c>
      <c r="W4" s="48">
        <f t="shared" si="0"/>
        <v>5</v>
      </c>
      <c r="X4" s="48">
        <f t="shared" si="0"/>
        <v>1651</v>
      </c>
      <c r="Y4" s="48">
        <f t="shared" si="0"/>
        <v>14</v>
      </c>
      <c r="AA4" s="48">
        <f>SUM(AA6:AA976)*3</f>
        <v>1401</v>
      </c>
    </row>
    <row r="5" spans="1:27" ht="38.25" x14ac:dyDescent="0.2">
      <c r="A5" s="11" t="s">
        <v>197</v>
      </c>
      <c r="B5" s="11" t="s">
        <v>95</v>
      </c>
      <c r="C5" s="11" t="s">
        <v>100</v>
      </c>
      <c r="D5" s="11" t="s">
        <v>198</v>
      </c>
      <c r="E5" s="11" t="s">
        <v>101</v>
      </c>
      <c r="F5" s="11" t="s">
        <v>114</v>
      </c>
      <c r="G5" s="11" t="s">
        <v>115</v>
      </c>
      <c r="H5" s="11" t="s">
        <v>102</v>
      </c>
      <c r="I5" s="11" t="s">
        <v>103</v>
      </c>
      <c r="J5" s="11" t="s">
        <v>104</v>
      </c>
      <c r="K5" s="11" t="s">
        <v>110</v>
      </c>
      <c r="L5" s="11" t="s">
        <v>105</v>
      </c>
      <c r="M5" s="11" t="s">
        <v>106</v>
      </c>
      <c r="N5" s="11" t="s">
        <v>107</v>
      </c>
      <c r="O5" s="11" t="s">
        <v>108</v>
      </c>
      <c r="P5" s="11" t="s">
        <v>109</v>
      </c>
      <c r="Q5" s="11" t="s">
        <v>205</v>
      </c>
      <c r="R5" s="11" t="s">
        <v>118</v>
      </c>
      <c r="S5" s="11" t="s">
        <v>1034</v>
      </c>
      <c r="T5" s="11" t="s">
        <v>204</v>
      </c>
      <c r="U5" s="11" t="s">
        <v>96</v>
      </c>
      <c r="V5" s="11" t="s">
        <v>1028</v>
      </c>
      <c r="W5" s="11" t="s">
        <v>1029</v>
      </c>
      <c r="X5" s="11" t="s">
        <v>1018</v>
      </c>
      <c r="Y5" s="11" t="s">
        <v>1061</v>
      </c>
    </row>
    <row r="6" spans="1:27" x14ac:dyDescent="0.2">
      <c r="A6" t="s">
        <v>0</v>
      </c>
      <c r="B6" t="s">
        <v>1</v>
      </c>
      <c r="C6" t="s">
        <v>1099</v>
      </c>
      <c r="D6" t="s">
        <v>2</v>
      </c>
      <c r="E6" t="s">
        <v>3</v>
      </c>
      <c r="F6" t="s">
        <v>1129</v>
      </c>
      <c r="G6" t="s">
        <v>1130</v>
      </c>
      <c r="H6" s="4">
        <f t="shared" ref="H6" si="1">IF(OR(RIGHT(C6,1)="A",RIGHT(C6,1)="B",RIGHT(C6,1)="C",D6="Benthos",D6="Sediment",D6="Sediments",D6="D100",D6="D20",D6="Mysis",E6="FD1",E6="LD1"),"",1)</f>
        <v>1</v>
      </c>
      <c r="I6" s="4">
        <f>IF(RIGHT(B6,1)="M",IF(AND(H6=1,E6="RFS",D6=INDEX('Station Depth Averages'!$A$3:$B$84,MATCH(B6,'Station Depth Averages'!$A$3:$A$84,0),2)),1,""),IF(AND(H6=1,OR(D6="SYN",D6="SRF",D6="MID")),1,IF(AND(H6=1,OR(E7="FDn",E7="LDn")),1,IF(AND(H6=1,OR(E6="FDn",E6="LDn")),1,""))))</f>
        <v>1</v>
      </c>
      <c r="J6" s="4">
        <f t="shared" ref="J6" si="2">IF(OR(D6="INT",D6="Benthos",D6="D100",D6="D20",E6="LDn",D6="mysis",D6="sediment",D6="sediments",OR(RIGHT(C6,1)="A",RIGHT(C6,1)="B",RIGHT(C6,1)="C",E6="FD1",E6="LD1")),"",1)</f>
        <v>1</v>
      </c>
      <c r="K6" s="4" t="str">
        <f>IF(D6="INT",1,"")</f>
        <v/>
      </c>
      <c r="L6" s="4" t="str">
        <f t="shared" ref="L6" si="3">IF(AND(LEFT(B6,1)="E",A6&lt;&gt;"E",RIGHT(B6,1)="M"),IF(AND(A6="w",D6="MID",E6="RFS"),1,IF(AND(A6="C",D6="5M",E6="RFS"),1,"")),IF(AND(RIGHT(B6,1)="M",D6="10M",E6="RFS"),1,""))</f>
        <v/>
      </c>
      <c r="M6" s="4" t="str">
        <f t="shared" ref="M6:P6" si="4">IF(L6=1,1,"")</f>
        <v/>
      </c>
      <c r="N6" s="4" t="str">
        <f t="shared" si="4"/>
        <v/>
      </c>
      <c r="O6" s="4" t="str">
        <f t="shared" si="4"/>
        <v/>
      </c>
      <c r="P6" s="4" t="str">
        <f t="shared" si="4"/>
        <v/>
      </c>
      <c r="Q6" s="4" t="str">
        <f>IF(AND(OR(D6="INT",D6="DCL"),OR(LEFT(B6,2)="SU",LEFT(B6,2)="HU",LEFT(B6,2)="MI",LEFT(B6,2)="CS",LEFT(B6,2)="ON")),2,IF(AND(OR(D6="INT",D6="DCL"),LEFT(B6,2)="ER"),1,""))</f>
        <v/>
      </c>
      <c r="R6" s="4" t="str">
        <f t="shared" ref="R6" si="5">IF(D6="benthos",1,"")</f>
        <v/>
      </c>
      <c r="S6" s="4" t="str">
        <f t="shared" ref="S6" si="6">IF(D6="mysis",1,"")</f>
        <v/>
      </c>
      <c r="T6" s="4" t="str">
        <f t="shared" ref="T6" si="7">IF(AND(OR(D6="d20",D6="d100"),LEFT(B6,2)="SU"),2,IF(OR(D6="D20",D6="d100"),1,""))</f>
        <v/>
      </c>
      <c r="U6">
        <f>IF(VLOOKUP(C6,'QA Table'!$Y$5:$Y$20,1,TRUE)=C6,1,0)</f>
        <v>0</v>
      </c>
      <c r="V6" t="str">
        <f>IF(AND(D6="Sediment",RIGHT(C6,1)="8"),1,"")</f>
        <v/>
      </c>
      <c r="W6" t="str">
        <f>IF(AND(D6="Sediment",RIGHT(C6,1)="9"),1,"")</f>
        <v/>
      </c>
      <c r="X6">
        <f t="shared" ref="X6" si="8">IF(AND(H6=1,OR(LEFT(B6,1)="M",LEFT(B6,1)="E",LEFT(B6,1)="O",LEFT(B6,1)="C")),4,IF(AND(H6=1,OR(LEFT(B6,1)="H",LEFT(B6,1)="S")),3,""))</f>
        <v>4</v>
      </c>
      <c r="Y6">
        <f t="shared" ref="Y6" si="9">IF(U6=1,1,IF(AND(E6="LD1",U5=1),1,IF(AND(E6="FD1",U4=1),1,0)))</f>
        <v>0</v>
      </c>
      <c r="AA6">
        <f>IF(X6&lt;&gt;"",1,"")</f>
        <v>1</v>
      </c>
    </row>
    <row r="7" spans="1:27" x14ac:dyDescent="0.2">
      <c r="A7" t="s">
        <v>0</v>
      </c>
      <c r="B7" t="s">
        <v>1</v>
      </c>
      <c r="C7" t="s">
        <v>1131</v>
      </c>
      <c r="D7" t="s">
        <v>2</v>
      </c>
      <c r="E7" t="s">
        <v>7</v>
      </c>
      <c r="F7" t="s">
        <v>1129</v>
      </c>
      <c r="G7" t="s">
        <v>1130</v>
      </c>
      <c r="H7" s="4">
        <f t="shared" ref="H7:H70" si="10">IF(OR(RIGHT(C7,1)="A",RIGHT(C7,1)="B",RIGHT(C7,1)="C",D7="Benthos",D7="Sediment",D7="Sediments",D7="D100",D7="D20",D7="Mysis",E7="FD1",E7="LD1"),"",1)</f>
        <v>1</v>
      </c>
      <c r="I7" s="4">
        <f>IF(RIGHT(B7,1)="M",IF(AND(H7=1,E7="RFS",D7=INDEX('Station Depth Averages'!$A$3:$B$84,MATCH(B7,'Station Depth Averages'!$A$3:$A$84,0),2)),1,""),IF(AND(H7=1,OR(D7="SYN",D7="SRF",D7="MID")),1,IF(AND(H7=1,OR(E8="FDn",E8="LDn")),1,IF(AND(H7=1,OR(E7="FDn",E7="LDn")),1,""))))</f>
        <v>1</v>
      </c>
      <c r="J7" s="4">
        <f t="shared" ref="J7:J70" si="11">IF(OR(D7="INT",D7="Benthos",D7="D100",D7="D20",E7="LDn",D7="mysis",D7="sediment",D7="sediments",OR(RIGHT(C7,1)="A",RIGHT(C7,1)="B",RIGHT(C7,1)="C",E7="FD1",E7="LD1")),"",1)</f>
        <v>1</v>
      </c>
      <c r="K7" s="4" t="str">
        <f t="shared" ref="K7:K70" si="12">IF(D7="INT",1,"")</f>
        <v/>
      </c>
      <c r="L7" s="4" t="str">
        <f t="shared" ref="L7:L70" si="13">IF(AND(LEFT(B7,1)="E",A7&lt;&gt;"E",RIGHT(B7,1)="M"),IF(AND(A7="w",D7="MID",E7="RFS"),1,IF(AND(A7="C",D7="5M",E7="RFS"),1,"")),IF(AND(RIGHT(B7,1)="M",D7="10M",E7="RFS"),1,""))</f>
        <v/>
      </c>
      <c r="M7" s="4" t="str">
        <f t="shared" ref="M7:M70" si="14">IF(L7=1,1,"")</f>
        <v/>
      </c>
      <c r="N7" s="4" t="str">
        <f t="shared" ref="N7:N70" si="15">IF(M7=1,1,"")</f>
        <v/>
      </c>
      <c r="O7" s="4" t="str">
        <f t="shared" ref="O7:O70" si="16">IF(N7=1,1,"")</f>
        <v/>
      </c>
      <c r="P7" s="4" t="str">
        <f t="shared" ref="P7:P70" si="17">IF(O7=1,1,"")</f>
        <v/>
      </c>
      <c r="Q7" s="4" t="str">
        <f t="shared" ref="Q7:Q70" si="18">IF(AND(OR(D7="INT",D7="DCL"),OR(LEFT(B7,2)="SU",LEFT(B7,2)="HU",LEFT(B7,2)="MI",LEFT(B7,2)="CS",LEFT(B7,2)="ON")),2,IF(AND(OR(D7="INT",D7="DCL"),LEFT(B7,2)="ER"),1,""))</f>
        <v/>
      </c>
      <c r="R7" s="4" t="str">
        <f t="shared" ref="R7:R70" si="19">IF(D7="benthos",1,"")</f>
        <v/>
      </c>
      <c r="S7" s="4" t="str">
        <f t="shared" ref="S7:S70" si="20">IF(D7="mysis",1,"")</f>
        <v/>
      </c>
      <c r="T7" s="4" t="str">
        <f t="shared" ref="T7:T70" si="21">IF(AND(OR(D7="d20",D7="d100"),LEFT(B7,2)="SU"),2,IF(OR(D7="D20",D7="d100"),1,""))</f>
        <v/>
      </c>
      <c r="U7">
        <f>IF(VLOOKUP(C7,'QA Table'!$Y$5:$Y$20,1,TRUE)=C7,1,0)</f>
        <v>0</v>
      </c>
      <c r="V7" t="str">
        <f t="shared" ref="V7:V70" si="22">IF(AND(D7="Sediment",RIGHT(C7,1)="8"),1,"")</f>
        <v/>
      </c>
      <c r="W7" t="str">
        <f t="shared" ref="W7:W70" si="23">IF(AND(D7="Sediment",RIGHT(C7,1)="9"),1,"")</f>
        <v/>
      </c>
      <c r="X7">
        <f t="shared" ref="X7:X70" si="24">IF(AND(H7=1,OR(LEFT(B7,1)="M",LEFT(B7,1)="E",LEFT(B7,1)="O",LEFT(B7,1)="C")),4,IF(AND(H7=1,OR(LEFT(B7,1)="H",LEFT(B7,1)="S")),3,""))</f>
        <v>4</v>
      </c>
      <c r="Y7">
        <f t="shared" ref="Y7:Y70" si="25">IF(U7=1,1,IF(AND(E7="LD1",U6=1),1,IF(AND(E7="FD1",U5=1),1,0)))</f>
        <v>0</v>
      </c>
      <c r="AA7">
        <f t="shared" ref="AA7:AA70" si="26">IF(X7&lt;&gt;"",1,"")</f>
        <v>1</v>
      </c>
    </row>
    <row r="8" spans="1:27" x14ac:dyDescent="0.2">
      <c r="A8" t="s">
        <v>0</v>
      </c>
      <c r="B8" t="s">
        <v>1</v>
      </c>
      <c r="C8" t="s">
        <v>1132</v>
      </c>
      <c r="D8" t="s">
        <v>1050</v>
      </c>
      <c r="E8" t="s">
        <v>3</v>
      </c>
      <c r="F8" t="s">
        <v>1129</v>
      </c>
      <c r="G8" t="s">
        <v>1130</v>
      </c>
      <c r="H8" s="4" t="str">
        <f t="shared" si="10"/>
        <v/>
      </c>
      <c r="I8" s="4" t="str">
        <f>IF(RIGHT(B8,1)="M",IF(AND(H8=1,E8="RFS",D8=INDEX('Station Depth Averages'!$A$3:$B$84,MATCH(B8,'Station Depth Averages'!$A$3:$A$84,0),2)),1,""),IF(AND(H8=1,OR(D8="SYN",D8="SRF",D8="MID")),1,IF(AND(H8=1,OR(E9="FDn",E9="LDn")),1,IF(AND(H8=1,OR(E8="FDn",E8="LDn")),1,""))))</f>
        <v/>
      </c>
      <c r="J8" s="4" t="str">
        <f t="shared" si="11"/>
        <v/>
      </c>
      <c r="K8" s="4" t="str">
        <f t="shared" si="12"/>
        <v/>
      </c>
      <c r="L8" s="4" t="str">
        <f t="shared" si="13"/>
        <v/>
      </c>
      <c r="M8" s="4" t="str">
        <f t="shared" si="14"/>
        <v/>
      </c>
      <c r="N8" s="4" t="str">
        <f t="shared" si="15"/>
        <v/>
      </c>
      <c r="O8" s="4" t="str">
        <f t="shared" si="16"/>
        <v/>
      </c>
      <c r="P8" s="4" t="str">
        <f t="shared" si="17"/>
        <v/>
      </c>
      <c r="Q8" s="4" t="str">
        <f t="shared" si="18"/>
        <v/>
      </c>
      <c r="R8" s="4" t="str">
        <f t="shared" si="19"/>
        <v/>
      </c>
      <c r="S8" s="4" t="str">
        <f t="shared" si="20"/>
        <v/>
      </c>
      <c r="T8" s="4" t="str">
        <f t="shared" si="21"/>
        <v/>
      </c>
      <c r="U8">
        <f>IF(VLOOKUP(C8,'QA Table'!$Y$5:$Y$20,1,TRUE)=C8,1,0)</f>
        <v>0</v>
      </c>
      <c r="V8" t="str">
        <f t="shared" si="22"/>
        <v/>
      </c>
      <c r="W8" t="str">
        <f t="shared" si="23"/>
        <v/>
      </c>
      <c r="X8" t="str">
        <f t="shared" si="24"/>
        <v/>
      </c>
      <c r="Y8">
        <f t="shared" si="25"/>
        <v>0</v>
      </c>
      <c r="AA8" t="str">
        <f t="shared" si="26"/>
        <v/>
      </c>
    </row>
    <row r="9" spans="1:27" x14ac:dyDescent="0.2">
      <c r="A9" t="s">
        <v>0</v>
      </c>
      <c r="B9" t="s">
        <v>1</v>
      </c>
      <c r="C9" t="s">
        <v>1133</v>
      </c>
      <c r="D9" t="s">
        <v>4</v>
      </c>
      <c r="E9" t="s">
        <v>3</v>
      </c>
      <c r="F9" t="s">
        <v>1129</v>
      </c>
      <c r="G9" t="s">
        <v>1130</v>
      </c>
      <c r="H9" s="4" t="str">
        <f t="shared" si="10"/>
        <v/>
      </c>
      <c r="I9" s="4" t="str">
        <f>IF(RIGHT(B9,1)="M",IF(AND(H9=1,E9="RFS",D9=INDEX('Station Depth Averages'!$A$3:$B$84,MATCH(B9,'Station Depth Averages'!$A$3:$A$84,0),2)),1,""),IF(AND(H9=1,OR(D9="SYN",D9="SRF",D9="MID")),1,IF(AND(H9=1,OR(E10="FDn",E10="LDn")),1,IF(AND(H9=1,OR(E9="FDn",E9="LDn")),1,""))))</f>
        <v/>
      </c>
      <c r="J9" s="4" t="str">
        <f t="shared" si="11"/>
        <v/>
      </c>
      <c r="K9" s="4" t="str">
        <f t="shared" si="12"/>
        <v/>
      </c>
      <c r="L9" s="4" t="str">
        <f t="shared" si="13"/>
        <v/>
      </c>
      <c r="M9" s="4" t="str">
        <f t="shared" si="14"/>
        <v/>
      </c>
      <c r="N9" s="4" t="str">
        <f t="shared" si="15"/>
        <v/>
      </c>
      <c r="O9" s="4" t="str">
        <f t="shared" si="16"/>
        <v/>
      </c>
      <c r="P9" s="4" t="str">
        <f t="shared" si="17"/>
        <v/>
      </c>
      <c r="Q9" s="4" t="str">
        <f t="shared" si="18"/>
        <v/>
      </c>
      <c r="R9" s="4" t="str">
        <f t="shared" si="19"/>
        <v/>
      </c>
      <c r="S9" s="4" t="str">
        <f t="shared" si="20"/>
        <v/>
      </c>
      <c r="T9" s="4" t="str">
        <f t="shared" si="21"/>
        <v/>
      </c>
      <c r="U9">
        <f>IF(VLOOKUP(C9,'QA Table'!$Y$5:$Y$20,1,TRUE)=C9,1,0)</f>
        <v>0</v>
      </c>
      <c r="V9" t="str">
        <f t="shared" si="22"/>
        <v/>
      </c>
      <c r="W9" t="str">
        <f t="shared" si="23"/>
        <v/>
      </c>
      <c r="X9" t="str">
        <f t="shared" si="24"/>
        <v/>
      </c>
      <c r="Y9">
        <f t="shared" si="25"/>
        <v>0</v>
      </c>
      <c r="AA9" t="str">
        <f t="shared" si="26"/>
        <v/>
      </c>
    </row>
    <row r="10" spans="1:27" x14ac:dyDescent="0.2">
      <c r="A10" t="s">
        <v>0</v>
      </c>
      <c r="B10" t="s">
        <v>1</v>
      </c>
      <c r="C10" t="s">
        <v>1134</v>
      </c>
      <c r="D10" t="s">
        <v>1051</v>
      </c>
      <c r="E10" t="s">
        <v>3</v>
      </c>
      <c r="F10" t="s">
        <v>1129</v>
      </c>
      <c r="G10" t="s">
        <v>1130</v>
      </c>
      <c r="H10" s="4" t="str">
        <f t="shared" si="10"/>
        <v/>
      </c>
      <c r="I10" s="4" t="str">
        <f>IF(RIGHT(B10,1)="M",IF(AND(H10=1,E10="RFS",D10=INDEX('Station Depth Averages'!$A$3:$B$84,MATCH(B10,'Station Depth Averages'!$A$3:$A$84,0),2)),1,""),IF(AND(H10=1,OR(D10="SYN",D10="SRF",D10="MID")),1,IF(AND(H10=1,OR(E11="FDn",E11="LDn")),1,IF(AND(H10=1,OR(E10="FDn",E10="LDn")),1,""))))</f>
        <v/>
      </c>
      <c r="J10" s="4" t="str">
        <f t="shared" si="11"/>
        <v/>
      </c>
      <c r="K10" s="4" t="str">
        <f t="shared" si="12"/>
        <v/>
      </c>
      <c r="L10" s="4" t="str">
        <f t="shared" si="13"/>
        <v/>
      </c>
      <c r="M10" s="4" t="str">
        <f t="shared" si="14"/>
        <v/>
      </c>
      <c r="N10" s="4" t="str">
        <f t="shared" si="15"/>
        <v/>
      </c>
      <c r="O10" s="4" t="str">
        <f t="shared" si="16"/>
        <v/>
      </c>
      <c r="P10" s="4" t="str">
        <f t="shared" si="17"/>
        <v/>
      </c>
      <c r="Q10" s="4" t="str">
        <f t="shared" si="18"/>
        <v/>
      </c>
      <c r="R10" s="4" t="str">
        <f t="shared" si="19"/>
        <v/>
      </c>
      <c r="S10" s="4" t="str">
        <f t="shared" si="20"/>
        <v/>
      </c>
      <c r="T10" s="4" t="str">
        <f t="shared" si="21"/>
        <v/>
      </c>
      <c r="U10">
        <f>IF(VLOOKUP(C10,'QA Table'!$Y$5:$Y$20,1,TRUE)=C10,1,0)</f>
        <v>0</v>
      </c>
      <c r="V10" t="str">
        <f t="shared" si="22"/>
        <v/>
      </c>
      <c r="W10" t="str">
        <f t="shared" si="23"/>
        <v/>
      </c>
      <c r="X10" t="str">
        <f t="shared" si="24"/>
        <v/>
      </c>
      <c r="Y10">
        <f t="shared" si="25"/>
        <v>0</v>
      </c>
      <c r="AA10" t="str">
        <f t="shared" si="26"/>
        <v/>
      </c>
    </row>
    <row r="11" spans="1:27" x14ac:dyDescent="0.2">
      <c r="A11" t="s">
        <v>0</v>
      </c>
      <c r="B11" t="s">
        <v>1</v>
      </c>
      <c r="C11" t="s">
        <v>1135</v>
      </c>
      <c r="D11" t="s">
        <v>119</v>
      </c>
      <c r="E11" t="s">
        <v>3</v>
      </c>
      <c r="F11" t="s">
        <v>1129</v>
      </c>
      <c r="G11" t="s">
        <v>1130</v>
      </c>
      <c r="H11" s="4">
        <f t="shared" si="10"/>
        <v>1</v>
      </c>
      <c r="I11" s="4">
        <f>IF(RIGHT(B11,1)="M",IF(AND(H11=1,E11="RFS",D11=INDEX('Station Depth Averages'!$A$3:$B$84,MATCH(B11,'Station Depth Averages'!$A$3:$A$84,0),2)),1,""),IF(AND(H11=1,OR(D11="SYN",D11="SRF",D11="MID")),1,IF(AND(H11=1,OR(E12="FDn",E12="LDn")),1,IF(AND(H11=1,OR(E11="FDn",E11="LDn")),1,""))))</f>
        <v>1</v>
      </c>
      <c r="J11" s="4">
        <f t="shared" si="11"/>
        <v>1</v>
      </c>
      <c r="K11" s="4" t="str">
        <f t="shared" si="12"/>
        <v/>
      </c>
      <c r="L11" s="4" t="str">
        <f t="shared" si="13"/>
        <v/>
      </c>
      <c r="M11" s="4" t="str">
        <f t="shared" si="14"/>
        <v/>
      </c>
      <c r="N11" s="4" t="str">
        <f t="shared" si="15"/>
        <v/>
      </c>
      <c r="O11" s="4" t="str">
        <f t="shared" si="16"/>
        <v/>
      </c>
      <c r="P11" s="4" t="str">
        <f t="shared" si="17"/>
        <v/>
      </c>
      <c r="Q11" s="4" t="str">
        <f t="shared" si="18"/>
        <v/>
      </c>
      <c r="R11" s="4" t="str">
        <f t="shared" si="19"/>
        <v/>
      </c>
      <c r="S11" s="4" t="str">
        <f t="shared" si="20"/>
        <v/>
      </c>
      <c r="T11" s="4" t="str">
        <f t="shared" si="21"/>
        <v/>
      </c>
      <c r="U11">
        <f>IF(VLOOKUP(C11,'QA Table'!$Y$5:$Y$20,1,TRUE)=C11,1,0)</f>
        <v>0</v>
      </c>
      <c r="V11" t="str">
        <f t="shared" si="22"/>
        <v/>
      </c>
      <c r="W11" t="str">
        <f t="shared" si="23"/>
        <v/>
      </c>
      <c r="X11">
        <f t="shared" si="24"/>
        <v>4</v>
      </c>
      <c r="Y11">
        <f t="shared" si="25"/>
        <v>0</v>
      </c>
      <c r="AA11">
        <f t="shared" si="26"/>
        <v>1</v>
      </c>
    </row>
    <row r="12" spans="1:27" x14ac:dyDescent="0.2">
      <c r="A12" t="s">
        <v>0</v>
      </c>
      <c r="B12" t="s">
        <v>1</v>
      </c>
      <c r="C12" t="s">
        <v>1136</v>
      </c>
      <c r="D12" t="s">
        <v>5</v>
      </c>
      <c r="E12" t="s">
        <v>3</v>
      </c>
      <c r="F12" t="s">
        <v>1129</v>
      </c>
      <c r="G12" t="s">
        <v>1130</v>
      </c>
      <c r="H12" s="4">
        <f t="shared" si="10"/>
        <v>1</v>
      </c>
      <c r="I12" s="4" t="str">
        <f>IF(RIGHT(B12,1)="M",IF(AND(H12=1,E12="RFS",D12=INDEX('Station Depth Averages'!$A$3:$B$84,MATCH(B12,'Station Depth Averages'!$A$3:$A$84,0),2)),1,""),IF(AND(H12=1,OR(D12="SYN",D12="SRF",D12="MID")),1,IF(AND(H12=1,OR(E13="FDn",E13="LDn")),1,IF(AND(H12=1,OR(E12="FDn",E12="LDn")),1,""))))</f>
        <v/>
      </c>
      <c r="J12" s="4">
        <f t="shared" si="11"/>
        <v>1</v>
      </c>
      <c r="K12" s="4" t="str">
        <f t="shared" si="12"/>
        <v/>
      </c>
      <c r="L12" s="4" t="str">
        <f t="shared" si="13"/>
        <v/>
      </c>
      <c r="M12" s="4" t="str">
        <f t="shared" si="14"/>
        <v/>
      </c>
      <c r="N12" s="4" t="str">
        <f t="shared" si="15"/>
        <v/>
      </c>
      <c r="O12" s="4" t="str">
        <f t="shared" si="16"/>
        <v/>
      </c>
      <c r="P12" s="4" t="str">
        <f t="shared" si="17"/>
        <v/>
      </c>
      <c r="Q12" s="4" t="str">
        <f t="shared" si="18"/>
        <v/>
      </c>
      <c r="R12" s="4" t="str">
        <f t="shared" si="19"/>
        <v/>
      </c>
      <c r="S12" s="4" t="str">
        <f t="shared" si="20"/>
        <v/>
      </c>
      <c r="T12" s="4" t="str">
        <f t="shared" si="21"/>
        <v/>
      </c>
      <c r="U12">
        <f>IF(VLOOKUP(C12,'QA Table'!$Y$5:$Y$20,1,TRUE)=C12,1,0)</f>
        <v>0</v>
      </c>
      <c r="V12" t="str">
        <f t="shared" si="22"/>
        <v/>
      </c>
      <c r="W12" t="str">
        <f t="shared" si="23"/>
        <v/>
      </c>
      <c r="X12">
        <f t="shared" si="24"/>
        <v>4</v>
      </c>
      <c r="Y12">
        <f t="shared" si="25"/>
        <v>0</v>
      </c>
      <c r="AA12">
        <f t="shared" si="26"/>
        <v>1</v>
      </c>
    </row>
    <row r="13" spans="1:27" x14ac:dyDescent="0.2">
      <c r="A13" t="s">
        <v>0</v>
      </c>
      <c r="B13" t="s">
        <v>1</v>
      </c>
      <c r="C13" t="s">
        <v>1137</v>
      </c>
      <c r="D13" t="s">
        <v>6</v>
      </c>
      <c r="E13" t="s">
        <v>3</v>
      </c>
      <c r="F13" t="s">
        <v>1129</v>
      </c>
      <c r="G13" t="s">
        <v>1130</v>
      </c>
      <c r="H13" s="4">
        <f t="shared" si="10"/>
        <v>1</v>
      </c>
      <c r="I13" s="4" t="str">
        <f>IF(RIGHT(B13,1)="M",IF(AND(H13=1,E13="RFS",D13=INDEX('Station Depth Averages'!$A$3:$B$84,MATCH(B13,'Station Depth Averages'!$A$3:$A$84,0),2)),1,""),IF(AND(H13=1,OR(D13="SYN",D13="SRF",D13="MID")),1,IF(AND(H13=1,OR(E14="FDn",E14="LDn")),1,IF(AND(H13=1,OR(E13="FDn",E13="LDn")),1,""))))</f>
        <v/>
      </c>
      <c r="J13" s="4">
        <f t="shared" si="11"/>
        <v>1</v>
      </c>
      <c r="K13" s="4" t="str">
        <f t="shared" si="12"/>
        <v/>
      </c>
      <c r="L13" s="4" t="str">
        <f t="shared" si="13"/>
        <v/>
      </c>
      <c r="M13" s="4" t="str">
        <f t="shared" si="14"/>
        <v/>
      </c>
      <c r="N13" s="4" t="str">
        <f t="shared" si="15"/>
        <v/>
      </c>
      <c r="O13" s="4" t="str">
        <f t="shared" si="16"/>
        <v/>
      </c>
      <c r="P13" s="4" t="str">
        <f t="shared" si="17"/>
        <v/>
      </c>
      <c r="Q13" s="4" t="str">
        <f t="shared" si="18"/>
        <v/>
      </c>
      <c r="R13" s="4" t="str">
        <f t="shared" si="19"/>
        <v/>
      </c>
      <c r="S13" s="4" t="str">
        <f t="shared" si="20"/>
        <v/>
      </c>
      <c r="T13" s="4" t="str">
        <f t="shared" si="21"/>
        <v/>
      </c>
      <c r="U13">
        <f>IF(VLOOKUP(C13,'QA Table'!$Y$5:$Y$20,1,TRUE)=C13,1,0)</f>
        <v>0</v>
      </c>
      <c r="V13" t="str">
        <f t="shared" si="22"/>
        <v/>
      </c>
      <c r="W13" t="str">
        <f t="shared" si="23"/>
        <v/>
      </c>
      <c r="X13">
        <f t="shared" si="24"/>
        <v>4</v>
      </c>
      <c r="Y13">
        <f t="shared" si="25"/>
        <v>0</v>
      </c>
      <c r="AA13">
        <f t="shared" si="26"/>
        <v>1</v>
      </c>
    </row>
    <row r="14" spans="1:27" x14ac:dyDescent="0.2">
      <c r="A14" t="s">
        <v>0</v>
      </c>
      <c r="B14" t="s">
        <v>1</v>
      </c>
      <c r="C14" t="s">
        <v>1138</v>
      </c>
      <c r="D14" t="s">
        <v>8</v>
      </c>
      <c r="E14" t="s">
        <v>3</v>
      </c>
      <c r="F14" t="s">
        <v>1129</v>
      </c>
      <c r="G14" t="s">
        <v>1130</v>
      </c>
      <c r="H14" s="4">
        <f t="shared" si="10"/>
        <v>1</v>
      </c>
      <c r="I14" s="4" t="str">
        <f>IF(RIGHT(B14,1)="M",IF(AND(H14=1,E14="RFS",D14=INDEX('Station Depth Averages'!$A$3:$B$84,MATCH(B14,'Station Depth Averages'!$A$3:$A$84,0),2)),1,""),IF(AND(H14=1,OR(D14="SYN",D14="SRF",D14="MID")),1,IF(AND(H14=1,OR(E15="FDn",E15="LDn")),1,IF(AND(H14=1,OR(E14="FDn",E14="LDn")),1,""))))</f>
        <v/>
      </c>
      <c r="J14" s="4" t="str">
        <f t="shared" si="11"/>
        <v/>
      </c>
      <c r="K14" s="4">
        <f t="shared" si="12"/>
        <v>1</v>
      </c>
      <c r="L14" s="4" t="str">
        <f t="shared" si="13"/>
        <v/>
      </c>
      <c r="M14" s="4" t="str">
        <f t="shared" si="14"/>
        <v/>
      </c>
      <c r="N14" s="4" t="str">
        <f t="shared" si="15"/>
        <v/>
      </c>
      <c r="O14" s="4" t="str">
        <f t="shared" si="16"/>
        <v/>
      </c>
      <c r="P14" s="4" t="str">
        <f t="shared" si="17"/>
        <v/>
      </c>
      <c r="Q14" s="4">
        <f t="shared" si="18"/>
        <v>2</v>
      </c>
      <c r="R14" s="4" t="str">
        <f t="shared" si="19"/>
        <v/>
      </c>
      <c r="S14" s="4" t="str">
        <f t="shared" si="20"/>
        <v/>
      </c>
      <c r="T14" s="4" t="str">
        <f t="shared" si="21"/>
        <v/>
      </c>
      <c r="U14">
        <f>IF(VLOOKUP(C14,'QA Table'!$Y$5:$Y$20,1,TRUE)=C14,1,0)</f>
        <v>0</v>
      </c>
      <c r="V14" t="str">
        <f t="shared" si="22"/>
        <v/>
      </c>
      <c r="W14" t="str">
        <f t="shared" si="23"/>
        <v/>
      </c>
      <c r="X14">
        <f t="shared" si="24"/>
        <v>4</v>
      </c>
      <c r="Y14">
        <f t="shared" si="25"/>
        <v>0</v>
      </c>
      <c r="AA14">
        <f t="shared" si="26"/>
        <v>1</v>
      </c>
    </row>
    <row r="15" spans="1:27" x14ac:dyDescent="0.2">
      <c r="A15" t="s">
        <v>0</v>
      </c>
      <c r="B15" t="s">
        <v>1</v>
      </c>
      <c r="C15" t="s">
        <v>1139</v>
      </c>
      <c r="D15" t="s">
        <v>9</v>
      </c>
      <c r="E15" t="s">
        <v>3</v>
      </c>
      <c r="F15" t="s">
        <v>1129</v>
      </c>
      <c r="G15" t="s">
        <v>1130</v>
      </c>
      <c r="H15" s="4" t="str">
        <f t="shared" si="10"/>
        <v/>
      </c>
      <c r="I15" s="4" t="str">
        <f>IF(RIGHT(B15,1)="M",IF(AND(H15=1,E15="RFS",D15=INDEX('Station Depth Averages'!$A$3:$B$84,MATCH(B15,'Station Depth Averages'!$A$3:$A$84,0),2)),1,""),IF(AND(H15=1,OR(D15="SYN",D15="SRF",D15="MID")),1,IF(AND(H15=1,OR(E16="FDn",E16="LDn")),1,IF(AND(H15=1,OR(E15="FDn",E15="LDn")),1,""))))</f>
        <v/>
      </c>
      <c r="J15" s="4" t="str">
        <f t="shared" si="11"/>
        <v/>
      </c>
      <c r="K15" s="4" t="str">
        <f t="shared" si="12"/>
        <v/>
      </c>
      <c r="L15" s="4" t="str">
        <f t="shared" si="13"/>
        <v/>
      </c>
      <c r="M15" s="4" t="str">
        <f t="shared" si="14"/>
        <v/>
      </c>
      <c r="N15" s="4" t="str">
        <f t="shared" si="15"/>
        <v/>
      </c>
      <c r="O15" s="4" t="str">
        <f t="shared" si="16"/>
        <v/>
      </c>
      <c r="P15" s="4" t="str">
        <f t="shared" si="17"/>
        <v/>
      </c>
      <c r="Q15" s="4" t="str">
        <f t="shared" si="18"/>
        <v/>
      </c>
      <c r="R15" s="4" t="str">
        <f t="shared" si="19"/>
        <v/>
      </c>
      <c r="S15" s="4" t="str">
        <f t="shared" si="20"/>
        <v/>
      </c>
      <c r="T15" s="4">
        <f t="shared" si="21"/>
        <v>1</v>
      </c>
      <c r="U15">
        <f>IF(VLOOKUP(C15,'QA Table'!$Y$5:$Y$20,1,TRUE)=C15,1,0)</f>
        <v>0</v>
      </c>
      <c r="V15" t="str">
        <f t="shared" si="22"/>
        <v/>
      </c>
      <c r="W15" t="str">
        <f t="shared" si="23"/>
        <v/>
      </c>
      <c r="X15" t="str">
        <f t="shared" si="24"/>
        <v/>
      </c>
      <c r="Y15">
        <f t="shared" si="25"/>
        <v>0</v>
      </c>
      <c r="AA15" t="str">
        <f t="shared" si="26"/>
        <v/>
      </c>
    </row>
    <row r="16" spans="1:27" x14ac:dyDescent="0.2">
      <c r="A16" t="s">
        <v>0</v>
      </c>
      <c r="B16" t="s">
        <v>1</v>
      </c>
      <c r="C16" t="s">
        <v>1140</v>
      </c>
      <c r="D16" t="s">
        <v>10</v>
      </c>
      <c r="E16" t="s">
        <v>3</v>
      </c>
      <c r="F16" t="s">
        <v>1129</v>
      </c>
      <c r="G16" t="s">
        <v>1130</v>
      </c>
      <c r="H16" s="4" t="str">
        <f t="shared" si="10"/>
        <v/>
      </c>
      <c r="I16" s="4" t="str">
        <f>IF(RIGHT(B16,1)="M",IF(AND(H16=1,E16="RFS",D16=INDEX('Station Depth Averages'!$A$3:$B$84,MATCH(B16,'Station Depth Averages'!$A$3:$A$84,0),2)),1,""),IF(AND(H16=1,OR(D16="SYN",D16="SRF",D16="MID")),1,IF(AND(H16=1,OR(E17="FDn",E17="LDn")),1,IF(AND(H16=1,OR(E16="FDn",E16="LDn")),1,""))))</f>
        <v/>
      </c>
      <c r="J16" s="4" t="str">
        <f t="shared" si="11"/>
        <v/>
      </c>
      <c r="K16" s="4" t="str">
        <f t="shared" si="12"/>
        <v/>
      </c>
      <c r="L16" s="4" t="str">
        <f t="shared" si="13"/>
        <v/>
      </c>
      <c r="M16" s="4" t="str">
        <f t="shared" si="14"/>
        <v/>
      </c>
      <c r="N16" s="4" t="str">
        <f t="shared" si="15"/>
        <v/>
      </c>
      <c r="O16" s="4" t="str">
        <f t="shared" si="16"/>
        <v/>
      </c>
      <c r="P16" s="4" t="str">
        <f t="shared" si="17"/>
        <v/>
      </c>
      <c r="Q16" s="4" t="str">
        <f t="shared" si="18"/>
        <v/>
      </c>
      <c r="R16" s="4" t="str">
        <f t="shared" si="19"/>
        <v/>
      </c>
      <c r="S16" s="4" t="str">
        <f t="shared" si="20"/>
        <v/>
      </c>
      <c r="T16" s="4">
        <f t="shared" si="21"/>
        <v>1</v>
      </c>
      <c r="U16">
        <f>IF(VLOOKUP(C16,'QA Table'!$Y$5:$Y$20,1,TRUE)=C16,1,0)</f>
        <v>0</v>
      </c>
      <c r="V16" t="str">
        <f t="shared" si="22"/>
        <v/>
      </c>
      <c r="W16" t="str">
        <f t="shared" si="23"/>
        <v/>
      </c>
      <c r="X16" t="str">
        <f t="shared" si="24"/>
        <v/>
      </c>
      <c r="Y16">
        <f t="shared" si="25"/>
        <v>0</v>
      </c>
      <c r="AA16" t="str">
        <f t="shared" si="26"/>
        <v/>
      </c>
    </row>
    <row r="17" spans="1:27" x14ac:dyDescent="0.2">
      <c r="A17" t="s">
        <v>0</v>
      </c>
      <c r="B17" t="s">
        <v>1</v>
      </c>
      <c r="C17" t="s">
        <v>1141</v>
      </c>
      <c r="D17" t="s">
        <v>1034</v>
      </c>
      <c r="E17" t="s">
        <v>3</v>
      </c>
      <c r="F17" t="s">
        <v>1129</v>
      </c>
      <c r="G17" t="s">
        <v>1130</v>
      </c>
      <c r="H17" s="4" t="str">
        <f t="shared" si="10"/>
        <v/>
      </c>
      <c r="I17" s="4" t="str">
        <f>IF(RIGHT(B17,1)="M",IF(AND(H17=1,E17="RFS",D17=INDEX('Station Depth Averages'!$A$3:$B$84,MATCH(B17,'Station Depth Averages'!$A$3:$A$84,0),2)),1,""),IF(AND(H17=1,OR(D17="SYN",D17="SRF",D17="MID")),1,IF(AND(H17=1,OR(E18="FDn",E18="LDn")),1,IF(AND(H17=1,OR(E17="FDn",E17="LDn")),1,""))))</f>
        <v/>
      </c>
      <c r="J17" s="4" t="str">
        <f t="shared" si="11"/>
        <v/>
      </c>
      <c r="K17" s="4" t="str">
        <f t="shared" si="12"/>
        <v/>
      </c>
      <c r="L17" s="4" t="str">
        <f t="shared" si="13"/>
        <v/>
      </c>
      <c r="M17" s="4" t="str">
        <f t="shared" si="14"/>
        <v/>
      </c>
      <c r="N17" s="4" t="str">
        <f t="shared" si="15"/>
        <v/>
      </c>
      <c r="O17" s="4" t="str">
        <f t="shared" si="16"/>
        <v/>
      </c>
      <c r="P17" s="4" t="str">
        <f t="shared" si="17"/>
        <v/>
      </c>
      <c r="Q17" s="4" t="str">
        <f t="shared" si="18"/>
        <v/>
      </c>
      <c r="R17" s="4" t="str">
        <f t="shared" si="19"/>
        <v/>
      </c>
      <c r="S17" s="4">
        <f t="shared" si="20"/>
        <v>1</v>
      </c>
      <c r="T17" s="4" t="str">
        <f t="shared" si="21"/>
        <v/>
      </c>
      <c r="U17">
        <f>IF(VLOOKUP(C17,'QA Table'!$Y$5:$Y$20,1,TRUE)=C17,1,0)</f>
        <v>0</v>
      </c>
      <c r="V17" t="str">
        <f t="shared" si="22"/>
        <v/>
      </c>
      <c r="W17" t="str">
        <f t="shared" si="23"/>
        <v/>
      </c>
      <c r="X17" t="str">
        <f t="shared" si="24"/>
        <v/>
      </c>
      <c r="Y17">
        <f t="shared" si="25"/>
        <v>0</v>
      </c>
      <c r="AA17" t="str">
        <f t="shared" si="26"/>
        <v/>
      </c>
    </row>
    <row r="18" spans="1:27" x14ac:dyDescent="0.2">
      <c r="A18" t="s">
        <v>0</v>
      </c>
      <c r="B18" t="s">
        <v>1</v>
      </c>
      <c r="C18" t="s">
        <v>1142</v>
      </c>
      <c r="D18" t="s">
        <v>1034</v>
      </c>
      <c r="E18" t="s">
        <v>19</v>
      </c>
      <c r="F18" t="s">
        <v>1129</v>
      </c>
      <c r="G18" t="s">
        <v>1130</v>
      </c>
      <c r="H18" s="4" t="str">
        <f t="shared" si="10"/>
        <v/>
      </c>
      <c r="I18" s="4" t="str">
        <f>IF(RIGHT(B18,1)="M",IF(AND(H18=1,E18="RFS",D18=INDEX('Station Depth Averages'!$A$3:$B$84,MATCH(B18,'Station Depth Averages'!$A$3:$A$84,0),2)),1,""),IF(AND(H18=1,OR(D18="SYN",D18="SRF",D18="MID")),1,IF(AND(H18=1,OR(E19="FDn",E19="LDn")),1,IF(AND(H18=1,OR(E18="FDn",E18="LDn")),1,""))))</f>
        <v/>
      </c>
      <c r="J18" s="4" t="str">
        <f t="shared" si="11"/>
        <v/>
      </c>
      <c r="K18" s="4" t="str">
        <f t="shared" si="12"/>
        <v/>
      </c>
      <c r="L18" s="4" t="str">
        <f t="shared" si="13"/>
        <v/>
      </c>
      <c r="M18" s="4" t="str">
        <f t="shared" si="14"/>
        <v/>
      </c>
      <c r="N18" s="4" t="str">
        <f t="shared" si="15"/>
        <v/>
      </c>
      <c r="O18" s="4" t="str">
        <f t="shared" si="16"/>
        <v/>
      </c>
      <c r="P18" s="4" t="str">
        <f t="shared" si="17"/>
        <v/>
      </c>
      <c r="Q18" s="4" t="str">
        <f t="shared" si="18"/>
        <v/>
      </c>
      <c r="R18" s="4" t="str">
        <f t="shared" si="19"/>
        <v/>
      </c>
      <c r="S18" s="4">
        <f t="shared" si="20"/>
        <v>1</v>
      </c>
      <c r="T18" s="4" t="str">
        <f t="shared" si="21"/>
        <v/>
      </c>
      <c r="U18">
        <f>IF(VLOOKUP(C18,'QA Table'!$Y$5:$Y$20,1,TRUE)=C18,1,0)</f>
        <v>0</v>
      </c>
      <c r="V18" t="str">
        <f t="shared" si="22"/>
        <v/>
      </c>
      <c r="W18" t="str">
        <f t="shared" si="23"/>
        <v/>
      </c>
      <c r="X18" t="str">
        <f t="shared" si="24"/>
        <v/>
      </c>
      <c r="Y18">
        <f t="shared" si="25"/>
        <v>0</v>
      </c>
      <c r="AA18" t="str">
        <f t="shared" si="26"/>
        <v/>
      </c>
    </row>
    <row r="19" spans="1:27" x14ac:dyDescent="0.2">
      <c r="A19" t="s">
        <v>0</v>
      </c>
      <c r="B19" t="s">
        <v>11</v>
      </c>
      <c r="C19" t="s">
        <v>1143</v>
      </c>
      <c r="D19" t="s">
        <v>14</v>
      </c>
      <c r="E19" t="s">
        <v>15</v>
      </c>
      <c r="F19" t="s">
        <v>1144</v>
      </c>
      <c r="G19" t="s">
        <v>1130</v>
      </c>
      <c r="H19" s="4">
        <f t="shared" si="10"/>
        <v>1</v>
      </c>
      <c r="I19" s="4">
        <f>IF(RIGHT(B19,1)="M",IF(AND(H19=1,E19="RFS",D19=INDEX('Station Depth Averages'!$A$3:$B$84,MATCH(B19,'Station Depth Averages'!$A$3:$A$84,0),2)),1,""),IF(AND(H19=1,OR(D19="SYN",D19="SRF",D19="MID")),1,IF(AND(H19=1,OR(E20="FDn",E20="LDn")),1,IF(AND(H19=1,OR(E19="FDn",E19="LDn")),1,""))))</f>
        <v>1</v>
      </c>
      <c r="J19" s="4">
        <f t="shared" si="11"/>
        <v>1</v>
      </c>
      <c r="K19" s="4" t="str">
        <f t="shared" si="12"/>
        <v/>
      </c>
      <c r="L19" s="4" t="str">
        <f t="shared" si="13"/>
        <v/>
      </c>
      <c r="M19" s="4" t="str">
        <f t="shared" si="14"/>
        <v/>
      </c>
      <c r="N19" s="4" t="str">
        <f t="shared" si="15"/>
        <v/>
      </c>
      <c r="O19" s="4" t="str">
        <f t="shared" si="16"/>
        <v/>
      </c>
      <c r="P19" s="4" t="str">
        <f t="shared" si="17"/>
        <v/>
      </c>
      <c r="Q19" s="4" t="str">
        <f t="shared" si="18"/>
        <v/>
      </c>
      <c r="R19" s="4" t="str">
        <f t="shared" si="19"/>
        <v/>
      </c>
      <c r="S19" s="4" t="str">
        <f t="shared" si="20"/>
        <v/>
      </c>
      <c r="T19" s="4" t="str">
        <f t="shared" si="21"/>
        <v/>
      </c>
      <c r="U19">
        <f>IF(VLOOKUP(C19,'QA Table'!$Y$5:$Y$20,1,TRUE)=C19,1,0)</f>
        <v>0</v>
      </c>
      <c r="V19" t="str">
        <f t="shared" si="22"/>
        <v/>
      </c>
      <c r="W19" t="str">
        <f t="shared" si="23"/>
        <v/>
      </c>
      <c r="X19">
        <f t="shared" si="24"/>
        <v>4</v>
      </c>
      <c r="Y19">
        <f t="shared" si="25"/>
        <v>0</v>
      </c>
      <c r="AA19">
        <f t="shared" si="26"/>
        <v>1</v>
      </c>
    </row>
    <row r="20" spans="1:27" x14ac:dyDescent="0.2">
      <c r="A20" t="s">
        <v>0</v>
      </c>
      <c r="B20" t="s">
        <v>11</v>
      </c>
      <c r="C20" t="s">
        <v>1097</v>
      </c>
      <c r="D20" t="s">
        <v>2</v>
      </c>
      <c r="E20" t="s">
        <v>3</v>
      </c>
      <c r="F20" t="s">
        <v>1144</v>
      </c>
      <c r="G20" t="s">
        <v>1130</v>
      </c>
      <c r="H20" s="4">
        <f t="shared" si="10"/>
        <v>1</v>
      </c>
      <c r="I20" s="4">
        <f>IF(RIGHT(B20,1)="M",IF(AND(H20=1,E20="RFS",D20=INDEX('Station Depth Averages'!$A$3:$B$84,MATCH(B20,'Station Depth Averages'!$A$3:$A$84,0),2)),1,""),IF(AND(H20=1,OR(D20="SYN",D20="SRF",D20="MID")),1,IF(AND(H20=1,OR(E21="FDn",E21="LDn")),1,IF(AND(H20=1,OR(E20="FDn",E20="LDn")),1,""))))</f>
        <v>1</v>
      </c>
      <c r="J20" s="4">
        <f t="shared" si="11"/>
        <v>1</v>
      </c>
      <c r="K20" s="4" t="str">
        <f t="shared" si="12"/>
        <v/>
      </c>
      <c r="L20" s="4" t="str">
        <f t="shared" si="13"/>
        <v/>
      </c>
      <c r="M20" s="4" t="str">
        <f t="shared" si="14"/>
        <v/>
      </c>
      <c r="N20" s="4" t="str">
        <f t="shared" si="15"/>
        <v/>
      </c>
      <c r="O20" s="4" t="str">
        <f t="shared" si="16"/>
        <v/>
      </c>
      <c r="P20" s="4" t="str">
        <f t="shared" si="17"/>
        <v/>
      </c>
      <c r="Q20" s="4" t="str">
        <f t="shared" si="18"/>
        <v/>
      </c>
      <c r="R20" s="4" t="str">
        <f t="shared" si="19"/>
        <v/>
      </c>
      <c r="S20" s="4" t="str">
        <f t="shared" si="20"/>
        <v/>
      </c>
      <c r="T20" s="4" t="str">
        <f t="shared" si="21"/>
        <v/>
      </c>
      <c r="U20">
        <f>IF(VLOOKUP(C20,'QA Table'!$Y$5:$Y$20,1,TRUE)=C20,1,0)</f>
        <v>0</v>
      </c>
      <c r="V20" t="str">
        <f t="shared" si="22"/>
        <v/>
      </c>
      <c r="W20" t="str">
        <f t="shared" si="23"/>
        <v/>
      </c>
      <c r="X20">
        <f t="shared" si="24"/>
        <v>4</v>
      </c>
      <c r="Y20">
        <f t="shared" si="25"/>
        <v>0</v>
      </c>
      <c r="AA20">
        <f t="shared" si="26"/>
        <v>1</v>
      </c>
    </row>
    <row r="21" spans="1:27" x14ac:dyDescent="0.2">
      <c r="A21" t="s">
        <v>0</v>
      </c>
      <c r="B21" t="s">
        <v>11</v>
      </c>
      <c r="C21" t="s">
        <v>1145</v>
      </c>
      <c r="D21" t="s">
        <v>1050</v>
      </c>
      <c r="E21" t="s">
        <v>3</v>
      </c>
      <c r="F21" t="s">
        <v>1144</v>
      </c>
      <c r="G21" t="s">
        <v>1130</v>
      </c>
      <c r="H21" s="4" t="str">
        <f t="shared" si="10"/>
        <v/>
      </c>
      <c r="I21" s="4" t="str">
        <f>IF(RIGHT(B21,1)="M",IF(AND(H21=1,E21="RFS",D21=INDEX('Station Depth Averages'!$A$3:$B$84,MATCH(B21,'Station Depth Averages'!$A$3:$A$84,0),2)),1,""),IF(AND(H21=1,OR(D21="SYN",D21="SRF",D21="MID")),1,IF(AND(H21=1,OR(E22="FDn",E22="LDn")),1,IF(AND(H21=1,OR(E21="FDn",E21="LDn")),1,""))))</f>
        <v/>
      </c>
      <c r="J21" s="4" t="str">
        <f t="shared" si="11"/>
        <v/>
      </c>
      <c r="K21" s="4" t="str">
        <f t="shared" si="12"/>
        <v/>
      </c>
      <c r="L21" s="4" t="str">
        <f t="shared" si="13"/>
        <v/>
      </c>
      <c r="M21" s="4" t="str">
        <f t="shared" si="14"/>
        <v/>
      </c>
      <c r="N21" s="4" t="str">
        <f t="shared" si="15"/>
        <v/>
      </c>
      <c r="O21" s="4" t="str">
        <f t="shared" si="16"/>
        <v/>
      </c>
      <c r="P21" s="4" t="str">
        <f t="shared" si="17"/>
        <v/>
      </c>
      <c r="Q21" s="4" t="str">
        <f t="shared" si="18"/>
        <v/>
      </c>
      <c r="R21" s="4" t="str">
        <f t="shared" si="19"/>
        <v/>
      </c>
      <c r="S21" s="4" t="str">
        <f t="shared" si="20"/>
        <v/>
      </c>
      <c r="T21" s="4" t="str">
        <f t="shared" si="21"/>
        <v/>
      </c>
      <c r="U21">
        <f>IF(VLOOKUP(C21,'QA Table'!$Y$5:$Y$20,1,TRUE)=C21,1,0)</f>
        <v>0</v>
      </c>
      <c r="V21" t="str">
        <f t="shared" si="22"/>
        <v/>
      </c>
      <c r="W21" t="str">
        <f t="shared" si="23"/>
        <v/>
      </c>
      <c r="X21" t="str">
        <f t="shared" si="24"/>
        <v/>
      </c>
      <c r="Y21">
        <f t="shared" si="25"/>
        <v>0</v>
      </c>
      <c r="AA21" t="str">
        <f t="shared" si="26"/>
        <v/>
      </c>
    </row>
    <row r="22" spans="1:27" x14ac:dyDescent="0.2">
      <c r="A22" t="s">
        <v>0</v>
      </c>
      <c r="B22" t="s">
        <v>11</v>
      </c>
      <c r="C22" t="s">
        <v>1146</v>
      </c>
      <c r="D22" t="s">
        <v>4</v>
      </c>
      <c r="E22" t="s">
        <v>3</v>
      </c>
      <c r="F22" t="s">
        <v>1144</v>
      </c>
      <c r="G22" t="s">
        <v>1130</v>
      </c>
      <c r="H22" s="4" t="str">
        <f t="shared" si="10"/>
        <v/>
      </c>
      <c r="I22" s="4" t="str">
        <f>IF(RIGHT(B22,1)="M",IF(AND(H22=1,E22="RFS",D22=INDEX('Station Depth Averages'!$A$3:$B$84,MATCH(B22,'Station Depth Averages'!$A$3:$A$84,0),2)),1,""),IF(AND(H22=1,OR(D22="SYN",D22="SRF",D22="MID")),1,IF(AND(H22=1,OR(E23="FDn",E23="LDn")),1,IF(AND(H22=1,OR(E22="FDn",E22="LDn")),1,""))))</f>
        <v/>
      </c>
      <c r="J22" s="4" t="str">
        <f t="shared" si="11"/>
        <v/>
      </c>
      <c r="K22" s="4" t="str">
        <f t="shared" si="12"/>
        <v/>
      </c>
      <c r="L22" s="4" t="str">
        <f t="shared" si="13"/>
        <v/>
      </c>
      <c r="M22" s="4" t="str">
        <f t="shared" si="14"/>
        <v/>
      </c>
      <c r="N22" s="4" t="str">
        <f t="shared" si="15"/>
        <v/>
      </c>
      <c r="O22" s="4" t="str">
        <f t="shared" si="16"/>
        <v/>
      </c>
      <c r="P22" s="4" t="str">
        <f t="shared" si="17"/>
        <v/>
      </c>
      <c r="Q22" s="4" t="str">
        <f t="shared" si="18"/>
        <v/>
      </c>
      <c r="R22" s="4" t="str">
        <f t="shared" si="19"/>
        <v/>
      </c>
      <c r="S22" s="4" t="str">
        <f t="shared" si="20"/>
        <v/>
      </c>
      <c r="T22" s="4" t="str">
        <f t="shared" si="21"/>
        <v/>
      </c>
      <c r="U22">
        <f>IF(VLOOKUP(C22,'QA Table'!$Y$5:$Y$20,1,TRUE)=C22,1,0)</f>
        <v>0</v>
      </c>
      <c r="V22" t="str">
        <f t="shared" si="22"/>
        <v/>
      </c>
      <c r="W22" t="str">
        <f t="shared" si="23"/>
        <v/>
      </c>
      <c r="X22" t="str">
        <f t="shared" si="24"/>
        <v/>
      </c>
      <c r="Y22">
        <f t="shared" si="25"/>
        <v>0</v>
      </c>
      <c r="AA22" t="str">
        <f t="shared" si="26"/>
        <v/>
      </c>
    </row>
    <row r="23" spans="1:27" x14ac:dyDescent="0.2">
      <c r="A23" t="s">
        <v>0</v>
      </c>
      <c r="B23" t="s">
        <v>11</v>
      </c>
      <c r="C23" t="s">
        <v>1147</v>
      </c>
      <c r="D23" t="s">
        <v>1051</v>
      </c>
      <c r="E23" t="s">
        <v>3</v>
      </c>
      <c r="F23" t="s">
        <v>1144</v>
      </c>
      <c r="G23" t="s">
        <v>1130</v>
      </c>
      <c r="H23" s="4" t="str">
        <f t="shared" si="10"/>
        <v/>
      </c>
      <c r="I23" s="4" t="str">
        <f>IF(RIGHT(B23,1)="M",IF(AND(H23=1,E23="RFS",D23=INDEX('Station Depth Averages'!$A$3:$B$84,MATCH(B23,'Station Depth Averages'!$A$3:$A$84,0),2)),1,""),IF(AND(H23=1,OR(D23="SYN",D23="SRF",D23="MID")),1,IF(AND(H23=1,OR(E24="FDn",E24="LDn")),1,IF(AND(H23=1,OR(E23="FDn",E23="LDn")),1,""))))</f>
        <v/>
      </c>
      <c r="J23" s="4" t="str">
        <f t="shared" si="11"/>
        <v/>
      </c>
      <c r="K23" s="4" t="str">
        <f t="shared" si="12"/>
        <v/>
      </c>
      <c r="L23" s="4" t="str">
        <f t="shared" si="13"/>
        <v/>
      </c>
      <c r="M23" s="4" t="str">
        <f t="shared" si="14"/>
        <v/>
      </c>
      <c r="N23" s="4" t="str">
        <f t="shared" si="15"/>
        <v/>
      </c>
      <c r="O23" s="4" t="str">
        <f t="shared" si="16"/>
        <v/>
      </c>
      <c r="P23" s="4" t="str">
        <f t="shared" si="17"/>
        <v/>
      </c>
      <c r="Q23" s="4" t="str">
        <f t="shared" si="18"/>
        <v/>
      </c>
      <c r="R23" s="4" t="str">
        <f t="shared" si="19"/>
        <v/>
      </c>
      <c r="S23" s="4" t="str">
        <f t="shared" si="20"/>
        <v/>
      </c>
      <c r="T23" s="4" t="str">
        <f t="shared" si="21"/>
        <v/>
      </c>
      <c r="U23">
        <f>IF(VLOOKUP(C23,'QA Table'!$Y$5:$Y$20,1,TRUE)=C23,1,0)</f>
        <v>0</v>
      </c>
      <c r="V23" t="str">
        <f t="shared" si="22"/>
        <v/>
      </c>
      <c r="W23" t="str">
        <f t="shared" si="23"/>
        <v/>
      </c>
      <c r="X23" t="str">
        <f t="shared" si="24"/>
        <v/>
      </c>
      <c r="Y23">
        <f t="shared" si="25"/>
        <v>0</v>
      </c>
      <c r="AA23" t="str">
        <f t="shared" si="26"/>
        <v/>
      </c>
    </row>
    <row r="24" spans="1:27" x14ac:dyDescent="0.2">
      <c r="A24" t="s">
        <v>0</v>
      </c>
      <c r="B24" t="s">
        <v>11</v>
      </c>
      <c r="C24" t="s">
        <v>1148</v>
      </c>
      <c r="D24" t="s">
        <v>119</v>
      </c>
      <c r="E24" t="s">
        <v>3</v>
      </c>
      <c r="F24" t="s">
        <v>1144</v>
      </c>
      <c r="G24" t="s">
        <v>1130</v>
      </c>
      <c r="H24" s="4">
        <f t="shared" si="10"/>
        <v>1</v>
      </c>
      <c r="I24" s="4">
        <f>IF(RIGHT(B24,1)="M",IF(AND(H24=1,E24="RFS",D24=INDEX('Station Depth Averages'!$A$3:$B$84,MATCH(B24,'Station Depth Averages'!$A$3:$A$84,0),2)),1,""),IF(AND(H24=1,OR(D24="SYN",D24="SRF",D24="MID")),1,IF(AND(H24=1,OR(E25="FDn",E25="LDn")),1,IF(AND(H24=1,OR(E24="FDn",E24="LDn")),1,""))))</f>
        <v>1</v>
      </c>
      <c r="J24" s="4">
        <f t="shared" si="11"/>
        <v>1</v>
      </c>
      <c r="K24" s="4" t="str">
        <f t="shared" si="12"/>
        <v/>
      </c>
      <c r="L24" s="4" t="str">
        <f t="shared" si="13"/>
        <v/>
      </c>
      <c r="M24" s="4" t="str">
        <f t="shared" si="14"/>
        <v/>
      </c>
      <c r="N24" s="4" t="str">
        <f t="shared" si="15"/>
        <v/>
      </c>
      <c r="O24" s="4" t="str">
        <f t="shared" si="16"/>
        <v/>
      </c>
      <c r="P24" s="4" t="str">
        <f t="shared" si="17"/>
        <v/>
      </c>
      <c r="Q24" s="4" t="str">
        <f t="shared" si="18"/>
        <v/>
      </c>
      <c r="R24" s="4" t="str">
        <f t="shared" si="19"/>
        <v/>
      </c>
      <c r="S24" s="4" t="str">
        <f t="shared" si="20"/>
        <v/>
      </c>
      <c r="T24" s="4" t="str">
        <f t="shared" si="21"/>
        <v/>
      </c>
      <c r="U24">
        <f>IF(VLOOKUP(C24,'QA Table'!$Y$5:$Y$20,1,TRUE)=C24,1,0)</f>
        <v>0</v>
      </c>
      <c r="V24" t="str">
        <f t="shared" si="22"/>
        <v/>
      </c>
      <c r="W24" t="str">
        <f t="shared" si="23"/>
        <v/>
      </c>
      <c r="X24">
        <f t="shared" si="24"/>
        <v>4</v>
      </c>
      <c r="Y24">
        <f t="shared" si="25"/>
        <v>0</v>
      </c>
      <c r="AA24">
        <f t="shared" si="26"/>
        <v>1</v>
      </c>
    </row>
    <row r="25" spans="1:27" x14ac:dyDescent="0.2">
      <c r="A25" t="s">
        <v>0</v>
      </c>
      <c r="B25" t="s">
        <v>11</v>
      </c>
      <c r="C25" t="s">
        <v>1149</v>
      </c>
      <c r="D25" t="s">
        <v>5</v>
      </c>
      <c r="E25" t="s">
        <v>3</v>
      </c>
      <c r="F25" t="s">
        <v>1144</v>
      </c>
      <c r="G25" t="s">
        <v>1130</v>
      </c>
      <c r="H25" s="4">
        <f t="shared" si="10"/>
        <v>1</v>
      </c>
      <c r="I25" s="4" t="str">
        <f>IF(RIGHT(B25,1)="M",IF(AND(H25=1,E25="RFS",D25=INDEX('Station Depth Averages'!$A$3:$B$84,MATCH(B25,'Station Depth Averages'!$A$3:$A$84,0),2)),1,""),IF(AND(H25=1,OR(D25="SYN",D25="SRF",D25="MID")),1,IF(AND(H25=1,OR(E26="FDn",E26="LDn")),1,IF(AND(H25=1,OR(E25="FDn",E25="LDn")),1,""))))</f>
        <v/>
      </c>
      <c r="J25" s="4">
        <f t="shared" si="11"/>
        <v>1</v>
      </c>
      <c r="K25" s="4" t="str">
        <f t="shared" si="12"/>
        <v/>
      </c>
      <c r="L25" s="4" t="str">
        <f t="shared" si="13"/>
        <v/>
      </c>
      <c r="M25" s="4" t="str">
        <f t="shared" si="14"/>
        <v/>
      </c>
      <c r="N25" s="4" t="str">
        <f t="shared" si="15"/>
        <v/>
      </c>
      <c r="O25" s="4" t="str">
        <f t="shared" si="16"/>
        <v/>
      </c>
      <c r="P25" s="4" t="str">
        <f t="shared" si="17"/>
        <v/>
      </c>
      <c r="Q25" s="4" t="str">
        <f t="shared" si="18"/>
        <v/>
      </c>
      <c r="R25" s="4" t="str">
        <f t="shared" si="19"/>
        <v/>
      </c>
      <c r="S25" s="4" t="str">
        <f t="shared" si="20"/>
        <v/>
      </c>
      <c r="T25" s="4" t="str">
        <f t="shared" si="21"/>
        <v/>
      </c>
      <c r="U25">
        <f>IF(VLOOKUP(C25,'QA Table'!$Y$5:$Y$20,1,TRUE)=C25,1,0)</f>
        <v>0</v>
      </c>
      <c r="V25" t="str">
        <f t="shared" si="22"/>
        <v/>
      </c>
      <c r="W25" t="str">
        <f t="shared" si="23"/>
        <v/>
      </c>
      <c r="X25">
        <f t="shared" si="24"/>
        <v>4</v>
      </c>
      <c r="Y25">
        <f t="shared" si="25"/>
        <v>0</v>
      </c>
      <c r="AA25">
        <f t="shared" si="26"/>
        <v>1</v>
      </c>
    </row>
    <row r="26" spans="1:27" x14ac:dyDescent="0.2">
      <c r="A26" t="s">
        <v>0</v>
      </c>
      <c r="B26" t="s">
        <v>11</v>
      </c>
      <c r="C26" t="s">
        <v>1150</v>
      </c>
      <c r="D26" t="s">
        <v>6</v>
      </c>
      <c r="E26" t="s">
        <v>3</v>
      </c>
      <c r="F26" t="s">
        <v>1144</v>
      </c>
      <c r="G26" t="s">
        <v>1130</v>
      </c>
      <c r="H26" s="4">
        <f t="shared" si="10"/>
        <v>1</v>
      </c>
      <c r="I26" s="4" t="str">
        <f>IF(RIGHT(B26,1)="M",IF(AND(H26=1,E26="RFS",D26=INDEX('Station Depth Averages'!$A$3:$B$84,MATCH(B26,'Station Depth Averages'!$A$3:$A$84,0),2)),1,""),IF(AND(H26=1,OR(D26="SYN",D26="SRF",D26="MID")),1,IF(AND(H26=1,OR(E27="FDn",E27="LDn")),1,IF(AND(H26=1,OR(E26="FDn",E26="LDn")),1,""))))</f>
        <v/>
      </c>
      <c r="J26" s="4">
        <f t="shared" si="11"/>
        <v>1</v>
      </c>
      <c r="K26" s="4" t="str">
        <f t="shared" si="12"/>
        <v/>
      </c>
      <c r="L26" s="4" t="str">
        <f t="shared" si="13"/>
        <v/>
      </c>
      <c r="M26" s="4" t="str">
        <f t="shared" si="14"/>
        <v/>
      </c>
      <c r="N26" s="4" t="str">
        <f t="shared" si="15"/>
        <v/>
      </c>
      <c r="O26" s="4" t="str">
        <f t="shared" si="16"/>
        <v/>
      </c>
      <c r="P26" s="4" t="str">
        <f t="shared" si="17"/>
        <v/>
      </c>
      <c r="Q26" s="4" t="str">
        <f t="shared" si="18"/>
        <v/>
      </c>
      <c r="R26" s="4" t="str">
        <f t="shared" si="19"/>
        <v/>
      </c>
      <c r="S26" s="4" t="str">
        <f t="shared" si="20"/>
        <v/>
      </c>
      <c r="T26" s="4" t="str">
        <f t="shared" si="21"/>
        <v/>
      </c>
      <c r="U26">
        <f>IF(VLOOKUP(C26,'QA Table'!$Y$5:$Y$20,1,TRUE)=C26,1,0)</f>
        <v>0</v>
      </c>
      <c r="V26" t="str">
        <f t="shared" si="22"/>
        <v/>
      </c>
      <c r="W26" t="str">
        <f t="shared" si="23"/>
        <v/>
      </c>
      <c r="X26">
        <f t="shared" si="24"/>
        <v>4</v>
      </c>
      <c r="Y26">
        <f t="shared" si="25"/>
        <v>0</v>
      </c>
      <c r="AA26">
        <f t="shared" si="26"/>
        <v>1</v>
      </c>
    </row>
    <row r="27" spans="1:27" x14ac:dyDescent="0.2">
      <c r="A27" t="s">
        <v>0</v>
      </c>
      <c r="B27" t="s">
        <v>11</v>
      </c>
      <c r="C27" t="s">
        <v>1151</v>
      </c>
      <c r="D27" t="s">
        <v>8</v>
      </c>
      <c r="E27" t="s">
        <v>3</v>
      </c>
      <c r="F27" t="s">
        <v>1144</v>
      </c>
      <c r="G27" t="s">
        <v>1130</v>
      </c>
      <c r="H27" s="4">
        <f t="shared" si="10"/>
        <v>1</v>
      </c>
      <c r="I27" s="4" t="str">
        <f>IF(RIGHT(B27,1)="M",IF(AND(H27=1,E27="RFS",D27=INDEX('Station Depth Averages'!$A$3:$B$84,MATCH(B27,'Station Depth Averages'!$A$3:$A$84,0),2)),1,""),IF(AND(H27=1,OR(D27="SYN",D27="SRF",D27="MID")),1,IF(AND(H27=1,OR(E28="FDn",E28="LDn")),1,IF(AND(H27=1,OR(E27="FDn",E27="LDn")),1,""))))</f>
        <v/>
      </c>
      <c r="J27" s="4" t="str">
        <f t="shared" si="11"/>
        <v/>
      </c>
      <c r="K27" s="4">
        <f t="shared" si="12"/>
        <v>1</v>
      </c>
      <c r="L27" s="4" t="str">
        <f t="shared" si="13"/>
        <v/>
      </c>
      <c r="M27" s="4" t="str">
        <f t="shared" si="14"/>
        <v/>
      </c>
      <c r="N27" s="4" t="str">
        <f t="shared" si="15"/>
        <v/>
      </c>
      <c r="O27" s="4" t="str">
        <f t="shared" si="16"/>
        <v/>
      </c>
      <c r="P27" s="4" t="str">
        <f t="shared" si="17"/>
        <v/>
      </c>
      <c r="Q27" s="4">
        <f t="shared" si="18"/>
        <v>2</v>
      </c>
      <c r="R27" s="4" t="str">
        <f t="shared" si="19"/>
        <v/>
      </c>
      <c r="S27" s="4" t="str">
        <f t="shared" si="20"/>
        <v/>
      </c>
      <c r="T27" s="4" t="str">
        <f t="shared" si="21"/>
        <v/>
      </c>
      <c r="U27">
        <f>IF(VLOOKUP(C27,'QA Table'!$Y$5:$Y$20,1,TRUE)=C27,1,0)</f>
        <v>0</v>
      </c>
      <c r="V27" t="str">
        <f t="shared" si="22"/>
        <v/>
      </c>
      <c r="W27" t="str">
        <f t="shared" si="23"/>
        <v/>
      </c>
      <c r="X27">
        <f t="shared" si="24"/>
        <v>4</v>
      </c>
      <c r="Y27">
        <f t="shared" si="25"/>
        <v>0</v>
      </c>
      <c r="AA27">
        <f t="shared" si="26"/>
        <v>1</v>
      </c>
    </row>
    <row r="28" spans="1:27" x14ac:dyDescent="0.2">
      <c r="A28" t="s">
        <v>0</v>
      </c>
      <c r="B28" t="s">
        <v>11</v>
      </c>
      <c r="C28" t="s">
        <v>1152</v>
      </c>
      <c r="D28" t="s">
        <v>9</v>
      </c>
      <c r="E28" t="s">
        <v>3</v>
      </c>
      <c r="F28" t="s">
        <v>1144</v>
      </c>
      <c r="G28" t="s">
        <v>1130</v>
      </c>
      <c r="H28" s="4" t="str">
        <f t="shared" si="10"/>
        <v/>
      </c>
      <c r="I28" s="4" t="str">
        <f>IF(RIGHT(B28,1)="M",IF(AND(H28=1,E28="RFS",D28=INDEX('Station Depth Averages'!$A$3:$B$84,MATCH(B28,'Station Depth Averages'!$A$3:$A$84,0),2)),1,""),IF(AND(H28=1,OR(D28="SYN",D28="SRF",D28="MID")),1,IF(AND(H28=1,OR(E29="FDn",E29="LDn")),1,IF(AND(H28=1,OR(E28="FDn",E28="LDn")),1,""))))</f>
        <v/>
      </c>
      <c r="J28" s="4" t="str">
        <f t="shared" si="11"/>
        <v/>
      </c>
      <c r="K28" s="4" t="str">
        <f t="shared" si="12"/>
        <v/>
      </c>
      <c r="L28" s="4" t="str">
        <f t="shared" si="13"/>
        <v/>
      </c>
      <c r="M28" s="4" t="str">
        <f t="shared" si="14"/>
        <v/>
      </c>
      <c r="N28" s="4" t="str">
        <f t="shared" si="15"/>
        <v/>
      </c>
      <c r="O28" s="4" t="str">
        <f t="shared" si="16"/>
        <v/>
      </c>
      <c r="P28" s="4" t="str">
        <f t="shared" si="17"/>
        <v/>
      </c>
      <c r="Q28" s="4" t="str">
        <f t="shared" si="18"/>
        <v/>
      </c>
      <c r="R28" s="4" t="str">
        <f t="shared" si="19"/>
        <v/>
      </c>
      <c r="S28" s="4" t="str">
        <f t="shared" si="20"/>
        <v/>
      </c>
      <c r="T28" s="4">
        <f t="shared" si="21"/>
        <v>1</v>
      </c>
      <c r="U28">
        <f>IF(VLOOKUP(C28,'QA Table'!$Y$5:$Y$20,1,TRUE)=C28,1,0)</f>
        <v>0</v>
      </c>
      <c r="V28" t="str">
        <f t="shared" si="22"/>
        <v/>
      </c>
      <c r="W28" t="str">
        <f t="shared" si="23"/>
        <v/>
      </c>
      <c r="X28" t="str">
        <f t="shared" si="24"/>
        <v/>
      </c>
      <c r="Y28">
        <f t="shared" si="25"/>
        <v>0</v>
      </c>
      <c r="AA28" t="str">
        <f t="shared" si="26"/>
        <v/>
      </c>
    </row>
    <row r="29" spans="1:27" x14ac:dyDescent="0.2">
      <c r="A29" t="s">
        <v>0</v>
      </c>
      <c r="B29" t="s">
        <v>11</v>
      </c>
      <c r="C29" t="s">
        <v>1153</v>
      </c>
      <c r="D29" t="s">
        <v>10</v>
      </c>
      <c r="E29" t="s">
        <v>3</v>
      </c>
      <c r="F29" t="s">
        <v>1144</v>
      </c>
      <c r="G29" t="s">
        <v>1130</v>
      </c>
      <c r="H29" s="4" t="str">
        <f t="shared" si="10"/>
        <v/>
      </c>
      <c r="I29" s="4" t="str">
        <f>IF(RIGHT(B29,1)="M",IF(AND(H29=1,E29="RFS",D29=INDEX('Station Depth Averages'!$A$3:$B$84,MATCH(B29,'Station Depth Averages'!$A$3:$A$84,0),2)),1,""),IF(AND(H29=1,OR(D29="SYN",D29="SRF",D29="MID")),1,IF(AND(H29=1,OR(E30="FDn",E30="LDn")),1,IF(AND(H29=1,OR(E29="FDn",E29="LDn")),1,""))))</f>
        <v/>
      </c>
      <c r="J29" s="4" t="str">
        <f t="shared" si="11"/>
        <v/>
      </c>
      <c r="K29" s="4" t="str">
        <f t="shared" si="12"/>
        <v/>
      </c>
      <c r="L29" s="4" t="str">
        <f t="shared" si="13"/>
        <v/>
      </c>
      <c r="M29" s="4" t="str">
        <f t="shared" si="14"/>
        <v/>
      </c>
      <c r="N29" s="4" t="str">
        <f t="shared" si="15"/>
        <v/>
      </c>
      <c r="O29" s="4" t="str">
        <f t="shared" si="16"/>
        <v/>
      </c>
      <c r="P29" s="4" t="str">
        <f t="shared" si="17"/>
        <v/>
      </c>
      <c r="Q29" s="4" t="str">
        <f t="shared" si="18"/>
        <v/>
      </c>
      <c r="R29" s="4" t="str">
        <f t="shared" si="19"/>
        <v/>
      </c>
      <c r="S29" s="4" t="str">
        <f t="shared" si="20"/>
        <v/>
      </c>
      <c r="T29" s="4">
        <f t="shared" si="21"/>
        <v>1</v>
      </c>
      <c r="U29">
        <f>IF(VLOOKUP(C29,'QA Table'!$Y$5:$Y$20,1,TRUE)=C29,1,0)</f>
        <v>0</v>
      </c>
      <c r="V29" t="str">
        <f t="shared" si="22"/>
        <v/>
      </c>
      <c r="W29" t="str">
        <f t="shared" si="23"/>
        <v/>
      </c>
      <c r="X29" t="str">
        <f t="shared" si="24"/>
        <v/>
      </c>
      <c r="Y29">
        <f t="shared" si="25"/>
        <v>0</v>
      </c>
      <c r="AA29" t="str">
        <f t="shared" si="26"/>
        <v/>
      </c>
    </row>
    <row r="30" spans="1:27" x14ac:dyDescent="0.2">
      <c r="A30" t="s">
        <v>0</v>
      </c>
      <c r="B30" t="s">
        <v>11</v>
      </c>
      <c r="C30" t="s">
        <v>1154</v>
      </c>
      <c r="D30" t="s">
        <v>1034</v>
      </c>
      <c r="E30" t="s">
        <v>3</v>
      </c>
      <c r="F30" t="s">
        <v>1144</v>
      </c>
      <c r="G30" t="s">
        <v>1130</v>
      </c>
      <c r="H30" s="4" t="str">
        <f t="shared" si="10"/>
        <v/>
      </c>
      <c r="I30" s="4" t="str">
        <f>IF(RIGHT(B30,1)="M",IF(AND(H30=1,E30="RFS",D30=INDEX('Station Depth Averages'!$A$3:$B$84,MATCH(B30,'Station Depth Averages'!$A$3:$A$84,0),2)),1,""),IF(AND(H30=1,OR(D30="SYN",D30="SRF",D30="MID")),1,IF(AND(H30=1,OR(E31="FDn",E31="LDn")),1,IF(AND(H30=1,OR(E30="FDn",E30="LDn")),1,""))))</f>
        <v/>
      </c>
      <c r="J30" s="4" t="str">
        <f t="shared" si="11"/>
        <v/>
      </c>
      <c r="K30" s="4" t="str">
        <f t="shared" si="12"/>
        <v/>
      </c>
      <c r="L30" s="4" t="str">
        <f t="shared" si="13"/>
        <v/>
      </c>
      <c r="M30" s="4" t="str">
        <f t="shared" si="14"/>
        <v/>
      </c>
      <c r="N30" s="4" t="str">
        <f t="shared" si="15"/>
        <v/>
      </c>
      <c r="O30" s="4" t="str">
        <f t="shared" si="16"/>
        <v/>
      </c>
      <c r="P30" s="4" t="str">
        <f t="shared" si="17"/>
        <v/>
      </c>
      <c r="Q30" s="4" t="str">
        <f t="shared" si="18"/>
        <v/>
      </c>
      <c r="R30" s="4" t="str">
        <f t="shared" si="19"/>
        <v/>
      </c>
      <c r="S30" s="4">
        <f t="shared" si="20"/>
        <v>1</v>
      </c>
      <c r="T30" s="4" t="str">
        <f t="shared" si="21"/>
        <v/>
      </c>
      <c r="U30">
        <f>IF(VLOOKUP(C30,'QA Table'!$Y$5:$Y$20,1,TRUE)=C30,1,0)</f>
        <v>0</v>
      </c>
      <c r="V30" t="str">
        <f t="shared" si="22"/>
        <v/>
      </c>
      <c r="W30" t="str">
        <f t="shared" si="23"/>
        <v/>
      </c>
      <c r="X30" t="str">
        <f t="shared" si="24"/>
        <v/>
      </c>
      <c r="Y30">
        <f t="shared" si="25"/>
        <v>0</v>
      </c>
      <c r="AA30" t="str">
        <f t="shared" si="26"/>
        <v/>
      </c>
    </row>
    <row r="31" spans="1:27" x14ac:dyDescent="0.2">
      <c r="A31" t="s">
        <v>0</v>
      </c>
      <c r="B31" t="s">
        <v>11</v>
      </c>
      <c r="C31" t="s">
        <v>1155</v>
      </c>
      <c r="D31" t="s">
        <v>1034</v>
      </c>
      <c r="E31" t="s">
        <v>19</v>
      </c>
      <c r="F31" t="s">
        <v>1144</v>
      </c>
      <c r="G31" t="s">
        <v>1130</v>
      </c>
      <c r="H31" s="4" t="str">
        <f t="shared" si="10"/>
        <v/>
      </c>
      <c r="I31" s="4" t="str">
        <f>IF(RIGHT(B31,1)="M",IF(AND(H31=1,E31="RFS",D31=INDEX('Station Depth Averages'!$A$3:$B$84,MATCH(B31,'Station Depth Averages'!$A$3:$A$84,0),2)),1,""),IF(AND(H31=1,OR(D31="SYN",D31="SRF",D31="MID")),1,IF(AND(H31=1,OR(E32="FDn",E32="LDn")),1,IF(AND(H31=1,OR(E31="FDn",E31="LDn")),1,""))))</f>
        <v/>
      </c>
      <c r="J31" s="4" t="str">
        <f t="shared" si="11"/>
        <v/>
      </c>
      <c r="K31" s="4" t="str">
        <f t="shared" si="12"/>
        <v/>
      </c>
      <c r="L31" s="4" t="str">
        <f t="shared" si="13"/>
        <v/>
      </c>
      <c r="M31" s="4" t="str">
        <f t="shared" si="14"/>
        <v/>
      </c>
      <c r="N31" s="4" t="str">
        <f t="shared" si="15"/>
        <v/>
      </c>
      <c r="O31" s="4" t="str">
        <f t="shared" si="16"/>
        <v/>
      </c>
      <c r="P31" s="4" t="str">
        <f t="shared" si="17"/>
        <v/>
      </c>
      <c r="Q31" s="4" t="str">
        <f t="shared" si="18"/>
        <v/>
      </c>
      <c r="R31" s="4" t="str">
        <f t="shared" si="19"/>
        <v/>
      </c>
      <c r="S31" s="4">
        <f t="shared" si="20"/>
        <v>1</v>
      </c>
      <c r="T31" s="4" t="str">
        <f t="shared" si="21"/>
        <v/>
      </c>
      <c r="U31">
        <f>IF(VLOOKUP(C31,'QA Table'!$Y$5:$Y$20,1,TRUE)=C31,1,0)</f>
        <v>0</v>
      </c>
      <c r="V31" t="str">
        <f t="shared" si="22"/>
        <v/>
      </c>
      <c r="W31" t="str">
        <f t="shared" si="23"/>
        <v/>
      </c>
      <c r="X31" t="str">
        <f t="shared" si="24"/>
        <v/>
      </c>
      <c r="Y31">
        <f t="shared" si="25"/>
        <v>0</v>
      </c>
      <c r="AA31" t="str">
        <f t="shared" si="26"/>
        <v/>
      </c>
    </row>
    <row r="32" spans="1:27" x14ac:dyDescent="0.2">
      <c r="A32" t="s">
        <v>0</v>
      </c>
      <c r="B32" t="s">
        <v>13</v>
      </c>
      <c r="C32" t="s">
        <v>1156</v>
      </c>
      <c r="D32" t="s">
        <v>2</v>
      </c>
      <c r="E32" t="s">
        <v>3</v>
      </c>
      <c r="F32" t="s">
        <v>1157</v>
      </c>
      <c r="G32" t="s">
        <v>1130</v>
      </c>
      <c r="H32" s="4">
        <f t="shared" si="10"/>
        <v>1</v>
      </c>
      <c r="I32" s="4" t="str">
        <f>IF(RIGHT(B32,1)="M",IF(AND(H32=1,E32="RFS",D32=INDEX('Station Depth Averages'!$A$3:$B$84,MATCH(B32,'Station Depth Averages'!$A$3:$A$84,0),2)),1,""),IF(AND(H32=1,OR(D32="SYN",D32="SRF",D32="MID")),1,IF(AND(H32=1,OR(E33="FDn",E33="LDn")),1,IF(AND(H32=1,OR(E32="FDn",E32="LDn")),1,""))))</f>
        <v/>
      </c>
      <c r="J32" s="4">
        <f t="shared" si="11"/>
        <v>1</v>
      </c>
      <c r="K32" s="4" t="str">
        <f t="shared" si="12"/>
        <v/>
      </c>
      <c r="L32" s="4" t="str">
        <f t="shared" si="13"/>
        <v/>
      </c>
      <c r="M32" s="4" t="str">
        <f t="shared" si="14"/>
        <v/>
      </c>
      <c r="N32" s="4" t="str">
        <f t="shared" si="15"/>
        <v/>
      </c>
      <c r="O32" s="4" t="str">
        <f t="shared" si="16"/>
        <v/>
      </c>
      <c r="P32" s="4" t="str">
        <f t="shared" si="17"/>
        <v/>
      </c>
      <c r="Q32" s="4" t="str">
        <f t="shared" si="18"/>
        <v/>
      </c>
      <c r="R32" s="4" t="str">
        <f t="shared" si="19"/>
        <v/>
      </c>
      <c r="S32" s="4" t="str">
        <f t="shared" si="20"/>
        <v/>
      </c>
      <c r="T32" s="4" t="str">
        <f t="shared" si="21"/>
        <v/>
      </c>
      <c r="U32">
        <f>IF(VLOOKUP(C32,'QA Table'!$Y$5:$Y$20,1,TRUE)=C32,1,0)</f>
        <v>0</v>
      </c>
      <c r="V32" t="str">
        <f t="shared" si="22"/>
        <v/>
      </c>
      <c r="W32" t="str">
        <f t="shared" si="23"/>
        <v/>
      </c>
      <c r="X32">
        <f t="shared" si="24"/>
        <v>4</v>
      </c>
      <c r="Y32">
        <f t="shared" si="25"/>
        <v>0</v>
      </c>
      <c r="AA32">
        <f t="shared" si="26"/>
        <v>1</v>
      </c>
    </row>
    <row r="33" spans="1:27" x14ac:dyDescent="0.2">
      <c r="A33" t="s">
        <v>0</v>
      </c>
      <c r="B33" t="s">
        <v>13</v>
      </c>
      <c r="C33" t="s">
        <v>1158</v>
      </c>
      <c r="D33" t="s">
        <v>1050</v>
      </c>
      <c r="E33" t="s">
        <v>3</v>
      </c>
      <c r="F33" t="s">
        <v>1157</v>
      </c>
      <c r="G33" t="s">
        <v>1130</v>
      </c>
      <c r="H33" s="4">
        <f t="shared" si="10"/>
        <v>1</v>
      </c>
      <c r="I33" s="4" t="str">
        <f>IF(RIGHT(B33,1)="M",IF(AND(H33=1,E33="RFS",D33=INDEX('Station Depth Averages'!$A$3:$B$84,MATCH(B33,'Station Depth Averages'!$A$3:$A$84,0),2)),1,""),IF(AND(H33=1,OR(D33="SYN",D33="SRF",D33="MID")),1,IF(AND(H33=1,OR(E34="FDn",E34="LDn")),1,IF(AND(H33=1,OR(E33="FDn",E33="LDn")),1,""))))</f>
        <v/>
      </c>
      <c r="J33" s="4">
        <f t="shared" si="11"/>
        <v>1</v>
      </c>
      <c r="K33" s="4" t="str">
        <f t="shared" si="12"/>
        <v/>
      </c>
      <c r="L33" s="4" t="str">
        <f t="shared" si="13"/>
        <v/>
      </c>
      <c r="M33" s="4" t="str">
        <f t="shared" si="14"/>
        <v/>
      </c>
      <c r="N33" s="4" t="str">
        <f t="shared" si="15"/>
        <v/>
      </c>
      <c r="O33" s="4" t="str">
        <f t="shared" si="16"/>
        <v/>
      </c>
      <c r="P33" s="4" t="str">
        <f t="shared" si="17"/>
        <v/>
      </c>
      <c r="Q33" s="4" t="str">
        <f t="shared" si="18"/>
        <v/>
      </c>
      <c r="R33" s="4" t="str">
        <f t="shared" si="19"/>
        <v/>
      </c>
      <c r="S33" s="4" t="str">
        <f t="shared" si="20"/>
        <v/>
      </c>
      <c r="T33" s="4" t="str">
        <f t="shared" si="21"/>
        <v/>
      </c>
      <c r="U33">
        <f>IF(VLOOKUP(C33,'QA Table'!$Y$5:$Y$20,1,TRUE)=C33,1,0)</f>
        <v>0</v>
      </c>
      <c r="V33" t="str">
        <f t="shared" si="22"/>
        <v/>
      </c>
      <c r="W33" t="str">
        <f t="shared" si="23"/>
        <v/>
      </c>
      <c r="X33">
        <f t="shared" si="24"/>
        <v>4</v>
      </c>
      <c r="Y33">
        <f t="shared" si="25"/>
        <v>0</v>
      </c>
      <c r="AA33">
        <f t="shared" si="26"/>
        <v>1</v>
      </c>
    </row>
    <row r="34" spans="1:27" x14ac:dyDescent="0.2">
      <c r="A34" t="s">
        <v>0</v>
      </c>
      <c r="B34" t="s">
        <v>13</v>
      </c>
      <c r="C34" t="s">
        <v>1159</v>
      </c>
      <c r="D34" t="s">
        <v>4</v>
      </c>
      <c r="E34" t="s">
        <v>3</v>
      </c>
      <c r="F34" t="s">
        <v>1157</v>
      </c>
      <c r="G34" t="s">
        <v>1130</v>
      </c>
      <c r="H34" s="4">
        <f t="shared" si="10"/>
        <v>1</v>
      </c>
      <c r="I34" s="4" t="str">
        <f>IF(RIGHT(B34,1)="M",IF(AND(H34=1,E34="RFS",D34=INDEX('Station Depth Averages'!$A$3:$B$84,MATCH(B34,'Station Depth Averages'!$A$3:$A$84,0),2)),1,""),IF(AND(H34=1,OR(D34="SYN",D34="SRF",D34="MID")),1,IF(AND(H34=1,OR(E35="FDn",E35="LDn")),1,IF(AND(H34=1,OR(E34="FDn",E34="LDn")),1,""))))</f>
        <v/>
      </c>
      <c r="J34" s="4">
        <f t="shared" si="11"/>
        <v>1</v>
      </c>
      <c r="K34" s="4" t="str">
        <f t="shared" si="12"/>
        <v/>
      </c>
      <c r="L34" s="4">
        <f t="shared" si="13"/>
        <v>1</v>
      </c>
      <c r="M34" s="4">
        <f t="shared" si="14"/>
        <v>1</v>
      </c>
      <c r="N34" s="4">
        <f t="shared" si="15"/>
        <v>1</v>
      </c>
      <c r="O34" s="4">
        <f t="shared" si="16"/>
        <v>1</v>
      </c>
      <c r="P34" s="4">
        <f t="shared" si="17"/>
        <v>1</v>
      </c>
      <c r="Q34" s="4" t="str">
        <f t="shared" si="18"/>
        <v/>
      </c>
      <c r="R34" s="4" t="str">
        <f t="shared" si="19"/>
        <v/>
      </c>
      <c r="S34" s="4" t="str">
        <f t="shared" si="20"/>
        <v/>
      </c>
      <c r="T34" s="4" t="str">
        <f t="shared" si="21"/>
        <v/>
      </c>
      <c r="U34">
        <f>IF(VLOOKUP(C34,'QA Table'!$Y$5:$Y$20,1,TRUE)=C34,1,0)</f>
        <v>0</v>
      </c>
      <c r="V34" t="str">
        <f t="shared" si="22"/>
        <v/>
      </c>
      <c r="W34" t="str">
        <f t="shared" si="23"/>
        <v/>
      </c>
      <c r="X34">
        <f t="shared" si="24"/>
        <v>4</v>
      </c>
      <c r="Y34">
        <f t="shared" si="25"/>
        <v>0</v>
      </c>
      <c r="AA34">
        <f t="shared" si="26"/>
        <v>1</v>
      </c>
    </row>
    <row r="35" spans="1:27" x14ac:dyDescent="0.2">
      <c r="A35" t="s">
        <v>0</v>
      </c>
      <c r="B35" t="s">
        <v>13</v>
      </c>
      <c r="C35" t="s">
        <v>1160</v>
      </c>
      <c r="D35" t="s">
        <v>1051</v>
      </c>
      <c r="E35" t="s">
        <v>3</v>
      </c>
      <c r="F35" t="s">
        <v>1157</v>
      </c>
      <c r="G35" t="s">
        <v>1130</v>
      </c>
      <c r="H35" s="4">
        <f t="shared" si="10"/>
        <v>1</v>
      </c>
      <c r="I35" s="4" t="str">
        <f>IF(RIGHT(B35,1)="M",IF(AND(H35=1,E35="RFS",D35=INDEX('Station Depth Averages'!$A$3:$B$84,MATCH(B35,'Station Depth Averages'!$A$3:$A$84,0),2)),1,""),IF(AND(H35=1,OR(D35="SYN",D35="SRF",D35="MID")),1,IF(AND(H35=1,OR(E36="FDn",E36="LDn")),1,IF(AND(H35=1,OR(E35="FDn",E35="LDn")),1,""))))</f>
        <v/>
      </c>
      <c r="J35" s="4">
        <f t="shared" si="11"/>
        <v>1</v>
      </c>
      <c r="K35" s="4" t="str">
        <f t="shared" si="12"/>
        <v/>
      </c>
      <c r="L35" s="4" t="str">
        <f t="shared" si="13"/>
        <v/>
      </c>
      <c r="M35" s="4" t="str">
        <f t="shared" si="14"/>
        <v/>
      </c>
      <c r="N35" s="4" t="str">
        <f t="shared" si="15"/>
        <v/>
      </c>
      <c r="O35" s="4" t="str">
        <f t="shared" si="16"/>
        <v/>
      </c>
      <c r="P35" s="4" t="str">
        <f t="shared" si="17"/>
        <v/>
      </c>
      <c r="Q35" s="4" t="str">
        <f t="shared" si="18"/>
        <v/>
      </c>
      <c r="R35" s="4" t="str">
        <f t="shared" si="19"/>
        <v/>
      </c>
      <c r="S35" s="4" t="str">
        <f t="shared" si="20"/>
        <v/>
      </c>
      <c r="T35" s="4" t="str">
        <f t="shared" si="21"/>
        <v/>
      </c>
      <c r="U35">
        <f>IF(VLOOKUP(C35,'QA Table'!$Y$5:$Y$20,1,TRUE)=C35,1,0)</f>
        <v>0</v>
      </c>
      <c r="V35" t="str">
        <f t="shared" si="22"/>
        <v/>
      </c>
      <c r="W35" t="str">
        <f t="shared" si="23"/>
        <v/>
      </c>
      <c r="X35">
        <f t="shared" si="24"/>
        <v>4</v>
      </c>
      <c r="Y35">
        <f t="shared" si="25"/>
        <v>0</v>
      </c>
      <c r="AA35">
        <f t="shared" si="26"/>
        <v>1</v>
      </c>
    </row>
    <row r="36" spans="1:27" x14ac:dyDescent="0.2">
      <c r="A36" t="s">
        <v>0</v>
      </c>
      <c r="B36" t="s">
        <v>13</v>
      </c>
      <c r="C36" t="s">
        <v>1161</v>
      </c>
      <c r="D36" t="s">
        <v>120</v>
      </c>
      <c r="E36" t="s">
        <v>3</v>
      </c>
      <c r="F36" t="s">
        <v>1157</v>
      </c>
      <c r="G36" t="s">
        <v>1130</v>
      </c>
      <c r="H36" s="4">
        <f t="shared" si="10"/>
        <v>1</v>
      </c>
      <c r="I36" s="4" t="str">
        <f>IF(RIGHT(B36,1)="M",IF(AND(H36=1,E36="RFS",D36=INDEX('Station Depth Averages'!$A$3:$B$84,MATCH(B36,'Station Depth Averages'!$A$3:$A$84,0),2)),1,""),IF(AND(H36=1,OR(D36="SYN",D36="SRF",D36="MID")),1,IF(AND(H36=1,OR(E37="FDn",E37="LDn")),1,IF(AND(H36=1,OR(E36="FDn",E36="LDn")),1,""))))</f>
        <v/>
      </c>
      <c r="J36" s="4">
        <f t="shared" si="11"/>
        <v>1</v>
      </c>
      <c r="K36" s="4" t="str">
        <f t="shared" si="12"/>
        <v/>
      </c>
      <c r="L36" s="4" t="str">
        <f t="shared" si="13"/>
        <v/>
      </c>
      <c r="M36" s="4" t="str">
        <f t="shared" si="14"/>
        <v/>
      </c>
      <c r="N36" s="4" t="str">
        <f t="shared" si="15"/>
        <v/>
      </c>
      <c r="O36" s="4" t="str">
        <f t="shared" si="16"/>
        <v/>
      </c>
      <c r="P36" s="4" t="str">
        <f t="shared" si="17"/>
        <v/>
      </c>
      <c r="Q36" s="4" t="str">
        <f t="shared" si="18"/>
        <v/>
      </c>
      <c r="R36" s="4" t="str">
        <f t="shared" si="19"/>
        <v/>
      </c>
      <c r="S36" s="4" t="str">
        <f t="shared" si="20"/>
        <v/>
      </c>
      <c r="T36" s="4" t="str">
        <f t="shared" si="21"/>
        <v/>
      </c>
      <c r="U36">
        <f>IF(VLOOKUP(C36,'QA Table'!$Y$5:$Y$20,1,TRUE)=C36,1,0)</f>
        <v>0</v>
      </c>
      <c r="V36" t="str">
        <f t="shared" si="22"/>
        <v/>
      </c>
      <c r="W36" t="str">
        <f t="shared" si="23"/>
        <v/>
      </c>
      <c r="X36">
        <f t="shared" si="24"/>
        <v>4</v>
      </c>
      <c r="Y36">
        <f t="shared" si="25"/>
        <v>0</v>
      </c>
      <c r="AA36">
        <f t="shared" si="26"/>
        <v>1</v>
      </c>
    </row>
    <row r="37" spans="1:27" x14ac:dyDescent="0.2">
      <c r="A37" t="s">
        <v>0</v>
      </c>
      <c r="B37" t="s">
        <v>13</v>
      </c>
      <c r="C37" t="s">
        <v>1162</v>
      </c>
      <c r="D37" t="s">
        <v>16</v>
      </c>
      <c r="E37" t="s">
        <v>3</v>
      </c>
      <c r="F37" t="s">
        <v>1157</v>
      </c>
      <c r="G37" t="s">
        <v>1130</v>
      </c>
      <c r="H37" s="4">
        <f t="shared" si="10"/>
        <v>1</v>
      </c>
      <c r="I37" s="4" t="str">
        <f>IF(RIGHT(B37,1)="M",IF(AND(H37=1,E37="RFS",D37=INDEX('Station Depth Averages'!$A$3:$B$84,MATCH(B37,'Station Depth Averages'!$A$3:$A$84,0),2)),1,""),IF(AND(H37=1,OR(D37="SYN",D37="SRF",D37="MID")),1,IF(AND(H37=1,OR(E38="FDn",E38="LDn")),1,IF(AND(H37=1,OR(E37="FDn",E37="LDn")),1,""))))</f>
        <v/>
      </c>
      <c r="J37" s="4">
        <f t="shared" si="11"/>
        <v>1</v>
      </c>
      <c r="K37" s="4" t="str">
        <f t="shared" si="12"/>
        <v/>
      </c>
      <c r="L37" s="4" t="str">
        <f t="shared" si="13"/>
        <v/>
      </c>
      <c r="M37" s="4" t="str">
        <f t="shared" si="14"/>
        <v/>
      </c>
      <c r="N37" s="4" t="str">
        <f t="shared" si="15"/>
        <v/>
      </c>
      <c r="O37" s="4" t="str">
        <f t="shared" si="16"/>
        <v/>
      </c>
      <c r="P37" s="4" t="str">
        <f t="shared" si="17"/>
        <v/>
      </c>
      <c r="Q37" s="4" t="str">
        <f t="shared" si="18"/>
        <v/>
      </c>
      <c r="R37" s="4" t="str">
        <f t="shared" si="19"/>
        <v/>
      </c>
      <c r="S37" s="4" t="str">
        <f t="shared" si="20"/>
        <v/>
      </c>
      <c r="T37" s="4" t="str">
        <f t="shared" si="21"/>
        <v/>
      </c>
      <c r="U37">
        <f>IF(VLOOKUP(C37,'QA Table'!$Y$5:$Y$20,1,TRUE)=C37,1,0)</f>
        <v>0</v>
      </c>
      <c r="V37" t="str">
        <f t="shared" si="22"/>
        <v/>
      </c>
      <c r="W37" t="str">
        <f t="shared" si="23"/>
        <v/>
      </c>
      <c r="X37">
        <f t="shared" si="24"/>
        <v>4</v>
      </c>
      <c r="Y37">
        <f t="shared" si="25"/>
        <v>0</v>
      </c>
      <c r="AA37">
        <f t="shared" si="26"/>
        <v>1</v>
      </c>
    </row>
    <row r="38" spans="1:27" x14ac:dyDescent="0.2">
      <c r="A38" t="s">
        <v>0</v>
      </c>
      <c r="B38" t="s">
        <v>13</v>
      </c>
      <c r="C38" t="s">
        <v>1100</v>
      </c>
      <c r="D38" t="s">
        <v>17</v>
      </c>
      <c r="E38" t="s">
        <v>3</v>
      </c>
      <c r="F38" t="s">
        <v>1157</v>
      </c>
      <c r="G38" t="s">
        <v>1130</v>
      </c>
      <c r="H38" s="4">
        <f t="shared" si="10"/>
        <v>1</v>
      </c>
      <c r="I38" s="4" t="str">
        <f>IF(RIGHT(B38,1)="M",IF(AND(H38=1,E38="RFS",D38=INDEX('Station Depth Averages'!$A$3:$B$84,MATCH(B38,'Station Depth Averages'!$A$3:$A$84,0),2)),1,""),IF(AND(H38=1,OR(D38="SYN",D38="SRF",D38="MID")),1,IF(AND(H38=1,OR(E39="FDn",E39="LDn")),1,IF(AND(H38=1,OR(E38="FDn",E38="LDn")),1,""))))</f>
        <v/>
      </c>
      <c r="J38" s="4">
        <f t="shared" si="11"/>
        <v>1</v>
      </c>
      <c r="K38" s="4" t="str">
        <f t="shared" si="12"/>
        <v/>
      </c>
      <c r="L38" s="4" t="str">
        <f t="shared" si="13"/>
        <v/>
      </c>
      <c r="M38" s="4" t="str">
        <f t="shared" si="14"/>
        <v/>
      </c>
      <c r="N38" s="4" t="str">
        <f t="shared" si="15"/>
        <v/>
      </c>
      <c r="O38" s="4" t="str">
        <f t="shared" si="16"/>
        <v/>
      </c>
      <c r="P38" s="4" t="str">
        <f t="shared" si="17"/>
        <v/>
      </c>
      <c r="Q38" s="4" t="str">
        <f t="shared" si="18"/>
        <v/>
      </c>
      <c r="R38" s="4" t="str">
        <f t="shared" si="19"/>
        <v/>
      </c>
      <c r="S38" s="4" t="str">
        <f t="shared" si="20"/>
        <v/>
      </c>
      <c r="T38" s="4" t="str">
        <f t="shared" si="21"/>
        <v/>
      </c>
      <c r="U38">
        <f>IF(VLOOKUP(C38,'QA Table'!$Y$5:$Y$20,1,TRUE)=C38,1,0)</f>
        <v>1</v>
      </c>
      <c r="V38" t="str">
        <f t="shared" si="22"/>
        <v/>
      </c>
      <c r="W38" t="str">
        <f t="shared" si="23"/>
        <v/>
      </c>
      <c r="X38">
        <f t="shared" si="24"/>
        <v>4</v>
      </c>
      <c r="Y38">
        <f t="shared" si="25"/>
        <v>1</v>
      </c>
      <c r="AA38">
        <f t="shared" si="26"/>
        <v>1</v>
      </c>
    </row>
    <row r="39" spans="1:27" x14ac:dyDescent="0.2">
      <c r="A39" t="s">
        <v>0</v>
      </c>
      <c r="B39" t="s">
        <v>13</v>
      </c>
      <c r="C39" t="s">
        <v>1163</v>
      </c>
      <c r="D39" t="s">
        <v>18</v>
      </c>
      <c r="E39" t="s">
        <v>3</v>
      </c>
      <c r="F39" t="s">
        <v>1157</v>
      </c>
      <c r="G39" t="s">
        <v>1130</v>
      </c>
      <c r="H39" s="4">
        <f>IF(OR(RIGHT(C39,1)="A",RIGHT(C39,1)="B",RIGHT(C39,1)="C",D39="Benthos",D39="Sediment",D39="Sediments",D39="D100",D39="D20",D39="Mysis",E39="FD1",E39="LD1"),"",1)</f>
        <v>1</v>
      </c>
      <c r="I39" s="4">
        <f>IF(RIGHT(B39,1)="M",IF(AND(H39=1,E39="RFS",D39=INDEX('Station Depth Averages'!$A$3:$B$84,MATCH(B39,'Station Depth Averages'!$A$3:$A$84,0),2)),1,""),IF(AND(H39=1,OR(D39="SYN",D39="SRF",D39="MID")),1,IF(AND(H39=1,OR(E40="FDn",E40="LDn")),1,IF(AND(H39=1,OR(E39="FDn",E39="LDn")),1,""))))</f>
        <v>1</v>
      </c>
      <c r="J39" s="4">
        <f t="shared" si="11"/>
        <v>1</v>
      </c>
      <c r="K39" s="4" t="str">
        <f t="shared" si="12"/>
        <v/>
      </c>
      <c r="L39" s="4" t="str">
        <f t="shared" si="13"/>
        <v/>
      </c>
      <c r="M39" s="4" t="str">
        <f t="shared" si="14"/>
        <v/>
      </c>
      <c r="N39" s="4" t="str">
        <f t="shared" si="15"/>
        <v/>
      </c>
      <c r="O39" s="4" t="str">
        <f t="shared" si="16"/>
        <v/>
      </c>
      <c r="P39" s="4" t="str">
        <f t="shared" si="17"/>
        <v/>
      </c>
      <c r="Q39" s="4" t="str">
        <f t="shared" si="18"/>
        <v/>
      </c>
      <c r="R39" s="4" t="str">
        <f t="shared" si="19"/>
        <v/>
      </c>
      <c r="S39" s="4" t="str">
        <f t="shared" si="20"/>
        <v/>
      </c>
      <c r="T39" s="4" t="str">
        <f t="shared" si="21"/>
        <v/>
      </c>
      <c r="U39">
        <f>IF(VLOOKUP(C39,'QA Table'!$Y$5:$Y$20,1,TRUE)=C39,1,0)</f>
        <v>0</v>
      </c>
      <c r="V39" t="str">
        <f t="shared" si="22"/>
        <v/>
      </c>
      <c r="W39" t="str">
        <f t="shared" si="23"/>
        <v/>
      </c>
      <c r="X39">
        <f t="shared" si="24"/>
        <v>4</v>
      </c>
      <c r="Y39">
        <f t="shared" si="25"/>
        <v>0</v>
      </c>
      <c r="AA39">
        <f t="shared" si="26"/>
        <v>1</v>
      </c>
    </row>
    <row r="40" spans="1:27" x14ac:dyDescent="0.2">
      <c r="A40" t="s">
        <v>0</v>
      </c>
      <c r="B40" t="s">
        <v>13</v>
      </c>
      <c r="C40" t="s">
        <v>1164</v>
      </c>
      <c r="D40" t="s">
        <v>5</v>
      </c>
      <c r="E40" t="s">
        <v>3</v>
      </c>
      <c r="F40" t="s">
        <v>1157</v>
      </c>
      <c r="G40" t="s">
        <v>1130</v>
      </c>
      <c r="H40" s="4">
        <f t="shared" si="10"/>
        <v>1</v>
      </c>
      <c r="I40" s="4" t="str">
        <f>IF(RIGHT(B40,1)="M",IF(AND(H40=1,E40="RFS",D40=INDEX('Station Depth Averages'!$A$3:$B$84,MATCH(B40,'Station Depth Averages'!$A$3:$A$84,0),2)),1,""),IF(AND(H40=1,OR(D40="SYN",D40="SRF",D40="MID")),1,IF(AND(H40=1,OR(E41="FDn",E41="LDn")),1,IF(AND(H40=1,OR(E40="FDn",E40="LDn")),1,""))))</f>
        <v/>
      </c>
      <c r="J40" s="4">
        <f t="shared" si="11"/>
        <v>1</v>
      </c>
      <c r="K40" s="4" t="str">
        <f t="shared" si="12"/>
        <v/>
      </c>
      <c r="L40" s="4" t="str">
        <f t="shared" si="13"/>
        <v/>
      </c>
      <c r="M40" s="4" t="str">
        <f t="shared" si="14"/>
        <v/>
      </c>
      <c r="N40" s="4" t="str">
        <f t="shared" si="15"/>
        <v/>
      </c>
      <c r="O40" s="4" t="str">
        <f t="shared" si="16"/>
        <v/>
      </c>
      <c r="P40" s="4" t="str">
        <f t="shared" si="17"/>
        <v/>
      </c>
      <c r="Q40" s="4" t="str">
        <f t="shared" si="18"/>
        <v/>
      </c>
      <c r="R40" s="4" t="str">
        <f t="shared" si="19"/>
        <v/>
      </c>
      <c r="S40" s="4" t="str">
        <f t="shared" si="20"/>
        <v/>
      </c>
      <c r="T40" s="4" t="str">
        <f t="shared" si="21"/>
        <v/>
      </c>
      <c r="U40">
        <f>IF(VLOOKUP(C40,'QA Table'!$Y$5:$Y$20,1,TRUE)=C40,1,0)</f>
        <v>0</v>
      </c>
      <c r="V40" t="str">
        <f t="shared" si="22"/>
        <v/>
      </c>
      <c r="W40" t="str">
        <f t="shared" si="23"/>
        <v/>
      </c>
      <c r="X40">
        <f t="shared" si="24"/>
        <v>4</v>
      </c>
      <c r="Y40">
        <f t="shared" si="25"/>
        <v>0</v>
      </c>
      <c r="AA40">
        <f t="shared" si="26"/>
        <v>1</v>
      </c>
    </row>
    <row r="41" spans="1:27" x14ac:dyDescent="0.2">
      <c r="A41" t="s">
        <v>0</v>
      </c>
      <c r="B41" t="s">
        <v>13</v>
      </c>
      <c r="C41" t="s">
        <v>1165</v>
      </c>
      <c r="D41" t="s">
        <v>6</v>
      </c>
      <c r="E41" t="s">
        <v>3</v>
      </c>
      <c r="F41" t="s">
        <v>1157</v>
      </c>
      <c r="G41" t="s">
        <v>1130</v>
      </c>
      <c r="H41" s="4">
        <f t="shared" si="10"/>
        <v>1</v>
      </c>
      <c r="I41" s="4" t="str">
        <f>IF(RIGHT(B41,1)="M",IF(AND(H41=1,E41="RFS",D41=INDEX('Station Depth Averages'!$A$3:$B$84,MATCH(B41,'Station Depth Averages'!$A$3:$A$84,0),2)),1,""),IF(AND(H41=1,OR(D41="SYN",D41="SRF",D41="MID")),1,IF(AND(H41=1,OR(E42="FDn",E42="LDn")),1,IF(AND(H41=1,OR(E41="FDn",E41="LDn")),1,""))))</f>
        <v/>
      </c>
      <c r="J41" s="4">
        <f t="shared" si="11"/>
        <v>1</v>
      </c>
      <c r="K41" s="4" t="str">
        <f t="shared" si="12"/>
        <v/>
      </c>
      <c r="L41" s="4" t="str">
        <f t="shared" si="13"/>
        <v/>
      </c>
      <c r="M41" s="4" t="str">
        <f t="shared" si="14"/>
        <v/>
      </c>
      <c r="N41" s="4" t="str">
        <f t="shared" si="15"/>
        <v/>
      </c>
      <c r="O41" s="4" t="str">
        <f t="shared" si="16"/>
        <v/>
      </c>
      <c r="P41" s="4" t="str">
        <f t="shared" si="17"/>
        <v/>
      </c>
      <c r="Q41" s="4" t="str">
        <f t="shared" si="18"/>
        <v/>
      </c>
      <c r="R41" s="4" t="str">
        <f t="shared" si="19"/>
        <v/>
      </c>
      <c r="S41" s="4" t="str">
        <f t="shared" si="20"/>
        <v/>
      </c>
      <c r="T41" s="4" t="str">
        <f t="shared" si="21"/>
        <v/>
      </c>
      <c r="U41">
        <f>IF(VLOOKUP(C41,'QA Table'!$Y$5:$Y$20,1,TRUE)=C41,1,0)</f>
        <v>0</v>
      </c>
      <c r="V41" t="str">
        <f t="shared" si="22"/>
        <v/>
      </c>
      <c r="W41" t="str">
        <f t="shared" si="23"/>
        <v/>
      </c>
      <c r="X41">
        <f t="shared" si="24"/>
        <v>4</v>
      </c>
      <c r="Y41">
        <f t="shared" si="25"/>
        <v>0</v>
      </c>
      <c r="AA41">
        <f t="shared" si="26"/>
        <v>1</v>
      </c>
    </row>
    <row r="42" spans="1:27" x14ac:dyDescent="0.2">
      <c r="A42" t="s">
        <v>0</v>
      </c>
      <c r="B42" t="s">
        <v>13</v>
      </c>
      <c r="C42" t="s">
        <v>1166</v>
      </c>
      <c r="D42" t="s">
        <v>8</v>
      </c>
      <c r="E42" t="s">
        <v>3</v>
      </c>
      <c r="F42" t="s">
        <v>1157</v>
      </c>
      <c r="G42" t="s">
        <v>1130</v>
      </c>
      <c r="H42" s="4">
        <f t="shared" si="10"/>
        <v>1</v>
      </c>
      <c r="I42" s="4" t="str">
        <f>IF(RIGHT(B42,1)="M",IF(AND(H42=1,E42="RFS",D42=INDEX('Station Depth Averages'!$A$3:$B$84,MATCH(B42,'Station Depth Averages'!$A$3:$A$84,0),2)),1,""),IF(AND(H42=1,OR(D42="SYN",D42="SRF",D42="MID")),1,IF(AND(H42=1,OR(E43="FDn",E43="LDn")),1,IF(AND(H42=1,OR(E42="FDn",E42="LDn")),1,""))))</f>
        <v/>
      </c>
      <c r="J42" s="4" t="str">
        <f t="shared" si="11"/>
        <v/>
      </c>
      <c r="K42" s="4">
        <f t="shared" si="12"/>
        <v>1</v>
      </c>
      <c r="L42" s="4" t="str">
        <f t="shared" si="13"/>
        <v/>
      </c>
      <c r="M42" s="4" t="str">
        <f t="shared" si="14"/>
        <v/>
      </c>
      <c r="N42" s="4" t="str">
        <f t="shared" si="15"/>
        <v/>
      </c>
      <c r="O42" s="4" t="str">
        <f t="shared" si="16"/>
        <v/>
      </c>
      <c r="P42" s="4" t="str">
        <f t="shared" si="17"/>
        <v/>
      </c>
      <c r="Q42" s="4">
        <f t="shared" si="18"/>
        <v>2</v>
      </c>
      <c r="R42" s="4" t="str">
        <f t="shared" si="19"/>
        <v/>
      </c>
      <c r="S42" s="4" t="str">
        <f t="shared" si="20"/>
        <v/>
      </c>
      <c r="T42" s="4" t="str">
        <f t="shared" si="21"/>
        <v/>
      </c>
      <c r="U42">
        <f>IF(VLOOKUP(C42,'QA Table'!$Y$5:$Y$20,1,TRUE)=C42,1,0)</f>
        <v>0</v>
      </c>
      <c r="V42" t="str">
        <f t="shared" si="22"/>
        <v/>
      </c>
      <c r="W42" t="str">
        <f t="shared" si="23"/>
        <v/>
      </c>
      <c r="X42">
        <f t="shared" si="24"/>
        <v>4</v>
      </c>
      <c r="Y42">
        <f t="shared" si="25"/>
        <v>0</v>
      </c>
      <c r="AA42">
        <f t="shared" si="26"/>
        <v>1</v>
      </c>
    </row>
    <row r="43" spans="1:27" x14ac:dyDescent="0.2">
      <c r="A43" t="s">
        <v>0</v>
      </c>
      <c r="B43" t="s">
        <v>13</v>
      </c>
      <c r="C43" t="s">
        <v>1167</v>
      </c>
      <c r="D43" t="s">
        <v>9</v>
      </c>
      <c r="E43" t="s">
        <v>3</v>
      </c>
      <c r="F43" t="s">
        <v>1157</v>
      </c>
      <c r="G43" t="s">
        <v>1130</v>
      </c>
      <c r="H43" s="4" t="str">
        <f t="shared" si="10"/>
        <v/>
      </c>
      <c r="I43" s="4" t="str">
        <f>IF(RIGHT(B43,1)="M",IF(AND(H43=1,E43="RFS",D43=INDEX('Station Depth Averages'!$A$3:$B$84,MATCH(B43,'Station Depth Averages'!$A$3:$A$84,0),2)),1,""),IF(AND(H43=1,OR(D43="SYN",D43="SRF",D43="MID")),1,IF(AND(H43=1,OR(E44="FDn",E44="LDn")),1,IF(AND(H43=1,OR(E43="FDn",E43="LDn")),1,""))))</f>
        <v/>
      </c>
      <c r="J43" s="4" t="str">
        <f t="shared" si="11"/>
        <v/>
      </c>
      <c r="K43" s="4" t="str">
        <f t="shared" si="12"/>
        <v/>
      </c>
      <c r="L43" s="4" t="str">
        <f t="shared" si="13"/>
        <v/>
      </c>
      <c r="M43" s="4" t="str">
        <f t="shared" si="14"/>
        <v/>
      </c>
      <c r="N43" s="4" t="str">
        <f t="shared" si="15"/>
        <v/>
      </c>
      <c r="O43" s="4" t="str">
        <f t="shared" si="16"/>
        <v/>
      </c>
      <c r="P43" s="4" t="str">
        <f t="shared" si="17"/>
        <v/>
      </c>
      <c r="Q43" s="4" t="str">
        <f t="shared" si="18"/>
        <v/>
      </c>
      <c r="R43" s="4" t="str">
        <f t="shared" si="19"/>
        <v/>
      </c>
      <c r="S43" s="4" t="str">
        <f t="shared" si="20"/>
        <v/>
      </c>
      <c r="T43" s="4">
        <f t="shared" si="21"/>
        <v>1</v>
      </c>
      <c r="U43">
        <f>IF(VLOOKUP(C43,'QA Table'!$Y$5:$Y$20,1,TRUE)=C43,1,0)</f>
        <v>0</v>
      </c>
      <c r="V43" t="str">
        <f t="shared" si="22"/>
        <v/>
      </c>
      <c r="W43" t="str">
        <f t="shared" si="23"/>
        <v/>
      </c>
      <c r="X43" t="str">
        <f t="shared" si="24"/>
        <v/>
      </c>
      <c r="Y43">
        <f t="shared" si="25"/>
        <v>0</v>
      </c>
      <c r="AA43" t="str">
        <f t="shared" si="26"/>
        <v/>
      </c>
    </row>
    <row r="44" spans="1:27" x14ac:dyDescent="0.2">
      <c r="A44" t="s">
        <v>0</v>
      </c>
      <c r="B44" t="s">
        <v>13</v>
      </c>
      <c r="C44" t="s">
        <v>1168</v>
      </c>
      <c r="D44" t="s">
        <v>10</v>
      </c>
      <c r="E44" t="s">
        <v>3</v>
      </c>
      <c r="F44" t="s">
        <v>1157</v>
      </c>
      <c r="G44" t="s">
        <v>1130</v>
      </c>
      <c r="H44" s="4" t="str">
        <f t="shared" si="10"/>
        <v/>
      </c>
      <c r="I44" s="4" t="str">
        <f>IF(RIGHT(B44,1)="M",IF(AND(H44=1,E44="RFS",D44=INDEX('Station Depth Averages'!$A$3:$B$84,MATCH(B44,'Station Depth Averages'!$A$3:$A$84,0),2)),1,""),IF(AND(H44=1,OR(D44="SYN",D44="SRF",D44="MID")),1,IF(AND(H44=1,OR(E45="FDn",E45="LDn")),1,IF(AND(H44=1,OR(E44="FDn",E44="LDn")),1,""))))</f>
        <v/>
      </c>
      <c r="J44" s="4" t="str">
        <f t="shared" si="11"/>
        <v/>
      </c>
      <c r="K44" s="4" t="str">
        <f t="shared" si="12"/>
        <v/>
      </c>
      <c r="L44" s="4" t="str">
        <f t="shared" si="13"/>
        <v/>
      </c>
      <c r="M44" s="4" t="str">
        <f t="shared" si="14"/>
        <v/>
      </c>
      <c r="N44" s="4" t="str">
        <f t="shared" si="15"/>
        <v/>
      </c>
      <c r="O44" s="4" t="str">
        <f t="shared" si="16"/>
        <v/>
      </c>
      <c r="P44" s="4" t="str">
        <f t="shared" si="17"/>
        <v/>
      </c>
      <c r="Q44" s="4" t="str">
        <f t="shared" si="18"/>
        <v/>
      </c>
      <c r="R44" s="4" t="str">
        <f t="shared" si="19"/>
        <v/>
      </c>
      <c r="S44" s="4" t="str">
        <f t="shared" si="20"/>
        <v/>
      </c>
      <c r="T44" s="4">
        <f t="shared" si="21"/>
        <v>1</v>
      </c>
      <c r="U44">
        <f>IF(VLOOKUP(C44,'QA Table'!$Y$5:$Y$20,1,TRUE)=C44,1,0)</f>
        <v>0</v>
      </c>
      <c r="V44" t="str">
        <f t="shared" si="22"/>
        <v/>
      </c>
      <c r="W44" t="str">
        <f t="shared" si="23"/>
        <v/>
      </c>
      <c r="X44" t="str">
        <f t="shared" si="24"/>
        <v/>
      </c>
      <c r="Y44">
        <f t="shared" si="25"/>
        <v>0</v>
      </c>
      <c r="AA44" t="str">
        <f t="shared" si="26"/>
        <v/>
      </c>
    </row>
    <row r="45" spans="1:27" x14ac:dyDescent="0.2">
      <c r="A45" t="s">
        <v>0</v>
      </c>
      <c r="B45" t="s">
        <v>13</v>
      </c>
      <c r="C45" t="s">
        <v>1169</v>
      </c>
      <c r="D45" t="s">
        <v>1034</v>
      </c>
      <c r="E45" t="s">
        <v>3</v>
      </c>
      <c r="F45" t="s">
        <v>1157</v>
      </c>
      <c r="G45" t="s">
        <v>1130</v>
      </c>
      <c r="H45" s="4" t="str">
        <f t="shared" si="10"/>
        <v/>
      </c>
      <c r="I45" s="4" t="str">
        <f>IF(RIGHT(B45,1)="M",IF(AND(H45=1,E45="RFS",D45=INDEX('Station Depth Averages'!$A$3:$B$84,MATCH(B45,'Station Depth Averages'!$A$3:$A$84,0),2)),1,""),IF(AND(H45=1,OR(D45="SYN",D45="SRF",D45="MID")),1,IF(AND(H45=1,OR(E46="FDn",E46="LDn")),1,IF(AND(H45=1,OR(E45="FDn",E45="LDn")),1,""))))</f>
        <v/>
      </c>
      <c r="J45" s="4" t="str">
        <f t="shared" si="11"/>
        <v/>
      </c>
      <c r="K45" s="4" t="str">
        <f t="shared" si="12"/>
        <v/>
      </c>
      <c r="L45" s="4" t="str">
        <f t="shared" si="13"/>
        <v/>
      </c>
      <c r="M45" s="4" t="str">
        <f t="shared" si="14"/>
        <v/>
      </c>
      <c r="N45" s="4" t="str">
        <f t="shared" si="15"/>
        <v/>
      </c>
      <c r="O45" s="4" t="str">
        <f t="shared" si="16"/>
        <v/>
      </c>
      <c r="P45" s="4" t="str">
        <f t="shared" si="17"/>
        <v/>
      </c>
      <c r="Q45" s="4" t="str">
        <f t="shared" si="18"/>
        <v/>
      </c>
      <c r="R45" s="4" t="str">
        <f t="shared" si="19"/>
        <v/>
      </c>
      <c r="S45" s="4">
        <f t="shared" si="20"/>
        <v>1</v>
      </c>
      <c r="T45" s="4" t="str">
        <f t="shared" si="21"/>
        <v/>
      </c>
      <c r="U45">
        <f>IF(VLOOKUP(C45,'QA Table'!$Y$5:$Y$20,1,TRUE)=C45,1,0)</f>
        <v>0</v>
      </c>
      <c r="V45" t="str">
        <f t="shared" si="22"/>
        <v/>
      </c>
      <c r="W45" t="str">
        <f t="shared" si="23"/>
        <v/>
      </c>
      <c r="X45" t="str">
        <f t="shared" si="24"/>
        <v/>
      </c>
      <c r="Y45">
        <f t="shared" si="25"/>
        <v>0</v>
      </c>
      <c r="AA45" t="str">
        <f t="shared" si="26"/>
        <v/>
      </c>
    </row>
    <row r="46" spans="1:27" x14ac:dyDescent="0.2">
      <c r="A46" t="s">
        <v>0</v>
      </c>
      <c r="B46" t="s">
        <v>13</v>
      </c>
      <c r="C46" t="s">
        <v>1170</v>
      </c>
      <c r="D46" t="s">
        <v>1034</v>
      </c>
      <c r="E46" t="s">
        <v>19</v>
      </c>
      <c r="F46" t="s">
        <v>1157</v>
      </c>
      <c r="G46" t="s">
        <v>1130</v>
      </c>
      <c r="H46" s="4" t="str">
        <f t="shared" si="10"/>
        <v/>
      </c>
      <c r="I46" s="4" t="str">
        <f>IF(RIGHT(B46,1)="M",IF(AND(H46=1,E46="RFS",D46=INDEX('Station Depth Averages'!$A$3:$B$84,MATCH(B46,'Station Depth Averages'!$A$3:$A$84,0),2)),1,""),IF(AND(H46=1,OR(D46="SYN",D46="SRF",D46="MID")),1,IF(AND(H46=1,OR(E47="FDn",E47="LDn")),1,IF(AND(H46=1,OR(E46="FDn",E46="LDn")),1,""))))</f>
        <v/>
      </c>
      <c r="J46" s="4" t="str">
        <f t="shared" si="11"/>
        <v/>
      </c>
      <c r="K46" s="4" t="str">
        <f t="shared" si="12"/>
        <v/>
      </c>
      <c r="L46" s="4" t="str">
        <f t="shared" si="13"/>
        <v/>
      </c>
      <c r="M46" s="4" t="str">
        <f t="shared" si="14"/>
        <v/>
      </c>
      <c r="N46" s="4" t="str">
        <f t="shared" si="15"/>
        <v/>
      </c>
      <c r="O46" s="4" t="str">
        <f t="shared" si="16"/>
        <v/>
      </c>
      <c r="P46" s="4" t="str">
        <f t="shared" si="17"/>
        <v/>
      </c>
      <c r="Q46" s="4" t="str">
        <f t="shared" si="18"/>
        <v/>
      </c>
      <c r="R46" s="4" t="str">
        <f t="shared" si="19"/>
        <v/>
      </c>
      <c r="S46" s="4">
        <f t="shared" si="20"/>
        <v>1</v>
      </c>
      <c r="T46" s="4" t="str">
        <f t="shared" si="21"/>
        <v/>
      </c>
      <c r="U46">
        <f>IF(VLOOKUP(C46,'QA Table'!$Y$5:$Y$20,1,TRUE)=C46,1,0)</f>
        <v>0</v>
      </c>
      <c r="V46" t="str">
        <f t="shared" si="22"/>
        <v/>
      </c>
      <c r="W46" t="str">
        <f t="shared" si="23"/>
        <v/>
      </c>
      <c r="X46" t="str">
        <f t="shared" si="24"/>
        <v/>
      </c>
      <c r="Y46">
        <f t="shared" si="25"/>
        <v>0</v>
      </c>
      <c r="AA46" t="str">
        <f t="shared" si="26"/>
        <v/>
      </c>
    </row>
    <row r="47" spans="1:27" x14ac:dyDescent="0.2">
      <c r="A47" t="s">
        <v>0</v>
      </c>
      <c r="B47" t="s">
        <v>21</v>
      </c>
      <c r="C47" t="s">
        <v>1171</v>
      </c>
      <c r="D47" t="s">
        <v>2</v>
      </c>
      <c r="E47" t="s">
        <v>3</v>
      </c>
      <c r="F47" t="s">
        <v>1172</v>
      </c>
      <c r="G47" t="s">
        <v>1130</v>
      </c>
      <c r="H47" s="4">
        <f t="shared" si="10"/>
        <v>1</v>
      </c>
      <c r="I47" s="4">
        <f>IF(RIGHT(B47,1)="M",IF(AND(H47=1,E47="RFS",D47=INDEX('Station Depth Averages'!$A$3:$B$84,MATCH(B47,'Station Depth Averages'!$A$3:$A$84,0),2)),1,""),IF(AND(H47=1,OR(D47="SYN",D47="SRF",D47="MID")),1,IF(AND(H47=1,OR(E48="FDn",E48="LDn")),1,IF(AND(H47=1,OR(E47="FDn",E47="LDn")),1,""))))</f>
        <v>1</v>
      </c>
      <c r="J47" s="4">
        <f t="shared" si="11"/>
        <v>1</v>
      </c>
      <c r="K47" s="4" t="str">
        <f t="shared" si="12"/>
        <v/>
      </c>
      <c r="L47" s="4" t="str">
        <f t="shared" si="13"/>
        <v/>
      </c>
      <c r="M47" s="4" t="str">
        <f t="shared" si="14"/>
        <v/>
      </c>
      <c r="N47" s="4" t="str">
        <f t="shared" si="15"/>
        <v/>
      </c>
      <c r="O47" s="4" t="str">
        <f t="shared" si="16"/>
        <v/>
      </c>
      <c r="P47" s="4" t="str">
        <f t="shared" si="17"/>
        <v/>
      </c>
      <c r="Q47" s="4" t="str">
        <f t="shared" si="18"/>
        <v/>
      </c>
      <c r="R47" s="4" t="str">
        <f t="shared" si="19"/>
        <v/>
      </c>
      <c r="S47" s="4" t="str">
        <f t="shared" si="20"/>
        <v/>
      </c>
      <c r="T47" s="4" t="str">
        <f t="shared" si="21"/>
        <v/>
      </c>
      <c r="U47">
        <f>IF(VLOOKUP(C47,'QA Table'!$Y$5:$Y$20,1,TRUE)=C47,1,0)</f>
        <v>0</v>
      </c>
      <c r="V47" t="str">
        <f t="shared" si="22"/>
        <v/>
      </c>
      <c r="W47" t="str">
        <f t="shared" si="23"/>
        <v/>
      </c>
      <c r="X47">
        <f t="shared" si="24"/>
        <v>4</v>
      </c>
      <c r="Y47">
        <f t="shared" si="25"/>
        <v>0</v>
      </c>
      <c r="AA47">
        <f t="shared" si="26"/>
        <v>1</v>
      </c>
    </row>
    <row r="48" spans="1:27" x14ac:dyDescent="0.2">
      <c r="A48" t="s">
        <v>0</v>
      </c>
      <c r="B48" t="s">
        <v>21</v>
      </c>
      <c r="C48" t="s">
        <v>1173</v>
      </c>
      <c r="D48" t="s">
        <v>1050</v>
      </c>
      <c r="E48" t="s">
        <v>3</v>
      </c>
      <c r="F48" t="s">
        <v>1172</v>
      </c>
      <c r="G48" t="s">
        <v>1130</v>
      </c>
      <c r="H48" s="4" t="str">
        <f t="shared" si="10"/>
        <v/>
      </c>
      <c r="I48" s="4" t="str">
        <f>IF(RIGHT(B48,1)="M",IF(AND(H48=1,E48="RFS",D48=INDEX('Station Depth Averages'!$A$3:$B$84,MATCH(B48,'Station Depth Averages'!$A$3:$A$84,0),2)),1,""),IF(AND(H48=1,OR(D48="SYN",D48="SRF",D48="MID")),1,IF(AND(H48=1,OR(E49="FDn",E49="LDn")),1,IF(AND(H48=1,OR(E48="FDn",E48="LDn")),1,""))))</f>
        <v/>
      </c>
      <c r="J48" s="4" t="str">
        <f t="shared" si="11"/>
        <v/>
      </c>
      <c r="K48" s="4" t="str">
        <f t="shared" si="12"/>
        <v/>
      </c>
      <c r="L48" s="4" t="str">
        <f t="shared" si="13"/>
        <v/>
      </c>
      <c r="M48" s="4" t="str">
        <f t="shared" si="14"/>
        <v/>
      </c>
      <c r="N48" s="4" t="str">
        <f t="shared" si="15"/>
        <v/>
      </c>
      <c r="O48" s="4" t="str">
        <f t="shared" si="16"/>
        <v/>
      </c>
      <c r="P48" s="4" t="str">
        <f t="shared" si="17"/>
        <v/>
      </c>
      <c r="Q48" s="4" t="str">
        <f t="shared" si="18"/>
        <v/>
      </c>
      <c r="R48" s="4" t="str">
        <f t="shared" si="19"/>
        <v/>
      </c>
      <c r="S48" s="4" t="str">
        <f t="shared" si="20"/>
        <v/>
      </c>
      <c r="T48" s="4" t="str">
        <f t="shared" si="21"/>
        <v/>
      </c>
      <c r="U48">
        <f>IF(VLOOKUP(C48,'QA Table'!$Y$5:$Y$20,1,TRUE)=C48,1,0)</f>
        <v>0</v>
      </c>
      <c r="V48" t="str">
        <f t="shared" si="22"/>
        <v/>
      </c>
      <c r="W48" t="str">
        <f t="shared" si="23"/>
        <v/>
      </c>
      <c r="X48" t="str">
        <f t="shared" si="24"/>
        <v/>
      </c>
      <c r="Y48">
        <f t="shared" si="25"/>
        <v>0</v>
      </c>
      <c r="AA48" t="str">
        <f t="shared" si="26"/>
        <v/>
      </c>
    </row>
    <row r="49" spans="1:27" x14ac:dyDescent="0.2">
      <c r="A49" t="s">
        <v>0</v>
      </c>
      <c r="B49" t="s">
        <v>21</v>
      </c>
      <c r="C49" t="s">
        <v>1174</v>
      </c>
      <c r="D49" t="s">
        <v>4</v>
      </c>
      <c r="E49" t="s">
        <v>3</v>
      </c>
      <c r="F49" t="s">
        <v>1172</v>
      </c>
      <c r="G49" t="s">
        <v>1130</v>
      </c>
      <c r="H49" s="4" t="str">
        <f t="shared" si="10"/>
        <v/>
      </c>
      <c r="I49" s="4" t="str">
        <f>IF(RIGHT(B49,1)="M",IF(AND(H49=1,E49="RFS",D49=INDEX('Station Depth Averages'!$A$3:$B$84,MATCH(B49,'Station Depth Averages'!$A$3:$A$84,0),2)),1,""),IF(AND(H49=1,OR(D49="SYN",D49="SRF",D49="MID")),1,IF(AND(H49=1,OR(E50="FDn",E50="LDn")),1,IF(AND(H49=1,OR(E49="FDn",E49="LDn")),1,""))))</f>
        <v/>
      </c>
      <c r="J49" s="4" t="str">
        <f t="shared" si="11"/>
        <v/>
      </c>
      <c r="K49" s="4" t="str">
        <f t="shared" si="12"/>
        <v/>
      </c>
      <c r="L49" s="4" t="str">
        <f t="shared" si="13"/>
        <v/>
      </c>
      <c r="M49" s="4" t="str">
        <f t="shared" si="14"/>
        <v/>
      </c>
      <c r="N49" s="4" t="str">
        <f t="shared" si="15"/>
        <v/>
      </c>
      <c r="O49" s="4" t="str">
        <f t="shared" si="16"/>
        <v/>
      </c>
      <c r="P49" s="4" t="str">
        <f t="shared" si="17"/>
        <v/>
      </c>
      <c r="Q49" s="4" t="str">
        <f t="shared" si="18"/>
        <v/>
      </c>
      <c r="R49" s="4" t="str">
        <f t="shared" si="19"/>
        <v/>
      </c>
      <c r="S49" s="4" t="str">
        <f t="shared" si="20"/>
        <v/>
      </c>
      <c r="T49" s="4" t="str">
        <f t="shared" si="21"/>
        <v/>
      </c>
      <c r="U49">
        <f>IF(VLOOKUP(C49,'QA Table'!$Y$5:$Y$20,1,TRUE)=C49,1,0)</f>
        <v>0</v>
      </c>
      <c r="V49" t="str">
        <f t="shared" si="22"/>
        <v/>
      </c>
      <c r="W49" t="str">
        <f t="shared" si="23"/>
        <v/>
      </c>
      <c r="X49" t="str">
        <f t="shared" si="24"/>
        <v/>
      </c>
      <c r="Y49">
        <f t="shared" si="25"/>
        <v>0</v>
      </c>
      <c r="AA49" t="str">
        <f t="shared" si="26"/>
        <v/>
      </c>
    </row>
    <row r="50" spans="1:27" x14ac:dyDescent="0.2">
      <c r="A50" t="s">
        <v>0</v>
      </c>
      <c r="B50" t="s">
        <v>21</v>
      </c>
      <c r="C50" t="s">
        <v>1175</v>
      </c>
      <c r="D50" t="s">
        <v>1051</v>
      </c>
      <c r="E50" t="s">
        <v>3</v>
      </c>
      <c r="F50" t="s">
        <v>1172</v>
      </c>
      <c r="G50" t="s">
        <v>1130</v>
      </c>
      <c r="H50" s="4" t="str">
        <f t="shared" si="10"/>
        <v/>
      </c>
      <c r="I50" s="4" t="str">
        <f>IF(RIGHT(B50,1)="M",IF(AND(H50=1,E50="RFS",D50=INDEX('Station Depth Averages'!$A$3:$B$84,MATCH(B50,'Station Depth Averages'!$A$3:$A$84,0),2)),1,""),IF(AND(H50=1,OR(D50="SYN",D50="SRF",D50="MID")),1,IF(AND(H50=1,OR(E51="FDn",E51="LDn")),1,IF(AND(H50=1,OR(E50="FDn",E50="LDn")),1,""))))</f>
        <v/>
      </c>
      <c r="J50" s="4" t="str">
        <f t="shared" si="11"/>
        <v/>
      </c>
      <c r="K50" s="4" t="str">
        <f t="shared" si="12"/>
        <v/>
      </c>
      <c r="L50" s="4" t="str">
        <f t="shared" si="13"/>
        <v/>
      </c>
      <c r="M50" s="4" t="str">
        <f t="shared" si="14"/>
        <v/>
      </c>
      <c r="N50" s="4" t="str">
        <f t="shared" si="15"/>
        <v/>
      </c>
      <c r="O50" s="4" t="str">
        <f t="shared" si="16"/>
        <v/>
      </c>
      <c r="P50" s="4" t="str">
        <f t="shared" si="17"/>
        <v/>
      </c>
      <c r="Q50" s="4" t="str">
        <f t="shared" si="18"/>
        <v/>
      </c>
      <c r="R50" s="4" t="str">
        <f t="shared" si="19"/>
        <v/>
      </c>
      <c r="S50" s="4" t="str">
        <f t="shared" si="20"/>
        <v/>
      </c>
      <c r="T50" s="4" t="str">
        <f t="shared" si="21"/>
        <v/>
      </c>
      <c r="U50">
        <f>IF(VLOOKUP(C50,'QA Table'!$Y$5:$Y$20,1,TRUE)=C50,1,0)</f>
        <v>0</v>
      </c>
      <c r="V50" t="str">
        <f t="shared" si="22"/>
        <v/>
      </c>
      <c r="W50" t="str">
        <f t="shared" si="23"/>
        <v/>
      </c>
      <c r="X50" t="str">
        <f t="shared" si="24"/>
        <v/>
      </c>
      <c r="Y50">
        <f t="shared" si="25"/>
        <v>0</v>
      </c>
      <c r="AA50" t="str">
        <f t="shared" si="26"/>
        <v/>
      </c>
    </row>
    <row r="51" spans="1:27" x14ac:dyDescent="0.2">
      <c r="A51" t="s">
        <v>0</v>
      </c>
      <c r="B51" t="s">
        <v>21</v>
      </c>
      <c r="C51" t="s">
        <v>1098</v>
      </c>
      <c r="D51" t="s">
        <v>119</v>
      </c>
      <c r="E51" t="s">
        <v>3</v>
      </c>
      <c r="F51" t="s">
        <v>1172</v>
      </c>
      <c r="G51" t="s">
        <v>1130</v>
      </c>
      <c r="H51" s="4">
        <f t="shared" si="10"/>
        <v>1</v>
      </c>
      <c r="I51" s="4">
        <f>IF(RIGHT(B51,1)="M",IF(AND(H51=1,E51="RFS",D51=INDEX('Station Depth Averages'!$A$3:$B$84,MATCH(B51,'Station Depth Averages'!$A$3:$A$84,0),2)),1,""),IF(AND(H51=1,OR(D51="SYN",D51="SRF",D51="MID")),1,IF(AND(H51=1,OR(E52="FDn",E52="LDn")),1,IF(AND(H51=1,OR(E51="FDn",E51="LDn")),1,""))))</f>
        <v>1</v>
      </c>
      <c r="J51" s="4">
        <f t="shared" si="11"/>
        <v>1</v>
      </c>
      <c r="K51" s="4" t="str">
        <f t="shared" si="12"/>
        <v/>
      </c>
      <c r="L51" s="4" t="str">
        <f t="shared" si="13"/>
        <v/>
      </c>
      <c r="M51" s="4" t="str">
        <f t="shared" si="14"/>
        <v/>
      </c>
      <c r="N51" s="4" t="str">
        <f t="shared" si="15"/>
        <v/>
      </c>
      <c r="O51" s="4" t="str">
        <f t="shared" si="16"/>
        <v/>
      </c>
      <c r="P51" s="4" t="str">
        <f t="shared" si="17"/>
        <v/>
      </c>
      <c r="Q51" s="4" t="str">
        <f t="shared" si="18"/>
        <v/>
      </c>
      <c r="R51" s="4" t="str">
        <f t="shared" si="19"/>
        <v/>
      </c>
      <c r="S51" s="4" t="str">
        <f t="shared" si="20"/>
        <v/>
      </c>
      <c r="T51" s="4" t="str">
        <f t="shared" si="21"/>
        <v/>
      </c>
      <c r="U51">
        <f>IF(VLOOKUP(C51,'QA Table'!$Y$5:$Y$20,1,TRUE)=C51,1,0)</f>
        <v>0</v>
      </c>
      <c r="V51" t="str">
        <f t="shared" si="22"/>
        <v/>
      </c>
      <c r="W51" t="str">
        <f t="shared" si="23"/>
        <v/>
      </c>
      <c r="X51">
        <f t="shared" si="24"/>
        <v>4</v>
      </c>
      <c r="Y51">
        <f t="shared" si="25"/>
        <v>0</v>
      </c>
      <c r="AA51">
        <f t="shared" si="26"/>
        <v>1</v>
      </c>
    </row>
    <row r="52" spans="1:27" x14ac:dyDescent="0.2">
      <c r="A52" t="s">
        <v>0</v>
      </c>
      <c r="B52" t="s">
        <v>21</v>
      </c>
      <c r="C52" t="s">
        <v>1176</v>
      </c>
      <c r="D52" t="s">
        <v>119</v>
      </c>
      <c r="E52" t="s">
        <v>12</v>
      </c>
      <c r="F52" t="s">
        <v>1172</v>
      </c>
      <c r="G52" t="s">
        <v>1130</v>
      </c>
      <c r="H52" s="4">
        <f t="shared" si="10"/>
        <v>1</v>
      </c>
      <c r="I52" s="4">
        <f>IF(RIGHT(B52,1)="M",IF(AND(H52=1,E52="RFS",D52=INDEX('Station Depth Averages'!$A$3:$B$84,MATCH(B52,'Station Depth Averages'!$A$3:$A$84,0),2)),1,""),IF(AND(H52=1,OR(D52="SYN",D52="SRF",D52="MID")),1,IF(AND(H52=1,OR(E53="FDn",E53="LDn")),1,IF(AND(H52=1,OR(E52="FDn",E52="LDn")),1,""))))</f>
        <v>1</v>
      </c>
      <c r="J52" s="4" t="str">
        <f t="shared" si="11"/>
        <v/>
      </c>
      <c r="K52" s="4" t="str">
        <f t="shared" si="12"/>
        <v/>
      </c>
      <c r="L52" s="4" t="str">
        <f t="shared" si="13"/>
        <v/>
      </c>
      <c r="M52" s="4" t="str">
        <f t="shared" si="14"/>
        <v/>
      </c>
      <c r="N52" s="4" t="str">
        <f t="shared" si="15"/>
        <v/>
      </c>
      <c r="O52" s="4" t="str">
        <f t="shared" si="16"/>
        <v/>
      </c>
      <c r="P52" s="4" t="str">
        <f t="shared" si="17"/>
        <v/>
      </c>
      <c r="Q52" s="4" t="str">
        <f t="shared" si="18"/>
        <v/>
      </c>
      <c r="R52" s="4" t="str">
        <f t="shared" si="19"/>
        <v/>
      </c>
      <c r="S52" s="4" t="str">
        <f t="shared" si="20"/>
        <v/>
      </c>
      <c r="T52" s="4" t="str">
        <f t="shared" si="21"/>
        <v/>
      </c>
      <c r="U52">
        <f>IF(VLOOKUP(C52,'QA Table'!$Y$5:$Y$20,1,TRUE)=C52,1,0)</f>
        <v>0</v>
      </c>
      <c r="V52" t="str">
        <f t="shared" si="22"/>
        <v/>
      </c>
      <c r="W52" t="str">
        <f t="shared" si="23"/>
        <v/>
      </c>
      <c r="X52">
        <f t="shared" si="24"/>
        <v>4</v>
      </c>
      <c r="Y52">
        <f t="shared" si="25"/>
        <v>0</v>
      </c>
      <c r="AA52">
        <f t="shared" si="26"/>
        <v>1</v>
      </c>
    </row>
    <row r="53" spans="1:27" x14ac:dyDescent="0.2">
      <c r="A53" t="s">
        <v>0</v>
      </c>
      <c r="B53" t="s">
        <v>21</v>
      </c>
      <c r="C53" t="s">
        <v>1177</v>
      </c>
      <c r="D53" t="s">
        <v>5</v>
      </c>
      <c r="E53" t="s">
        <v>3</v>
      </c>
      <c r="F53" t="s">
        <v>1172</v>
      </c>
      <c r="G53" t="s">
        <v>1130</v>
      </c>
      <c r="H53" s="4">
        <f t="shared" si="10"/>
        <v>1</v>
      </c>
      <c r="I53" s="4" t="str">
        <f>IF(RIGHT(B53,1)="M",IF(AND(H53=1,E53="RFS",D53=INDEX('Station Depth Averages'!$A$3:$B$84,MATCH(B53,'Station Depth Averages'!$A$3:$A$84,0),2)),1,""),IF(AND(H53=1,OR(D53="SYN",D53="SRF",D53="MID")),1,IF(AND(H53=1,OR(E54="FDn",E54="LDn")),1,IF(AND(H53=1,OR(E53="FDn",E53="LDn")),1,""))))</f>
        <v/>
      </c>
      <c r="J53" s="4">
        <f t="shared" si="11"/>
        <v>1</v>
      </c>
      <c r="K53" s="4" t="str">
        <f t="shared" si="12"/>
        <v/>
      </c>
      <c r="L53" s="4" t="str">
        <f t="shared" si="13"/>
        <v/>
      </c>
      <c r="M53" s="4" t="str">
        <f t="shared" si="14"/>
        <v/>
      </c>
      <c r="N53" s="4" t="str">
        <f t="shared" si="15"/>
        <v/>
      </c>
      <c r="O53" s="4" t="str">
        <f t="shared" si="16"/>
        <v/>
      </c>
      <c r="P53" s="4" t="str">
        <f t="shared" si="17"/>
        <v/>
      </c>
      <c r="Q53" s="4" t="str">
        <f t="shared" si="18"/>
        <v/>
      </c>
      <c r="R53" s="4" t="str">
        <f t="shared" si="19"/>
        <v/>
      </c>
      <c r="S53" s="4" t="str">
        <f t="shared" si="20"/>
        <v/>
      </c>
      <c r="T53" s="4" t="str">
        <f t="shared" si="21"/>
        <v/>
      </c>
      <c r="U53">
        <f>IF(VLOOKUP(C53,'QA Table'!$Y$5:$Y$20,1,TRUE)=C53,1,0)</f>
        <v>0</v>
      </c>
      <c r="V53" t="str">
        <f t="shared" si="22"/>
        <v/>
      </c>
      <c r="W53" t="str">
        <f t="shared" si="23"/>
        <v/>
      </c>
      <c r="X53">
        <f t="shared" si="24"/>
        <v>4</v>
      </c>
      <c r="Y53">
        <f t="shared" si="25"/>
        <v>0</v>
      </c>
      <c r="AA53">
        <f t="shared" si="26"/>
        <v>1</v>
      </c>
    </row>
    <row r="54" spans="1:27" x14ac:dyDescent="0.2">
      <c r="A54" t="s">
        <v>0</v>
      </c>
      <c r="B54" t="s">
        <v>21</v>
      </c>
      <c r="C54" t="s">
        <v>1178</v>
      </c>
      <c r="D54" t="s">
        <v>6</v>
      </c>
      <c r="E54" t="s">
        <v>3</v>
      </c>
      <c r="F54" t="s">
        <v>1172</v>
      </c>
      <c r="G54" t="s">
        <v>1130</v>
      </c>
      <c r="H54" s="4">
        <f t="shared" si="10"/>
        <v>1</v>
      </c>
      <c r="I54" s="4" t="str">
        <f>IF(RIGHT(B54,1)="M",IF(AND(H54=1,E54="RFS",D54=INDEX('Station Depth Averages'!$A$3:$B$84,MATCH(B54,'Station Depth Averages'!$A$3:$A$84,0),2)),1,""),IF(AND(H54=1,OR(D54="SYN",D54="SRF",D54="MID")),1,IF(AND(H54=1,OR(E55="FDn",E55="LDn")),1,IF(AND(H54=1,OR(E54="FDn",E54="LDn")),1,""))))</f>
        <v/>
      </c>
      <c r="J54" s="4">
        <f t="shared" si="11"/>
        <v>1</v>
      </c>
      <c r="K54" s="4" t="str">
        <f t="shared" si="12"/>
        <v/>
      </c>
      <c r="L54" s="4" t="str">
        <f t="shared" si="13"/>
        <v/>
      </c>
      <c r="M54" s="4" t="str">
        <f t="shared" si="14"/>
        <v/>
      </c>
      <c r="N54" s="4" t="str">
        <f t="shared" si="15"/>
        <v/>
      </c>
      <c r="O54" s="4" t="str">
        <f t="shared" si="16"/>
        <v/>
      </c>
      <c r="P54" s="4" t="str">
        <f t="shared" si="17"/>
        <v/>
      </c>
      <c r="Q54" s="4" t="str">
        <f t="shared" si="18"/>
        <v/>
      </c>
      <c r="R54" s="4" t="str">
        <f t="shared" si="19"/>
        <v/>
      </c>
      <c r="S54" s="4" t="str">
        <f t="shared" si="20"/>
        <v/>
      </c>
      <c r="T54" s="4" t="str">
        <f t="shared" si="21"/>
        <v/>
      </c>
      <c r="U54">
        <f>IF(VLOOKUP(C54,'QA Table'!$Y$5:$Y$20,1,TRUE)=C54,1,0)</f>
        <v>0</v>
      </c>
      <c r="V54" t="str">
        <f t="shared" si="22"/>
        <v/>
      </c>
      <c r="W54" t="str">
        <f t="shared" si="23"/>
        <v/>
      </c>
      <c r="X54">
        <f t="shared" si="24"/>
        <v>4</v>
      </c>
      <c r="Y54">
        <f t="shared" si="25"/>
        <v>0</v>
      </c>
      <c r="AA54">
        <f t="shared" si="26"/>
        <v>1</v>
      </c>
    </row>
    <row r="55" spans="1:27" x14ac:dyDescent="0.2">
      <c r="A55" t="s">
        <v>0</v>
      </c>
      <c r="B55" t="s">
        <v>21</v>
      </c>
      <c r="C55" t="s">
        <v>1179</v>
      </c>
      <c r="D55" t="s">
        <v>8</v>
      </c>
      <c r="E55" t="s">
        <v>3</v>
      </c>
      <c r="F55" t="s">
        <v>1172</v>
      </c>
      <c r="G55" t="s">
        <v>1130</v>
      </c>
      <c r="H55" s="4">
        <f t="shared" si="10"/>
        <v>1</v>
      </c>
      <c r="I55" s="4" t="str">
        <f>IF(RIGHT(B55,1)="M",IF(AND(H55=1,E55="RFS",D55=INDEX('Station Depth Averages'!$A$3:$B$84,MATCH(B55,'Station Depth Averages'!$A$3:$A$84,0),2)),1,""),IF(AND(H55=1,OR(D55="SYN",D55="SRF",D55="MID")),1,IF(AND(H55=1,OR(E56="FDn",E56="LDn")),1,IF(AND(H55=1,OR(E55="FDn",E55="LDn")),1,""))))</f>
        <v/>
      </c>
      <c r="J55" s="4" t="str">
        <f t="shared" si="11"/>
        <v/>
      </c>
      <c r="K55" s="4">
        <f t="shared" si="12"/>
        <v>1</v>
      </c>
      <c r="L55" s="4" t="str">
        <f t="shared" si="13"/>
        <v/>
      </c>
      <c r="M55" s="4" t="str">
        <f t="shared" si="14"/>
        <v/>
      </c>
      <c r="N55" s="4" t="str">
        <f t="shared" si="15"/>
        <v/>
      </c>
      <c r="O55" s="4" t="str">
        <f t="shared" si="16"/>
        <v/>
      </c>
      <c r="P55" s="4" t="str">
        <f t="shared" si="17"/>
        <v/>
      </c>
      <c r="Q55" s="4">
        <f t="shared" si="18"/>
        <v>2</v>
      </c>
      <c r="R55" s="4" t="str">
        <f t="shared" si="19"/>
        <v/>
      </c>
      <c r="S55" s="4" t="str">
        <f t="shared" si="20"/>
        <v/>
      </c>
      <c r="T55" s="4" t="str">
        <f t="shared" si="21"/>
        <v/>
      </c>
      <c r="U55">
        <f>IF(VLOOKUP(C55,'QA Table'!$Y$5:$Y$20,1,TRUE)=C55,1,0)</f>
        <v>0</v>
      </c>
      <c r="V55" t="str">
        <f t="shared" si="22"/>
        <v/>
      </c>
      <c r="W55" t="str">
        <f t="shared" si="23"/>
        <v/>
      </c>
      <c r="X55">
        <f t="shared" si="24"/>
        <v>4</v>
      </c>
      <c r="Y55">
        <f t="shared" si="25"/>
        <v>0</v>
      </c>
      <c r="AA55">
        <f t="shared" si="26"/>
        <v>1</v>
      </c>
    </row>
    <row r="56" spans="1:27" x14ac:dyDescent="0.2">
      <c r="A56" t="s">
        <v>0</v>
      </c>
      <c r="B56" t="s">
        <v>21</v>
      </c>
      <c r="C56" t="s">
        <v>1180</v>
      </c>
      <c r="D56" t="s">
        <v>9</v>
      </c>
      <c r="E56" t="s">
        <v>3</v>
      </c>
      <c r="F56" t="s">
        <v>1172</v>
      </c>
      <c r="G56" t="s">
        <v>1130</v>
      </c>
      <c r="H56" s="4" t="str">
        <f t="shared" si="10"/>
        <v/>
      </c>
      <c r="I56" s="4" t="str">
        <f>IF(RIGHT(B56,1)="M",IF(AND(H56=1,E56="RFS",D56=INDEX('Station Depth Averages'!$A$3:$B$84,MATCH(B56,'Station Depth Averages'!$A$3:$A$84,0),2)),1,""),IF(AND(H56=1,OR(D56="SYN",D56="SRF",D56="MID")),1,IF(AND(H56=1,OR(E57="FDn",E57="LDn")),1,IF(AND(H56=1,OR(E56="FDn",E56="LDn")),1,""))))</f>
        <v/>
      </c>
      <c r="J56" s="4" t="str">
        <f t="shared" si="11"/>
        <v/>
      </c>
      <c r="K56" s="4" t="str">
        <f t="shared" si="12"/>
        <v/>
      </c>
      <c r="L56" s="4" t="str">
        <f t="shared" si="13"/>
        <v/>
      </c>
      <c r="M56" s="4" t="str">
        <f t="shared" si="14"/>
        <v/>
      </c>
      <c r="N56" s="4" t="str">
        <f t="shared" si="15"/>
        <v/>
      </c>
      <c r="O56" s="4" t="str">
        <f t="shared" si="16"/>
        <v/>
      </c>
      <c r="P56" s="4" t="str">
        <f t="shared" si="17"/>
        <v/>
      </c>
      <c r="Q56" s="4" t="str">
        <f t="shared" si="18"/>
        <v/>
      </c>
      <c r="R56" s="4" t="str">
        <f t="shared" si="19"/>
        <v/>
      </c>
      <c r="S56" s="4" t="str">
        <f t="shared" si="20"/>
        <v/>
      </c>
      <c r="T56" s="4">
        <f t="shared" si="21"/>
        <v>1</v>
      </c>
      <c r="U56">
        <f>IF(VLOOKUP(C56,'QA Table'!$Y$5:$Y$20,1,TRUE)=C56,1,0)</f>
        <v>0</v>
      </c>
      <c r="V56" t="str">
        <f t="shared" si="22"/>
        <v/>
      </c>
      <c r="W56" t="str">
        <f t="shared" si="23"/>
        <v/>
      </c>
      <c r="X56" t="str">
        <f t="shared" si="24"/>
        <v/>
      </c>
      <c r="Y56">
        <f t="shared" si="25"/>
        <v>0</v>
      </c>
      <c r="AA56" t="str">
        <f t="shared" si="26"/>
        <v/>
      </c>
    </row>
    <row r="57" spans="1:27" x14ac:dyDescent="0.2">
      <c r="A57" t="s">
        <v>0</v>
      </c>
      <c r="B57" t="s">
        <v>21</v>
      </c>
      <c r="C57" t="s">
        <v>1181</v>
      </c>
      <c r="D57" t="s">
        <v>10</v>
      </c>
      <c r="E57" t="s">
        <v>3</v>
      </c>
      <c r="F57" t="s">
        <v>1172</v>
      </c>
      <c r="G57" t="s">
        <v>1130</v>
      </c>
      <c r="H57" s="4" t="str">
        <f t="shared" si="10"/>
        <v/>
      </c>
      <c r="I57" s="4" t="str">
        <f>IF(RIGHT(B57,1)="M",IF(AND(H57=1,E57="RFS",D57=INDEX('Station Depth Averages'!$A$3:$B$84,MATCH(B57,'Station Depth Averages'!$A$3:$A$84,0),2)),1,""),IF(AND(H57=1,OR(D57="SYN",D57="SRF",D57="MID")),1,IF(AND(H57=1,OR(E58="FDn",E58="LDn")),1,IF(AND(H57=1,OR(E57="FDn",E57="LDn")),1,""))))</f>
        <v/>
      </c>
      <c r="J57" s="4" t="str">
        <f t="shared" si="11"/>
        <v/>
      </c>
      <c r="K57" s="4" t="str">
        <f t="shared" si="12"/>
        <v/>
      </c>
      <c r="L57" s="4" t="str">
        <f t="shared" si="13"/>
        <v/>
      </c>
      <c r="M57" s="4" t="str">
        <f t="shared" si="14"/>
        <v/>
      </c>
      <c r="N57" s="4" t="str">
        <f t="shared" si="15"/>
        <v/>
      </c>
      <c r="O57" s="4" t="str">
        <f t="shared" si="16"/>
        <v/>
      </c>
      <c r="P57" s="4" t="str">
        <f t="shared" si="17"/>
        <v/>
      </c>
      <c r="Q57" s="4" t="str">
        <f t="shared" si="18"/>
        <v/>
      </c>
      <c r="R57" s="4" t="str">
        <f t="shared" si="19"/>
        <v/>
      </c>
      <c r="S57" s="4" t="str">
        <f t="shared" si="20"/>
        <v/>
      </c>
      <c r="T57" s="4">
        <f t="shared" si="21"/>
        <v>1</v>
      </c>
      <c r="U57">
        <f>IF(VLOOKUP(C57,'QA Table'!$Y$5:$Y$20,1,TRUE)=C57,1,0)</f>
        <v>0</v>
      </c>
      <c r="V57" t="str">
        <f t="shared" si="22"/>
        <v/>
      </c>
      <c r="W57" t="str">
        <f t="shared" si="23"/>
        <v/>
      </c>
      <c r="X57" t="str">
        <f t="shared" si="24"/>
        <v/>
      </c>
      <c r="Y57">
        <f t="shared" si="25"/>
        <v>0</v>
      </c>
      <c r="AA57" t="str">
        <f t="shared" si="26"/>
        <v/>
      </c>
    </row>
    <row r="58" spans="1:27" x14ac:dyDescent="0.2">
      <c r="A58" t="s">
        <v>0</v>
      </c>
      <c r="B58" t="s">
        <v>21</v>
      </c>
      <c r="C58" t="s">
        <v>1182</v>
      </c>
      <c r="D58" t="s">
        <v>1034</v>
      </c>
      <c r="E58" t="s">
        <v>3</v>
      </c>
      <c r="F58" t="s">
        <v>1172</v>
      </c>
      <c r="G58" t="s">
        <v>1130</v>
      </c>
      <c r="H58" s="4" t="str">
        <f t="shared" si="10"/>
        <v/>
      </c>
      <c r="I58" s="4" t="str">
        <f>IF(RIGHT(B58,1)="M",IF(AND(H58=1,E58="RFS",D58=INDEX('Station Depth Averages'!$A$3:$B$84,MATCH(B58,'Station Depth Averages'!$A$3:$A$84,0),2)),1,""),IF(AND(H58=1,OR(D58="SYN",D58="SRF",D58="MID")),1,IF(AND(H58=1,OR(E59="FDn",E59="LDn")),1,IF(AND(H58=1,OR(E58="FDn",E58="LDn")),1,""))))</f>
        <v/>
      </c>
      <c r="J58" s="4" t="str">
        <f t="shared" si="11"/>
        <v/>
      </c>
      <c r="K58" s="4" t="str">
        <f t="shared" si="12"/>
        <v/>
      </c>
      <c r="L58" s="4" t="str">
        <f t="shared" si="13"/>
        <v/>
      </c>
      <c r="M58" s="4" t="str">
        <f t="shared" si="14"/>
        <v/>
      </c>
      <c r="N58" s="4" t="str">
        <f t="shared" si="15"/>
        <v/>
      </c>
      <c r="O58" s="4" t="str">
        <f t="shared" si="16"/>
        <v/>
      </c>
      <c r="P58" s="4" t="str">
        <f t="shared" si="17"/>
        <v/>
      </c>
      <c r="Q58" s="4" t="str">
        <f t="shared" si="18"/>
        <v/>
      </c>
      <c r="R58" s="4" t="str">
        <f t="shared" si="19"/>
        <v/>
      </c>
      <c r="S58" s="4">
        <f t="shared" si="20"/>
        <v>1</v>
      </c>
      <c r="T58" s="4" t="str">
        <f t="shared" si="21"/>
        <v/>
      </c>
      <c r="U58">
        <f>IF(VLOOKUP(C58,'QA Table'!$Y$5:$Y$20,1,TRUE)=C58,1,0)</f>
        <v>0</v>
      </c>
      <c r="V58" t="str">
        <f t="shared" si="22"/>
        <v/>
      </c>
      <c r="W58" t="str">
        <f t="shared" si="23"/>
        <v/>
      </c>
      <c r="X58" t="str">
        <f t="shared" si="24"/>
        <v/>
      </c>
      <c r="Y58">
        <f t="shared" si="25"/>
        <v>0</v>
      </c>
      <c r="AA58" t="str">
        <f t="shared" si="26"/>
        <v/>
      </c>
    </row>
    <row r="59" spans="1:27" x14ac:dyDescent="0.2">
      <c r="A59" t="s">
        <v>0</v>
      </c>
      <c r="B59" t="s">
        <v>21</v>
      </c>
      <c r="C59" t="s">
        <v>1183</v>
      </c>
      <c r="D59" t="s">
        <v>1034</v>
      </c>
      <c r="E59" t="s">
        <v>19</v>
      </c>
      <c r="F59" t="s">
        <v>1172</v>
      </c>
      <c r="G59" t="s">
        <v>1130</v>
      </c>
      <c r="H59" s="4" t="str">
        <f t="shared" si="10"/>
        <v/>
      </c>
      <c r="I59" s="4" t="str">
        <f>IF(RIGHT(B59,1)="M",IF(AND(H59=1,E59="RFS",D59=INDEX('Station Depth Averages'!$A$3:$B$84,MATCH(B59,'Station Depth Averages'!$A$3:$A$84,0),2)),1,""),IF(AND(H59=1,OR(D59="SYN",D59="SRF",D59="MID")),1,IF(AND(H59=1,OR(E60="FDn",E60="LDn")),1,IF(AND(H59=1,OR(E59="FDn",E59="LDn")),1,""))))</f>
        <v/>
      </c>
      <c r="J59" s="4" t="str">
        <f t="shared" si="11"/>
        <v/>
      </c>
      <c r="K59" s="4" t="str">
        <f t="shared" si="12"/>
        <v/>
      </c>
      <c r="L59" s="4" t="str">
        <f t="shared" si="13"/>
        <v/>
      </c>
      <c r="M59" s="4" t="str">
        <f t="shared" si="14"/>
        <v/>
      </c>
      <c r="N59" s="4" t="str">
        <f t="shared" si="15"/>
        <v/>
      </c>
      <c r="O59" s="4" t="str">
        <f t="shared" si="16"/>
        <v/>
      </c>
      <c r="P59" s="4" t="str">
        <f t="shared" si="17"/>
        <v/>
      </c>
      <c r="Q59" s="4" t="str">
        <f t="shared" si="18"/>
        <v/>
      </c>
      <c r="R59" s="4" t="str">
        <f t="shared" si="19"/>
        <v/>
      </c>
      <c r="S59" s="4">
        <f t="shared" si="20"/>
        <v>1</v>
      </c>
      <c r="T59" s="4" t="str">
        <f t="shared" si="21"/>
        <v/>
      </c>
      <c r="U59">
        <f>IF(VLOOKUP(C59,'QA Table'!$Y$5:$Y$20,1,TRUE)=C59,1,0)</f>
        <v>0</v>
      </c>
      <c r="V59" t="str">
        <f t="shared" si="22"/>
        <v/>
      </c>
      <c r="W59" t="str">
        <f t="shared" si="23"/>
        <v/>
      </c>
      <c r="X59" t="str">
        <f t="shared" si="24"/>
        <v/>
      </c>
      <c r="Y59">
        <f t="shared" si="25"/>
        <v>0</v>
      </c>
      <c r="AA59" t="str">
        <f t="shared" si="26"/>
        <v/>
      </c>
    </row>
    <row r="60" spans="1:27" x14ac:dyDescent="0.2">
      <c r="A60" t="s">
        <v>0</v>
      </c>
      <c r="B60" t="s">
        <v>22</v>
      </c>
      <c r="C60" t="s">
        <v>1184</v>
      </c>
      <c r="D60" t="s">
        <v>2</v>
      </c>
      <c r="E60" t="s">
        <v>3</v>
      </c>
      <c r="F60" t="s">
        <v>1185</v>
      </c>
      <c r="G60" t="s">
        <v>1130</v>
      </c>
      <c r="H60" s="4">
        <f t="shared" si="10"/>
        <v>1</v>
      </c>
      <c r="I60" s="4">
        <f>IF(RIGHT(B60,1)="M",IF(AND(H60=1,E60="RFS",D60=INDEX('Station Depth Averages'!$A$3:$B$84,MATCH(B60,'Station Depth Averages'!$A$3:$A$84,0),2)),1,""),IF(AND(H60=1,OR(D60="SYN",D60="SRF",D60="MID")),1,IF(AND(H60=1,OR(E61="FDn",E61="LDn")),1,IF(AND(H60=1,OR(E60="FDn",E60="LDn")),1,""))))</f>
        <v>1</v>
      </c>
      <c r="J60" s="4">
        <f t="shared" si="11"/>
        <v>1</v>
      </c>
      <c r="K60" s="4" t="str">
        <f t="shared" si="12"/>
        <v/>
      </c>
      <c r="L60" s="4" t="str">
        <f t="shared" si="13"/>
        <v/>
      </c>
      <c r="M60" s="4" t="str">
        <f t="shared" si="14"/>
        <v/>
      </c>
      <c r="N60" s="4" t="str">
        <f t="shared" si="15"/>
        <v/>
      </c>
      <c r="O60" s="4" t="str">
        <f t="shared" si="16"/>
        <v/>
      </c>
      <c r="P60" s="4" t="str">
        <f t="shared" si="17"/>
        <v/>
      </c>
      <c r="Q60" s="4" t="str">
        <f t="shared" si="18"/>
        <v/>
      </c>
      <c r="R60" s="4" t="str">
        <f t="shared" si="19"/>
        <v/>
      </c>
      <c r="S60" s="4" t="str">
        <f t="shared" si="20"/>
        <v/>
      </c>
      <c r="T60" s="4" t="str">
        <f t="shared" si="21"/>
        <v/>
      </c>
      <c r="U60">
        <f>IF(VLOOKUP(C60,'QA Table'!$Y$5:$Y$20,1,TRUE)=C60,1,0)</f>
        <v>0</v>
      </c>
      <c r="V60" t="str">
        <f t="shared" si="22"/>
        <v/>
      </c>
      <c r="W60" t="str">
        <f t="shared" si="23"/>
        <v/>
      </c>
      <c r="X60">
        <f t="shared" si="24"/>
        <v>4</v>
      </c>
      <c r="Y60">
        <f t="shared" si="25"/>
        <v>0</v>
      </c>
      <c r="AA60">
        <f t="shared" si="26"/>
        <v>1</v>
      </c>
    </row>
    <row r="61" spans="1:27" x14ac:dyDescent="0.2">
      <c r="A61" t="s">
        <v>0</v>
      </c>
      <c r="B61" t="s">
        <v>22</v>
      </c>
      <c r="C61" t="s">
        <v>1186</v>
      </c>
      <c r="D61" t="s">
        <v>1050</v>
      </c>
      <c r="E61" t="s">
        <v>3</v>
      </c>
      <c r="F61" t="s">
        <v>1185</v>
      </c>
      <c r="G61" t="s">
        <v>1130</v>
      </c>
      <c r="H61" s="4" t="str">
        <f t="shared" si="10"/>
        <v/>
      </c>
      <c r="I61" s="4" t="str">
        <f>IF(RIGHT(B61,1)="M",IF(AND(H61=1,E61="RFS",D61=INDEX('Station Depth Averages'!$A$3:$B$84,MATCH(B61,'Station Depth Averages'!$A$3:$A$84,0),2)),1,""),IF(AND(H61=1,OR(D61="SYN",D61="SRF",D61="MID")),1,IF(AND(H61=1,OR(E62="FDn",E62="LDn")),1,IF(AND(H61=1,OR(E61="FDn",E61="LDn")),1,""))))</f>
        <v/>
      </c>
      <c r="J61" s="4" t="str">
        <f t="shared" si="11"/>
        <v/>
      </c>
      <c r="K61" s="4" t="str">
        <f t="shared" si="12"/>
        <v/>
      </c>
      <c r="L61" s="4" t="str">
        <f t="shared" si="13"/>
        <v/>
      </c>
      <c r="M61" s="4" t="str">
        <f t="shared" si="14"/>
        <v/>
      </c>
      <c r="N61" s="4" t="str">
        <f t="shared" si="15"/>
        <v/>
      </c>
      <c r="O61" s="4" t="str">
        <f t="shared" si="16"/>
        <v/>
      </c>
      <c r="P61" s="4" t="str">
        <f t="shared" si="17"/>
        <v/>
      </c>
      <c r="Q61" s="4" t="str">
        <f t="shared" si="18"/>
        <v/>
      </c>
      <c r="R61" s="4" t="str">
        <f t="shared" si="19"/>
        <v/>
      </c>
      <c r="S61" s="4" t="str">
        <f t="shared" si="20"/>
        <v/>
      </c>
      <c r="T61" s="4" t="str">
        <f t="shared" si="21"/>
        <v/>
      </c>
      <c r="U61">
        <f>IF(VLOOKUP(C61,'QA Table'!$Y$5:$Y$20,1,TRUE)=C61,1,0)</f>
        <v>0</v>
      </c>
      <c r="V61" t="str">
        <f t="shared" si="22"/>
        <v/>
      </c>
      <c r="W61" t="str">
        <f t="shared" si="23"/>
        <v/>
      </c>
      <c r="X61" t="str">
        <f t="shared" si="24"/>
        <v/>
      </c>
      <c r="Y61">
        <f t="shared" si="25"/>
        <v>0</v>
      </c>
      <c r="AA61" t="str">
        <f t="shared" si="26"/>
        <v/>
      </c>
    </row>
    <row r="62" spans="1:27" x14ac:dyDescent="0.2">
      <c r="A62" t="s">
        <v>0</v>
      </c>
      <c r="B62" t="s">
        <v>22</v>
      </c>
      <c r="C62" t="s">
        <v>1187</v>
      </c>
      <c r="D62" t="s">
        <v>4</v>
      </c>
      <c r="E62" t="s">
        <v>3</v>
      </c>
      <c r="F62" t="s">
        <v>1185</v>
      </c>
      <c r="G62" t="s">
        <v>1130</v>
      </c>
      <c r="H62" s="4" t="str">
        <f t="shared" si="10"/>
        <v/>
      </c>
      <c r="I62" s="4" t="str">
        <f>IF(RIGHT(B62,1)="M",IF(AND(H62=1,E62="RFS",D62=INDEX('Station Depth Averages'!$A$3:$B$84,MATCH(B62,'Station Depth Averages'!$A$3:$A$84,0),2)),1,""),IF(AND(H62=1,OR(D62="SYN",D62="SRF",D62="MID")),1,IF(AND(H62=1,OR(E63="FDn",E63="LDn")),1,IF(AND(H62=1,OR(E62="FDn",E62="LDn")),1,""))))</f>
        <v/>
      </c>
      <c r="J62" s="4" t="str">
        <f t="shared" si="11"/>
        <v/>
      </c>
      <c r="K62" s="4" t="str">
        <f t="shared" si="12"/>
        <v/>
      </c>
      <c r="L62" s="4" t="str">
        <f t="shared" si="13"/>
        <v/>
      </c>
      <c r="M62" s="4" t="str">
        <f t="shared" si="14"/>
        <v/>
      </c>
      <c r="N62" s="4" t="str">
        <f t="shared" si="15"/>
        <v/>
      </c>
      <c r="O62" s="4" t="str">
        <f t="shared" si="16"/>
        <v/>
      </c>
      <c r="P62" s="4" t="str">
        <f t="shared" si="17"/>
        <v/>
      </c>
      <c r="Q62" s="4" t="str">
        <f t="shared" si="18"/>
        <v/>
      </c>
      <c r="R62" s="4" t="str">
        <f t="shared" si="19"/>
        <v/>
      </c>
      <c r="S62" s="4" t="str">
        <f t="shared" si="20"/>
        <v/>
      </c>
      <c r="T62" s="4" t="str">
        <f t="shared" si="21"/>
        <v/>
      </c>
      <c r="U62">
        <f>IF(VLOOKUP(C62,'QA Table'!$Y$5:$Y$20,1,TRUE)=C62,1,0)</f>
        <v>0</v>
      </c>
      <c r="V62" t="str">
        <f t="shared" si="22"/>
        <v/>
      </c>
      <c r="W62" t="str">
        <f t="shared" si="23"/>
        <v/>
      </c>
      <c r="X62" t="str">
        <f t="shared" si="24"/>
        <v/>
      </c>
      <c r="Y62">
        <f t="shared" si="25"/>
        <v>0</v>
      </c>
      <c r="AA62" t="str">
        <f t="shared" si="26"/>
        <v/>
      </c>
    </row>
    <row r="63" spans="1:27" x14ac:dyDescent="0.2">
      <c r="A63" t="s">
        <v>0</v>
      </c>
      <c r="B63" t="s">
        <v>22</v>
      </c>
      <c r="C63" t="s">
        <v>1188</v>
      </c>
      <c r="D63" t="s">
        <v>1051</v>
      </c>
      <c r="E63" t="s">
        <v>3</v>
      </c>
      <c r="F63" t="s">
        <v>1185</v>
      </c>
      <c r="G63" t="s">
        <v>1130</v>
      </c>
      <c r="H63" s="4" t="str">
        <f t="shared" si="10"/>
        <v/>
      </c>
      <c r="I63" s="4" t="str">
        <f>IF(RIGHT(B63,1)="M",IF(AND(H63=1,E63="RFS",D63=INDEX('Station Depth Averages'!$A$3:$B$84,MATCH(B63,'Station Depth Averages'!$A$3:$A$84,0),2)),1,""),IF(AND(H63=1,OR(D63="SYN",D63="SRF",D63="MID")),1,IF(AND(H63=1,OR(E64="FDn",E64="LDn")),1,IF(AND(H63=1,OR(E63="FDn",E63="LDn")),1,""))))</f>
        <v/>
      </c>
      <c r="J63" s="4" t="str">
        <f t="shared" si="11"/>
        <v/>
      </c>
      <c r="K63" s="4" t="str">
        <f t="shared" si="12"/>
        <v/>
      </c>
      <c r="L63" s="4" t="str">
        <f t="shared" si="13"/>
        <v/>
      </c>
      <c r="M63" s="4" t="str">
        <f t="shared" si="14"/>
        <v/>
      </c>
      <c r="N63" s="4" t="str">
        <f t="shared" si="15"/>
        <v/>
      </c>
      <c r="O63" s="4" t="str">
        <f t="shared" si="16"/>
        <v/>
      </c>
      <c r="P63" s="4" t="str">
        <f t="shared" si="17"/>
        <v/>
      </c>
      <c r="Q63" s="4" t="str">
        <f t="shared" si="18"/>
        <v/>
      </c>
      <c r="R63" s="4" t="str">
        <f t="shared" si="19"/>
        <v/>
      </c>
      <c r="S63" s="4" t="str">
        <f t="shared" si="20"/>
        <v/>
      </c>
      <c r="T63" s="4" t="str">
        <f t="shared" si="21"/>
        <v/>
      </c>
      <c r="U63">
        <f>IF(VLOOKUP(C63,'QA Table'!$Y$5:$Y$20,1,TRUE)=C63,1,0)</f>
        <v>0</v>
      </c>
      <c r="V63" t="str">
        <f t="shared" si="22"/>
        <v/>
      </c>
      <c r="W63" t="str">
        <f t="shared" si="23"/>
        <v/>
      </c>
      <c r="X63" t="str">
        <f t="shared" si="24"/>
        <v/>
      </c>
      <c r="Y63">
        <f t="shared" si="25"/>
        <v>0</v>
      </c>
      <c r="AA63" t="str">
        <f t="shared" si="26"/>
        <v/>
      </c>
    </row>
    <row r="64" spans="1:27" x14ac:dyDescent="0.2">
      <c r="A64" t="s">
        <v>0</v>
      </c>
      <c r="B64" t="s">
        <v>22</v>
      </c>
      <c r="C64" t="s">
        <v>1189</v>
      </c>
      <c r="D64" t="s">
        <v>119</v>
      </c>
      <c r="E64" t="s">
        <v>3</v>
      </c>
      <c r="F64" t="s">
        <v>1185</v>
      </c>
      <c r="G64" t="s">
        <v>1130</v>
      </c>
      <c r="H64" s="4">
        <f t="shared" si="10"/>
        <v>1</v>
      </c>
      <c r="I64" s="4">
        <f>IF(RIGHT(B64,1)="M",IF(AND(H64=1,E64="RFS",D64=INDEX('Station Depth Averages'!$A$3:$B$84,MATCH(B64,'Station Depth Averages'!$A$3:$A$84,0),2)),1,""),IF(AND(H64=1,OR(D64="SYN",D64="SRF",D64="MID")),1,IF(AND(H64=1,OR(E65="FDn",E65="LDn")),1,IF(AND(H64=1,OR(E64="FDn",E64="LDn")),1,""))))</f>
        <v>1</v>
      </c>
      <c r="J64" s="4">
        <f t="shared" si="11"/>
        <v>1</v>
      </c>
      <c r="K64" s="4" t="str">
        <f t="shared" si="12"/>
        <v/>
      </c>
      <c r="L64" s="4" t="str">
        <f t="shared" si="13"/>
        <v/>
      </c>
      <c r="M64" s="4" t="str">
        <f t="shared" si="14"/>
        <v/>
      </c>
      <c r="N64" s="4" t="str">
        <f t="shared" si="15"/>
        <v/>
      </c>
      <c r="O64" s="4" t="str">
        <f t="shared" si="16"/>
        <v/>
      </c>
      <c r="P64" s="4" t="str">
        <f t="shared" si="17"/>
        <v/>
      </c>
      <c r="Q64" s="4" t="str">
        <f t="shared" si="18"/>
        <v/>
      </c>
      <c r="R64" s="4" t="str">
        <f t="shared" si="19"/>
        <v/>
      </c>
      <c r="S64" s="4" t="str">
        <f t="shared" si="20"/>
        <v/>
      </c>
      <c r="T64" s="4" t="str">
        <f t="shared" si="21"/>
        <v/>
      </c>
      <c r="U64">
        <f>IF(VLOOKUP(C64,'QA Table'!$Y$5:$Y$20,1,TRUE)=C64,1,0)</f>
        <v>0</v>
      </c>
      <c r="V64" t="str">
        <f t="shared" si="22"/>
        <v/>
      </c>
      <c r="W64" t="str">
        <f t="shared" si="23"/>
        <v/>
      </c>
      <c r="X64">
        <f t="shared" si="24"/>
        <v>4</v>
      </c>
      <c r="Y64">
        <f t="shared" si="25"/>
        <v>0</v>
      </c>
      <c r="AA64">
        <f t="shared" si="26"/>
        <v>1</v>
      </c>
    </row>
    <row r="65" spans="1:27" x14ac:dyDescent="0.2">
      <c r="A65" t="s">
        <v>0</v>
      </c>
      <c r="B65" t="s">
        <v>22</v>
      </c>
      <c r="C65" t="s">
        <v>1190</v>
      </c>
      <c r="D65" t="s">
        <v>5</v>
      </c>
      <c r="E65" t="s">
        <v>3</v>
      </c>
      <c r="F65" t="s">
        <v>1185</v>
      </c>
      <c r="G65" t="s">
        <v>1130</v>
      </c>
      <c r="H65" s="4">
        <f t="shared" si="10"/>
        <v>1</v>
      </c>
      <c r="I65" s="4" t="str">
        <f>IF(RIGHT(B65,1)="M",IF(AND(H65=1,E65="RFS",D65=INDEX('Station Depth Averages'!$A$3:$B$84,MATCH(B65,'Station Depth Averages'!$A$3:$A$84,0),2)),1,""),IF(AND(H65=1,OR(D65="SYN",D65="SRF",D65="MID")),1,IF(AND(H65=1,OR(E66="FDn",E66="LDn")),1,IF(AND(H65=1,OR(E65="FDn",E65="LDn")),1,""))))</f>
        <v/>
      </c>
      <c r="J65" s="4">
        <f t="shared" si="11"/>
        <v>1</v>
      </c>
      <c r="K65" s="4" t="str">
        <f t="shared" si="12"/>
        <v/>
      </c>
      <c r="L65" s="4" t="str">
        <f t="shared" si="13"/>
        <v/>
      </c>
      <c r="M65" s="4" t="str">
        <f t="shared" si="14"/>
        <v/>
      </c>
      <c r="N65" s="4" t="str">
        <f t="shared" si="15"/>
        <v/>
      </c>
      <c r="O65" s="4" t="str">
        <f t="shared" si="16"/>
        <v/>
      </c>
      <c r="P65" s="4" t="str">
        <f t="shared" si="17"/>
        <v/>
      </c>
      <c r="Q65" s="4" t="str">
        <f t="shared" si="18"/>
        <v/>
      </c>
      <c r="R65" s="4" t="str">
        <f t="shared" si="19"/>
        <v/>
      </c>
      <c r="S65" s="4" t="str">
        <f t="shared" si="20"/>
        <v/>
      </c>
      <c r="T65" s="4" t="str">
        <f t="shared" si="21"/>
        <v/>
      </c>
      <c r="U65">
        <f>IF(VLOOKUP(C65,'QA Table'!$Y$5:$Y$20,1,TRUE)=C65,1,0)</f>
        <v>0</v>
      </c>
      <c r="V65" t="str">
        <f t="shared" si="22"/>
        <v/>
      </c>
      <c r="W65" t="str">
        <f t="shared" si="23"/>
        <v/>
      </c>
      <c r="X65">
        <f t="shared" si="24"/>
        <v>4</v>
      </c>
      <c r="Y65">
        <f t="shared" si="25"/>
        <v>0</v>
      </c>
      <c r="AA65">
        <f t="shared" si="26"/>
        <v>1</v>
      </c>
    </row>
    <row r="66" spans="1:27" x14ac:dyDescent="0.2">
      <c r="A66" t="s">
        <v>0</v>
      </c>
      <c r="B66" t="s">
        <v>22</v>
      </c>
      <c r="C66" t="s">
        <v>1191</v>
      </c>
      <c r="D66" t="s">
        <v>6</v>
      </c>
      <c r="E66" t="s">
        <v>3</v>
      </c>
      <c r="F66" t="s">
        <v>1185</v>
      </c>
      <c r="G66" t="s">
        <v>1130</v>
      </c>
      <c r="H66" s="4">
        <f t="shared" si="10"/>
        <v>1</v>
      </c>
      <c r="I66" s="4" t="str">
        <f>IF(RIGHT(B66,1)="M",IF(AND(H66=1,E66="RFS",D66=INDEX('Station Depth Averages'!$A$3:$B$84,MATCH(B66,'Station Depth Averages'!$A$3:$A$84,0),2)),1,""),IF(AND(H66=1,OR(D66="SYN",D66="SRF",D66="MID")),1,IF(AND(H66=1,OR(E67="FDn",E67="LDn")),1,IF(AND(H66=1,OR(E66="FDn",E66="LDn")),1,""))))</f>
        <v/>
      </c>
      <c r="J66" s="4">
        <f t="shared" si="11"/>
        <v>1</v>
      </c>
      <c r="K66" s="4" t="str">
        <f t="shared" si="12"/>
        <v/>
      </c>
      <c r="L66" s="4" t="str">
        <f t="shared" si="13"/>
        <v/>
      </c>
      <c r="M66" s="4" t="str">
        <f t="shared" si="14"/>
        <v/>
      </c>
      <c r="N66" s="4" t="str">
        <f t="shared" si="15"/>
        <v/>
      </c>
      <c r="O66" s="4" t="str">
        <f t="shared" si="16"/>
        <v/>
      </c>
      <c r="P66" s="4" t="str">
        <f t="shared" si="17"/>
        <v/>
      </c>
      <c r="Q66" s="4" t="str">
        <f t="shared" si="18"/>
        <v/>
      </c>
      <c r="R66" s="4" t="str">
        <f t="shared" si="19"/>
        <v/>
      </c>
      <c r="S66" s="4" t="str">
        <f t="shared" si="20"/>
        <v/>
      </c>
      <c r="T66" s="4" t="str">
        <f t="shared" si="21"/>
        <v/>
      </c>
      <c r="U66">
        <f>IF(VLOOKUP(C66,'QA Table'!$Y$5:$Y$20,1,TRUE)=C66,1,0)</f>
        <v>0</v>
      </c>
      <c r="V66" t="str">
        <f t="shared" si="22"/>
        <v/>
      </c>
      <c r="W66" t="str">
        <f t="shared" si="23"/>
        <v/>
      </c>
      <c r="X66">
        <f t="shared" si="24"/>
        <v>4</v>
      </c>
      <c r="Y66">
        <f t="shared" si="25"/>
        <v>0</v>
      </c>
      <c r="AA66">
        <f t="shared" si="26"/>
        <v>1</v>
      </c>
    </row>
    <row r="67" spans="1:27" x14ac:dyDescent="0.2">
      <c r="A67" t="s">
        <v>0</v>
      </c>
      <c r="B67" t="s">
        <v>22</v>
      </c>
      <c r="C67" t="s">
        <v>1192</v>
      </c>
      <c r="D67" t="s">
        <v>8</v>
      </c>
      <c r="E67" t="s">
        <v>3</v>
      </c>
      <c r="F67" t="s">
        <v>1185</v>
      </c>
      <c r="G67" t="s">
        <v>1130</v>
      </c>
      <c r="H67" s="4">
        <f t="shared" si="10"/>
        <v>1</v>
      </c>
      <c r="I67" s="4" t="str">
        <f>IF(RIGHT(B67,1)="M",IF(AND(H67=1,E67="RFS",D67=INDEX('Station Depth Averages'!$A$3:$B$84,MATCH(B67,'Station Depth Averages'!$A$3:$A$84,0),2)),1,""),IF(AND(H67=1,OR(D67="SYN",D67="SRF",D67="MID")),1,IF(AND(H67=1,OR(E68="FDn",E68="LDn")),1,IF(AND(H67=1,OR(E67="FDn",E67="LDn")),1,""))))</f>
        <v/>
      </c>
      <c r="J67" s="4" t="str">
        <f t="shared" si="11"/>
        <v/>
      </c>
      <c r="K67" s="4">
        <f t="shared" si="12"/>
        <v>1</v>
      </c>
      <c r="L67" s="4" t="str">
        <f t="shared" si="13"/>
        <v/>
      </c>
      <c r="M67" s="4" t="str">
        <f t="shared" si="14"/>
        <v/>
      </c>
      <c r="N67" s="4" t="str">
        <f t="shared" si="15"/>
        <v/>
      </c>
      <c r="O67" s="4" t="str">
        <f t="shared" si="16"/>
        <v/>
      </c>
      <c r="P67" s="4" t="str">
        <f t="shared" si="17"/>
        <v/>
      </c>
      <c r="Q67" s="4">
        <f t="shared" si="18"/>
        <v>2</v>
      </c>
      <c r="R67" s="4" t="str">
        <f t="shared" si="19"/>
        <v/>
      </c>
      <c r="S67" s="4" t="str">
        <f t="shared" si="20"/>
        <v/>
      </c>
      <c r="T67" s="4" t="str">
        <f t="shared" si="21"/>
        <v/>
      </c>
      <c r="U67">
        <f>IF(VLOOKUP(C67,'QA Table'!$Y$5:$Y$20,1,TRUE)=C67,1,0)</f>
        <v>0</v>
      </c>
      <c r="V67" t="str">
        <f t="shared" si="22"/>
        <v/>
      </c>
      <c r="W67" t="str">
        <f t="shared" si="23"/>
        <v/>
      </c>
      <c r="X67">
        <f t="shared" si="24"/>
        <v>4</v>
      </c>
      <c r="Y67">
        <f t="shared" si="25"/>
        <v>0</v>
      </c>
      <c r="AA67">
        <f t="shared" si="26"/>
        <v>1</v>
      </c>
    </row>
    <row r="68" spans="1:27" x14ac:dyDescent="0.2">
      <c r="A68" t="s">
        <v>0</v>
      </c>
      <c r="B68" t="s">
        <v>22</v>
      </c>
      <c r="C68" t="s">
        <v>1193</v>
      </c>
      <c r="D68" t="s">
        <v>9</v>
      </c>
      <c r="E68" t="s">
        <v>3</v>
      </c>
      <c r="F68" t="s">
        <v>1185</v>
      </c>
      <c r="G68" t="s">
        <v>1130</v>
      </c>
      <c r="H68" s="4" t="str">
        <f t="shared" si="10"/>
        <v/>
      </c>
      <c r="I68" s="4" t="str">
        <f>IF(RIGHT(B68,1)="M",IF(AND(H68=1,E68="RFS",D68=INDEX('Station Depth Averages'!$A$3:$B$84,MATCH(B68,'Station Depth Averages'!$A$3:$A$84,0),2)),1,""),IF(AND(H68=1,OR(D68="SYN",D68="SRF",D68="MID")),1,IF(AND(H68=1,OR(E69="FDn",E69="LDn")),1,IF(AND(H68=1,OR(E68="FDn",E68="LDn")),1,""))))</f>
        <v/>
      </c>
      <c r="J68" s="4" t="str">
        <f t="shared" si="11"/>
        <v/>
      </c>
      <c r="K68" s="4" t="str">
        <f t="shared" si="12"/>
        <v/>
      </c>
      <c r="L68" s="4" t="str">
        <f t="shared" si="13"/>
        <v/>
      </c>
      <c r="M68" s="4" t="str">
        <f t="shared" si="14"/>
        <v/>
      </c>
      <c r="N68" s="4" t="str">
        <f t="shared" si="15"/>
        <v/>
      </c>
      <c r="O68" s="4" t="str">
        <f t="shared" si="16"/>
        <v/>
      </c>
      <c r="P68" s="4" t="str">
        <f t="shared" si="17"/>
        <v/>
      </c>
      <c r="Q68" s="4" t="str">
        <f t="shared" si="18"/>
        <v/>
      </c>
      <c r="R68" s="4" t="str">
        <f t="shared" si="19"/>
        <v/>
      </c>
      <c r="S68" s="4" t="str">
        <f t="shared" si="20"/>
        <v/>
      </c>
      <c r="T68" s="4">
        <f t="shared" si="21"/>
        <v>1</v>
      </c>
      <c r="U68">
        <f>IF(VLOOKUP(C68,'QA Table'!$Y$5:$Y$20,1,TRUE)=C68,1,0)</f>
        <v>0</v>
      </c>
      <c r="V68" t="str">
        <f t="shared" si="22"/>
        <v/>
      </c>
      <c r="W68" t="str">
        <f t="shared" si="23"/>
        <v/>
      </c>
      <c r="X68" t="str">
        <f t="shared" si="24"/>
        <v/>
      </c>
      <c r="Y68">
        <f t="shared" si="25"/>
        <v>0</v>
      </c>
      <c r="AA68" t="str">
        <f t="shared" si="26"/>
        <v/>
      </c>
    </row>
    <row r="69" spans="1:27" x14ac:dyDescent="0.2">
      <c r="A69" t="s">
        <v>0</v>
      </c>
      <c r="B69" t="s">
        <v>22</v>
      </c>
      <c r="C69" t="s">
        <v>1194</v>
      </c>
      <c r="D69" t="s">
        <v>10</v>
      </c>
      <c r="E69" t="s">
        <v>3</v>
      </c>
      <c r="F69" t="s">
        <v>1185</v>
      </c>
      <c r="G69" t="s">
        <v>1130</v>
      </c>
      <c r="H69" s="4" t="str">
        <f t="shared" si="10"/>
        <v/>
      </c>
      <c r="I69" s="4" t="str">
        <f>IF(RIGHT(B69,1)="M",IF(AND(H69=1,E69="RFS",D69=INDEX('Station Depth Averages'!$A$3:$B$84,MATCH(B69,'Station Depth Averages'!$A$3:$A$84,0),2)),1,""),IF(AND(H69=1,OR(D69="SYN",D69="SRF",D69="MID")),1,IF(AND(H69=1,OR(E70="FDn",E70="LDn")),1,IF(AND(H69=1,OR(E69="FDn",E69="LDn")),1,""))))</f>
        <v/>
      </c>
      <c r="J69" s="4" t="str">
        <f t="shared" si="11"/>
        <v/>
      </c>
      <c r="K69" s="4" t="str">
        <f t="shared" si="12"/>
        <v/>
      </c>
      <c r="L69" s="4" t="str">
        <f t="shared" si="13"/>
        <v/>
      </c>
      <c r="M69" s="4" t="str">
        <f t="shared" si="14"/>
        <v/>
      </c>
      <c r="N69" s="4" t="str">
        <f t="shared" si="15"/>
        <v/>
      </c>
      <c r="O69" s="4" t="str">
        <f t="shared" si="16"/>
        <v/>
      </c>
      <c r="P69" s="4" t="str">
        <f t="shared" si="17"/>
        <v/>
      </c>
      <c r="Q69" s="4" t="str">
        <f t="shared" si="18"/>
        <v/>
      </c>
      <c r="R69" s="4" t="str">
        <f t="shared" si="19"/>
        <v/>
      </c>
      <c r="S69" s="4" t="str">
        <f t="shared" si="20"/>
        <v/>
      </c>
      <c r="T69" s="4">
        <f t="shared" si="21"/>
        <v>1</v>
      </c>
      <c r="U69">
        <f>IF(VLOOKUP(C69,'QA Table'!$Y$5:$Y$20,1,TRUE)=C69,1,0)</f>
        <v>0</v>
      </c>
      <c r="V69" t="str">
        <f t="shared" si="22"/>
        <v/>
      </c>
      <c r="W69" t="str">
        <f t="shared" si="23"/>
        <v/>
      </c>
      <c r="X69" t="str">
        <f t="shared" si="24"/>
        <v/>
      </c>
      <c r="Y69">
        <f t="shared" si="25"/>
        <v>0</v>
      </c>
      <c r="AA69" t="str">
        <f t="shared" si="26"/>
        <v/>
      </c>
    </row>
    <row r="70" spans="1:27" x14ac:dyDescent="0.2">
      <c r="A70" t="s">
        <v>0</v>
      </c>
      <c r="B70" t="s">
        <v>22</v>
      </c>
      <c r="C70" t="s">
        <v>1195</v>
      </c>
      <c r="D70" t="s">
        <v>1034</v>
      </c>
      <c r="E70" t="s">
        <v>3</v>
      </c>
      <c r="F70" t="s">
        <v>1185</v>
      </c>
      <c r="G70" t="s">
        <v>1130</v>
      </c>
      <c r="H70" s="4" t="str">
        <f t="shared" si="10"/>
        <v/>
      </c>
      <c r="I70" s="4" t="str">
        <f>IF(RIGHT(B70,1)="M",IF(AND(H70=1,E70="RFS",D70=INDEX('Station Depth Averages'!$A$3:$B$84,MATCH(B70,'Station Depth Averages'!$A$3:$A$84,0),2)),1,""),IF(AND(H70=1,OR(D70="SYN",D70="SRF",D70="MID")),1,IF(AND(H70=1,OR(E71="FDn",E71="LDn")),1,IF(AND(H70=1,OR(E70="FDn",E70="LDn")),1,""))))</f>
        <v/>
      </c>
      <c r="J70" s="4" t="str">
        <f t="shared" si="11"/>
        <v/>
      </c>
      <c r="K70" s="4" t="str">
        <f t="shared" si="12"/>
        <v/>
      </c>
      <c r="L70" s="4" t="str">
        <f t="shared" si="13"/>
        <v/>
      </c>
      <c r="M70" s="4" t="str">
        <f t="shared" si="14"/>
        <v/>
      </c>
      <c r="N70" s="4" t="str">
        <f t="shared" si="15"/>
        <v/>
      </c>
      <c r="O70" s="4" t="str">
        <f t="shared" si="16"/>
        <v/>
      </c>
      <c r="P70" s="4" t="str">
        <f t="shared" si="17"/>
        <v/>
      </c>
      <c r="Q70" s="4" t="str">
        <f t="shared" si="18"/>
        <v/>
      </c>
      <c r="R70" s="4" t="str">
        <f t="shared" si="19"/>
        <v/>
      </c>
      <c r="S70" s="4">
        <f t="shared" si="20"/>
        <v>1</v>
      </c>
      <c r="T70" s="4" t="str">
        <f t="shared" si="21"/>
        <v/>
      </c>
      <c r="U70">
        <f>IF(VLOOKUP(C70,'QA Table'!$Y$5:$Y$20,1,TRUE)=C70,1,0)</f>
        <v>0</v>
      </c>
      <c r="V70" t="str">
        <f t="shared" si="22"/>
        <v/>
      </c>
      <c r="W70" t="str">
        <f t="shared" si="23"/>
        <v/>
      </c>
      <c r="X70" t="str">
        <f t="shared" si="24"/>
        <v/>
      </c>
      <c r="Y70">
        <f t="shared" si="25"/>
        <v>0</v>
      </c>
      <c r="AA70" t="str">
        <f t="shared" si="26"/>
        <v/>
      </c>
    </row>
    <row r="71" spans="1:27" x14ac:dyDescent="0.2">
      <c r="A71" t="s">
        <v>0</v>
      </c>
      <c r="B71" t="s">
        <v>22</v>
      </c>
      <c r="C71" t="s">
        <v>1196</v>
      </c>
      <c r="D71" t="s">
        <v>1034</v>
      </c>
      <c r="E71" t="s">
        <v>19</v>
      </c>
      <c r="F71" t="s">
        <v>1185</v>
      </c>
      <c r="G71" t="s">
        <v>1130</v>
      </c>
      <c r="H71" s="4" t="str">
        <f t="shared" ref="H71:H134" si="27">IF(OR(RIGHT(C71,1)="A",RIGHT(C71,1)="B",RIGHT(C71,1)="C",D71="Benthos",D71="Sediment",D71="Sediments",D71="D100",D71="D20",D71="Mysis",E71="FD1",E71="LD1"),"",1)</f>
        <v/>
      </c>
      <c r="I71" s="4" t="str">
        <f>IF(RIGHT(B71,1)="M",IF(AND(H71=1,E71="RFS",D71=INDEX('Station Depth Averages'!$A$3:$B$84,MATCH(B71,'Station Depth Averages'!$A$3:$A$84,0),2)),1,""),IF(AND(H71=1,OR(D71="SYN",D71="SRF",D71="MID")),1,IF(AND(H71=1,OR(E72="FDn",E72="LDn")),1,IF(AND(H71=1,OR(E71="FDn",E71="LDn")),1,""))))</f>
        <v/>
      </c>
      <c r="J71" s="4" t="str">
        <f t="shared" ref="J71:J134" si="28">IF(OR(D71="INT",D71="Benthos",D71="D100",D71="D20",E71="LDn",D71="mysis",D71="sediment",D71="sediments",OR(RIGHT(C71,1)="A",RIGHT(C71,1)="B",RIGHT(C71,1)="C",E71="FD1",E71="LD1")),"",1)</f>
        <v/>
      </c>
      <c r="K71" s="4" t="str">
        <f t="shared" ref="K71:K134" si="29">IF(D71="INT",1,"")</f>
        <v/>
      </c>
      <c r="L71" s="4" t="str">
        <f t="shared" ref="L71:L134" si="30">IF(AND(LEFT(B71,1)="E",A71&lt;&gt;"E",RIGHT(B71,1)="M"),IF(AND(A71="w",D71="MID",E71="RFS"),1,IF(AND(A71="C",D71="5M",E71="RFS"),1,"")),IF(AND(RIGHT(B71,1)="M",D71="10M",E71="RFS"),1,""))</f>
        <v/>
      </c>
      <c r="M71" s="4" t="str">
        <f t="shared" ref="M71:M134" si="31">IF(L71=1,1,"")</f>
        <v/>
      </c>
      <c r="N71" s="4" t="str">
        <f t="shared" ref="N71:N134" si="32">IF(M71=1,1,"")</f>
        <v/>
      </c>
      <c r="O71" s="4" t="str">
        <f t="shared" ref="O71:O134" si="33">IF(N71=1,1,"")</f>
        <v/>
      </c>
      <c r="P71" s="4" t="str">
        <f t="shared" ref="P71:P134" si="34">IF(O71=1,1,"")</f>
        <v/>
      </c>
      <c r="Q71" s="4" t="str">
        <f t="shared" ref="Q71:Q134" si="35">IF(AND(OR(D71="INT",D71="DCL"),OR(LEFT(B71,2)="SU",LEFT(B71,2)="HU",LEFT(B71,2)="MI",LEFT(B71,2)="CS",LEFT(B71,2)="ON")),2,IF(AND(OR(D71="INT",D71="DCL"),LEFT(B71,2)="ER"),1,""))</f>
        <v/>
      </c>
      <c r="R71" s="4" t="str">
        <f t="shared" ref="R71:R134" si="36">IF(D71="benthos",1,"")</f>
        <v/>
      </c>
      <c r="S71" s="4">
        <f t="shared" ref="S71:S134" si="37">IF(D71="mysis",1,"")</f>
        <v>1</v>
      </c>
      <c r="T71" s="4" t="str">
        <f t="shared" ref="T71:T134" si="38">IF(AND(OR(D71="d20",D71="d100"),LEFT(B71,2)="SU"),2,IF(OR(D71="D20",D71="d100"),1,""))</f>
        <v/>
      </c>
      <c r="U71">
        <f>IF(VLOOKUP(C71,'QA Table'!$Y$5:$Y$20,1,TRUE)=C71,1,0)</f>
        <v>0</v>
      </c>
      <c r="V71" t="str">
        <f t="shared" ref="V71:V134" si="39">IF(AND(D71="Sediment",RIGHT(C71,1)="8"),1,"")</f>
        <v/>
      </c>
      <c r="W71" t="str">
        <f t="shared" ref="W71:W134" si="40">IF(AND(D71="Sediment",RIGHT(C71,1)="9"),1,"")</f>
        <v/>
      </c>
      <c r="X71" t="str">
        <f t="shared" ref="X71:X134" si="41">IF(AND(H71=1,OR(LEFT(B71,1)="M",LEFT(B71,1)="E",LEFT(B71,1)="O",LEFT(B71,1)="C")),4,IF(AND(H71=1,OR(LEFT(B71,1)="H",LEFT(B71,1)="S")),3,""))</f>
        <v/>
      </c>
      <c r="Y71">
        <f t="shared" ref="Y71:Y134" si="42">IF(U71=1,1,IF(AND(E71="LD1",U70=1),1,IF(AND(E71="FD1",U69=1),1,0)))</f>
        <v>0</v>
      </c>
      <c r="AA71" t="str">
        <f t="shared" ref="AA71:AA134" si="43">IF(X71&lt;&gt;"",1,"")</f>
        <v/>
      </c>
    </row>
    <row r="72" spans="1:27" x14ac:dyDescent="0.2">
      <c r="A72" t="s">
        <v>23</v>
      </c>
      <c r="B72" t="s">
        <v>24</v>
      </c>
      <c r="C72" t="s">
        <v>1104</v>
      </c>
      <c r="D72" t="s">
        <v>2</v>
      </c>
      <c r="E72" t="s">
        <v>3</v>
      </c>
      <c r="F72" t="s">
        <v>1197</v>
      </c>
      <c r="G72" t="s">
        <v>1130</v>
      </c>
      <c r="H72" s="4">
        <f t="shared" si="27"/>
        <v>1</v>
      </c>
      <c r="I72" s="4" t="str">
        <f>IF(RIGHT(B72,1)="M",IF(AND(H72=1,E72="RFS",D72=INDEX('Station Depth Averages'!$A$3:$B$84,MATCH(B72,'Station Depth Averages'!$A$3:$A$84,0),2)),1,""),IF(AND(H72=1,OR(D72="SYN",D72="SRF",D72="MID")),1,IF(AND(H72=1,OR(E73="FDn",E73="LDn")),1,IF(AND(H72=1,OR(E72="FDn",E72="LDn")),1,""))))</f>
        <v/>
      </c>
      <c r="J72" s="4">
        <f t="shared" si="28"/>
        <v>1</v>
      </c>
      <c r="K72" s="4" t="str">
        <f t="shared" si="29"/>
        <v/>
      </c>
      <c r="L72" s="4" t="str">
        <f t="shared" si="30"/>
        <v/>
      </c>
      <c r="M72" s="4" t="str">
        <f t="shared" si="31"/>
        <v/>
      </c>
      <c r="N72" s="4" t="str">
        <f t="shared" si="32"/>
        <v/>
      </c>
      <c r="O72" s="4" t="str">
        <f t="shared" si="33"/>
        <v/>
      </c>
      <c r="P72" s="4" t="str">
        <f t="shared" si="34"/>
        <v/>
      </c>
      <c r="Q72" s="4" t="str">
        <f t="shared" si="35"/>
        <v/>
      </c>
      <c r="R72" s="4" t="str">
        <f t="shared" si="36"/>
        <v/>
      </c>
      <c r="S72" s="4" t="str">
        <f t="shared" si="37"/>
        <v/>
      </c>
      <c r="T72" s="4" t="str">
        <f t="shared" si="38"/>
        <v/>
      </c>
      <c r="U72">
        <f>IF(VLOOKUP(C72,'QA Table'!$Y$5:$Y$20,1,TRUE)=C72,1,0)</f>
        <v>1</v>
      </c>
      <c r="V72" t="str">
        <f t="shared" si="39"/>
        <v/>
      </c>
      <c r="W72" t="str">
        <f t="shared" si="40"/>
        <v/>
      </c>
      <c r="X72">
        <f t="shared" si="41"/>
        <v>4</v>
      </c>
      <c r="Y72">
        <f t="shared" si="42"/>
        <v>1</v>
      </c>
      <c r="AA72">
        <f t="shared" si="43"/>
        <v>1</v>
      </c>
    </row>
    <row r="73" spans="1:27" x14ac:dyDescent="0.2">
      <c r="A73" t="s">
        <v>23</v>
      </c>
      <c r="B73" t="s">
        <v>24</v>
      </c>
      <c r="C73" t="s">
        <v>1198</v>
      </c>
      <c r="D73" t="s">
        <v>1050</v>
      </c>
      <c r="E73" t="s">
        <v>3</v>
      </c>
      <c r="F73" t="s">
        <v>1197</v>
      </c>
      <c r="G73" t="s">
        <v>1130</v>
      </c>
      <c r="H73" s="4">
        <f t="shared" si="27"/>
        <v>1</v>
      </c>
      <c r="I73" s="4" t="str">
        <f>IF(RIGHT(B73,1)="M",IF(AND(H73=1,E73="RFS",D73=INDEX('Station Depth Averages'!$A$3:$B$84,MATCH(B73,'Station Depth Averages'!$A$3:$A$84,0),2)),1,""),IF(AND(H73=1,OR(D73="SYN",D73="SRF",D73="MID")),1,IF(AND(H73=1,OR(E74="FDn",E74="LDn")),1,IF(AND(H73=1,OR(E73="FDn",E73="LDn")),1,""))))</f>
        <v/>
      </c>
      <c r="J73" s="4">
        <f t="shared" si="28"/>
        <v>1</v>
      </c>
      <c r="K73" s="4" t="str">
        <f t="shared" si="29"/>
        <v/>
      </c>
      <c r="L73" s="4" t="str">
        <f t="shared" si="30"/>
        <v/>
      </c>
      <c r="M73" s="4" t="str">
        <f t="shared" si="31"/>
        <v/>
      </c>
      <c r="N73" s="4" t="str">
        <f t="shared" si="32"/>
        <v/>
      </c>
      <c r="O73" s="4" t="str">
        <f t="shared" si="33"/>
        <v/>
      </c>
      <c r="P73" s="4" t="str">
        <f t="shared" si="34"/>
        <v/>
      </c>
      <c r="Q73" s="4" t="str">
        <f t="shared" si="35"/>
        <v/>
      </c>
      <c r="R73" s="4" t="str">
        <f t="shared" si="36"/>
        <v/>
      </c>
      <c r="S73" s="4" t="str">
        <f t="shared" si="37"/>
        <v/>
      </c>
      <c r="T73" s="4" t="str">
        <f t="shared" si="38"/>
        <v/>
      </c>
      <c r="U73">
        <f>IF(VLOOKUP(C73,'QA Table'!$Y$5:$Y$20,1,TRUE)=C73,1,0)</f>
        <v>0</v>
      </c>
      <c r="V73" t="str">
        <f t="shared" si="39"/>
        <v/>
      </c>
      <c r="W73" t="str">
        <f t="shared" si="40"/>
        <v/>
      </c>
      <c r="X73">
        <f t="shared" si="41"/>
        <v>4</v>
      </c>
      <c r="Y73">
        <f t="shared" si="42"/>
        <v>0</v>
      </c>
      <c r="AA73">
        <f t="shared" si="43"/>
        <v>1</v>
      </c>
    </row>
    <row r="74" spans="1:27" x14ac:dyDescent="0.2">
      <c r="A74" t="s">
        <v>23</v>
      </c>
      <c r="B74" t="s">
        <v>24</v>
      </c>
      <c r="C74" t="s">
        <v>1199</v>
      </c>
      <c r="D74" t="s">
        <v>4</v>
      </c>
      <c r="E74" t="s">
        <v>3</v>
      </c>
      <c r="F74" t="s">
        <v>1197</v>
      </c>
      <c r="G74" t="s">
        <v>1130</v>
      </c>
      <c r="H74" s="4">
        <f t="shared" si="27"/>
        <v>1</v>
      </c>
      <c r="I74" s="4" t="str">
        <f>IF(RIGHT(B74,1)="M",IF(AND(H74=1,E74="RFS",D74=INDEX('Station Depth Averages'!$A$3:$B$84,MATCH(B74,'Station Depth Averages'!$A$3:$A$84,0),2)),1,""),IF(AND(H74=1,OR(D74="SYN",D74="SRF",D74="MID")),1,IF(AND(H74=1,OR(E75="FDn",E75="LDn")),1,IF(AND(H74=1,OR(E74="FDn",E74="LDn")),1,""))))</f>
        <v/>
      </c>
      <c r="J74" s="4">
        <f t="shared" si="28"/>
        <v>1</v>
      </c>
      <c r="K74" s="4" t="str">
        <f t="shared" si="29"/>
        <v/>
      </c>
      <c r="L74" s="4">
        <f t="shared" si="30"/>
        <v>1</v>
      </c>
      <c r="M74" s="4">
        <f t="shared" si="31"/>
        <v>1</v>
      </c>
      <c r="N74" s="4">
        <f t="shared" si="32"/>
        <v>1</v>
      </c>
      <c r="O74" s="4">
        <f t="shared" si="33"/>
        <v>1</v>
      </c>
      <c r="P74" s="4">
        <f t="shared" si="34"/>
        <v>1</v>
      </c>
      <c r="Q74" s="4" t="str">
        <f t="shared" si="35"/>
        <v/>
      </c>
      <c r="R74" s="4" t="str">
        <f t="shared" si="36"/>
        <v/>
      </c>
      <c r="S74" s="4" t="str">
        <f t="shared" si="37"/>
        <v/>
      </c>
      <c r="T74" s="4" t="str">
        <f t="shared" si="38"/>
        <v/>
      </c>
      <c r="U74">
        <f>IF(VLOOKUP(C74,'QA Table'!$Y$5:$Y$20,1,TRUE)=C74,1,0)</f>
        <v>0</v>
      </c>
      <c r="V74" t="str">
        <f t="shared" si="39"/>
        <v/>
      </c>
      <c r="W74" t="str">
        <f t="shared" si="40"/>
        <v/>
      </c>
      <c r="X74">
        <f t="shared" si="41"/>
        <v>4</v>
      </c>
      <c r="Y74">
        <f t="shared" si="42"/>
        <v>0</v>
      </c>
      <c r="AA74">
        <f t="shared" si="43"/>
        <v>1</v>
      </c>
    </row>
    <row r="75" spans="1:27" x14ac:dyDescent="0.2">
      <c r="A75" t="s">
        <v>23</v>
      </c>
      <c r="B75" t="s">
        <v>24</v>
      </c>
      <c r="C75" t="s">
        <v>1200</v>
      </c>
      <c r="D75" t="s">
        <v>1051</v>
      </c>
      <c r="E75" t="s">
        <v>3</v>
      </c>
      <c r="F75" t="s">
        <v>1197</v>
      </c>
      <c r="G75" t="s">
        <v>1130</v>
      </c>
      <c r="H75" s="4">
        <f t="shared" si="27"/>
        <v>1</v>
      </c>
      <c r="I75" s="4" t="str">
        <f>IF(RIGHT(B75,1)="M",IF(AND(H75=1,E75="RFS",D75=INDEX('Station Depth Averages'!$A$3:$B$84,MATCH(B75,'Station Depth Averages'!$A$3:$A$84,0),2)),1,""),IF(AND(H75=1,OR(D75="SYN",D75="SRF",D75="MID")),1,IF(AND(H75=1,OR(E76="FDn",E76="LDn")),1,IF(AND(H75=1,OR(E75="FDn",E75="LDn")),1,""))))</f>
        <v/>
      </c>
      <c r="J75" s="4">
        <f t="shared" si="28"/>
        <v>1</v>
      </c>
      <c r="K75" s="4" t="str">
        <f t="shared" si="29"/>
        <v/>
      </c>
      <c r="L75" s="4" t="str">
        <f t="shared" si="30"/>
        <v/>
      </c>
      <c r="M75" s="4" t="str">
        <f t="shared" si="31"/>
        <v/>
      </c>
      <c r="N75" s="4" t="str">
        <f t="shared" si="32"/>
        <v/>
      </c>
      <c r="O75" s="4" t="str">
        <f t="shared" si="33"/>
        <v/>
      </c>
      <c r="P75" s="4" t="str">
        <f t="shared" si="34"/>
        <v/>
      </c>
      <c r="Q75" s="4" t="str">
        <f t="shared" si="35"/>
        <v/>
      </c>
      <c r="R75" s="4" t="str">
        <f t="shared" si="36"/>
        <v/>
      </c>
      <c r="S75" s="4" t="str">
        <f t="shared" si="37"/>
        <v/>
      </c>
      <c r="T75" s="4" t="str">
        <f t="shared" si="38"/>
        <v/>
      </c>
      <c r="U75">
        <f>IF(VLOOKUP(C75,'QA Table'!$Y$5:$Y$20,1,TRUE)=C75,1,0)</f>
        <v>0</v>
      </c>
      <c r="V75" t="str">
        <f t="shared" si="39"/>
        <v/>
      </c>
      <c r="W75" t="str">
        <f t="shared" si="40"/>
        <v/>
      </c>
      <c r="X75">
        <f t="shared" si="41"/>
        <v>4</v>
      </c>
      <c r="Y75">
        <f t="shared" si="42"/>
        <v>0</v>
      </c>
      <c r="AA75">
        <f t="shared" si="43"/>
        <v>1</v>
      </c>
    </row>
    <row r="76" spans="1:27" x14ac:dyDescent="0.2">
      <c r="A76" t="s">
        <v>23</v>
      </c>
      <c r="B76" t="s">
        <v>24</v>
      </c>
      <c r="C76" t="s">
        <v>1201</v>
      </c>
      <c r="D76" t="s">
        <v>120</v>
      </c>
      <c r="E76" t="s">
        <v>3</v>
      </c>
      <c r="F76" t="s">
        <v>1197</v>
      </c>
      <c r="G76" t="s">
        <v>1130</v>
      </c>
      <c r="H76" s="4">
        <f t="shared" si="27"/>
        <v>1</v>
      </c>
      <c r="I76" s="4" t="str">
        <f>IF(RIGHT(B76,1)="M",IF(AND(H76=1,E76="RFS",D76=INDEX('Station Depth Averages'!$A$3:$B$84,MATCH(B76,'Station Depth Averages'!$A$3:$A$84,0),2)),1,""),IF(AND(H76=1,OR(D76="SYN",D76="SRF",D76="MID")),1,IF(AND(H76=1,OR(E77="FDn",E77="LDn")),1,IF(AND(H76=1,OR(E76="FDn",E76="LDn")),1,""))))</f>
        <v/>
      </c>
      <c r="J76" s="4">
        <f t="shared" si="28"/>
        <v>1</v>
      </c>
      <c r="K76" s="4" t="str">
        <f t="shared" si="29"/>
        <v/>
      </c>
      <c r="L76" s="4" t="str">
        <f t="shared" si="30"/>
        <v/>
      </c>
      <c r="M76" s="4" t="str">
        <f t="shared" si="31"/>
        <v/>
      </c>
      <c r="N76" s="4" t="str">
        <f t="shared" si="32"/>
        <v/>
      </c>
      <c r="O76" s="4" t="str">
        <f t="shared" si="33"/>
        <v/>
      </c>
      <c r="P76" s="4" t="str">
        <f t="shared" si="34"/>
        <v/>
      </c>
      <c r="Q76" s="4" t="str">
        <f t="shared" si="35"/>
        <v/>
      </c>
      <c r="R76" s="4" t="str">
        <f t="shared" si="36"/>
        <v/>
      </c>
      <c r="S76" s="4" t="str">
        <f t="shared" si="37"/>
        <v/>
      </c>
      <c r="T76" s="4" t="str">
        <f t="shared" si="38"/>
        <v/>
      </c>
      <c r="U76">
        <f>IF(VLOOKUP(C76,'QA Table'!$Y$5:$Y$20,1,TRUE)=C76,1,0)</f>
        <v>0</v>
      </c>
      <c r="V76" t="str">
        <f t="shared" si="39"/>
        <v/>
      </c>
      <c r="W76" t="str">
        <f t="shared" si="40"/>
        <v/>
      </c>
      <c r="X76">
        <f t="shared" si="41"/>
        <v>4</v>
      </c>
      <c r="Y76">
        <f t="shared" si="42"/>
        <v>0</v>
      </c>
      <c r="AA76">
        <f t="shared" si="43"/>
        <v>1</v>
      </c>
    </row>
    <row r="77" spans="1:27" x14ac:dyDescent="0.2">
      <c r="A77" t="s">
        <v>23</v>
      </c>
      <c r="B77" t="s">
        <v>24</v>
      </c>
      <c r="C77" t="s">
        <v>1202</v>
      </c>
      <c r="D77" t="s">
        <v>16</v>
      </c>
      <c r="E77" t="s">
        <v>3</v>
      </c>
      <c r="F77" t="s">
        <v>1197</v>
      </c>
      <c r="G77" t="s">
        <v>1130</v>
      </c>
      <c r="H77" s="4">
        <f t="shared" si="27"/>
        <v>1</v>
      </c>
      <c r="I77" s="4" t="str">
        <f>IF(RIGHT(B77,1)="M",IF(AND(H77=1,E77="RFS",D77=INDEX('Station Depth Averages'!$A$3:$B$84,MATCH(B77,'Station Depth Averages'!$A$3:$A$84,0),2)),1,""),IF(AND(H77=1,OR(D77="SYN",D77="SRF",D77="MID")),1,IF(AND(H77=1,OR(E78="FDn",E78="LDn")),1,IF(AND(H77=1,OR(E77="FDn",E77="LDn")),1,""))))</f>
        <v/>
      </c>
      <c r="J77" s="4">
        <f t="shared" si="28"/>
        <v>1</v>
      </c>
      <c r="K77" s="4" t="str">
        <f t="shared" si="29"/>
        <v/>
      </c>
      <c r="L77" s="4" t="str">
        <f t="shared" si="30"/>
        <v/>
      </c>
      <c r="M77" s="4" t="str">
        <f t="shared" si="31"/>
        <v/>
      </c>
      <c r="N77" s="4" t="str">
        <f t="shared" si="32"/>
        <v/>
      </c>
      <c r="O77" s="4" t="str">
        <f t="shared" si="33"/>
        <v/>
      </c>
      <c r="P77" s="4" t="str">
        <f t="shared" si="34"/>
        <v/>
      </c>
      <c r="Q77" s="4" t="str">
        <f t="shared" si="35"/>
        <v/>
      </c>
      <c r="R77" s="4" t="str">
        <f t="shared" si="36"/>
        <v/>
      </c>
      <c r="S77" s="4" t="str">
        <f t="shared" si="37"/>
        <v/>
      </c>
      <c r="T77" s="4" t="str">
        <f t="shared" si="38"/>
        <v/>
      </c>
      <c r="U77">
        <f>IF(VLOOKUP(C77,'QA Table'!$Y$5:$Y$20,1,TRUE)=C77,1,0)</f>
        <v>0</v>
      </c>
      <c r="V77" t="str">
        <f t="shared" si="39"/>
        <v/>
      </c>
      <c r="W77" t="str">
        <f t="shared" si="40"/>
        <v/>
      </c>
      <c r="X77">
        <f t="shared" si="41"/>
        <v>4</v>
      </c>
      <c r="Y77">
        <f t="shared" si="42"/>
        <v>0</v>
      </c>
      <c r="AA77">
        <f t="shared" si="43"/>
        <v>1</v>
      </c>
    </row>
    <row r="78" spans="1:27" x14ac:dyDescent="0.2">
      <c r="A78" t="s">
        <v>23</v>
      </c>
      <c r="B78" t="s">
        <v>24</v>
      </c>
      <c r="C78" t="s">
        <v>1203</v>
      </c>
      <c r="D78" t="s">
        <v>17</v>
      </c>
      <c r="E78" t="s">
        <v>3</v>
      </c>
      <c r="F78" t="s">
        <v>1197</v>
      </c>
      <c r="G78" t="s">
        <v>1130</v>
      </c>
      <c r="H78" s="4">
        <f t="shared" si="27"/>
        <v>1</v>
      </c>
      <c r="I78" s="4">
        <f>IF(RIGHT(B78,1)="M",IF(AND(H78=1,E78="RFS",D78=INDEX('Station Depth Averages'!$A$3:$B$84,MATCH(B78,'Station Depth Averages'!$A$3:$A$84,0),2)),1,""),IF(AND(H78=1,OR(D78="SYN",D78="SRF",D78="MID")),1,IF(AND(H78=1,OR(E79="FDn",E79="LDn")),1,IF(AND(H78=1,OR(E78="FDn",E78="LDn")),1,""))))</f>
        <v>1</v>
      </c>
      <c r="J78" s="4">
        <f t="shared" si="28"/>
        <v>1</v>
      </c>
      <c r="K78" s="4" t="str">
        <f t="shared" si="29"/>
        <v/>
      </c>
      <c r="L78" s="4" t="str">
        <f t="shared" si="30"/>
        <v/>
      </c>
      <c r="M78" s="4" t="str">
        <f t="shared" si="31"/>
        <v/>
      </c>
      <c r="N78" s="4" t="str">
        <f t="shared" si="32"/>
        <v/>
      </c>
      <c r="O78" s="4" t="str">
        <f t="shared" si="33"/>
        <v/>
      </c>
      <c r="P78" s="4" t="str">
        <f t="shared" si="34"/>
        <v/>
      </c>
      <c r="Q78" s="4" t="str">
        <f t="shared" si="35"/>
        <v/>
      </c>
      <c r="R78" s="4" t="str">
        <f t="shared" si="36"/>
        <v/>
      </c>
      <c r="S78" s="4" t="str">
        <f t="shared" si="37"/>
        <v/>
      </c>
      <c r="T78" s="4" t="str">
        <f t="shared" si="38"/>
        <v/>
      </c>
      <c r="U78">
        <f>IF(VLOOKUP(C78,'QA Table'!$Y$5:$Y$20,1,TRUE)=C78,1,0)</f>
        <v>0</v>
      </c>
      <c r="V78" t="str">
        <f t="shared" si="39"/>
        <v/>
      </c>
      <c r="W78" t="str">
        <f t="shared" si="40"/>
        <v/>
      </c>
      <c r="X78">
        <f t="shared" si="41"/>
        <v>4</v>
      </c>
      <c r="Y78">
        <f t="shared" si="42"/>
        <v>0</v>
      </c>
      <c r="AA78">
        <f t="shared" si="43"/>
        <v>1</v>
      </c>
    </row>
    <row r="79" spans="1:27" x14ac:dyDescent="0.2">
      <c r="A79" t="s">
        <v>23</v>
      </c>
      <c r="B79" t="s">
        <v>24</v>
      </c>
      <c r="C79" t="s">
        <v>1204</v>
      </c>
      <c r="D79" t="s">
        <v>5</v>
      </c>
      <c r="E79" t="s">
        <v>3</v>
      </c>
      <c r="F79" t="s">
        <v>1197</v>
      </c>
      <c r="G79" t="s">
        <v>1130</v>
      </c>
      <c r="H79" s="4">
        <f t="shared" si="27"/>
        <v>1</v>
      </c>
      <c r="I79" s="4" t="str">
        <f>IF(RIGHT(B79,1)="M",IF(AND(H79=1,E79="RFS",D79=INDEX('Station Depth Averages'!$A$3:$B$84,MATCH(B79,'Station Depth Averages'!$A$3:$A$84,0),2)),1,""),IF(AND(H79=1,OR(D79="SYN",D79="SRF",D79="MID")),1,IF(AND(H79=1,OR(E80="FDn",E80="LDn")),1,IF(AND(H79=1,OR(E79="FDn",E79="LDn")),1,""))))</f>
        <v/>
      </c>
      <c r="J79" s="4">
        <f t="shared" si="28"/>
        <v>1</v>
      </c>
      <c r="K79" s="4" t="str">
        <f t="shared" si="29"/>
        <v/>
      </c>
      <c r="L79" s="4" t="str">
        <f t="shared" si="30"/>
        <v/>
      </c>
      <c r="M79" s="4" t="str">
        <f t="shared" si="31"/>
        <v/>
      </c>
      <c r="N79" s="4" t="str">
        <f t="shared" si="32"/>
        <v/>
      </c>
      <c r="O79" s="4" t="str">
        <f t="shared" si="33"/>
        <v/>
      </c>
      <c r="P79" s="4" t="str">
        <f t="shared" si="34"/>
        <v/>
      </c>
      <c r="Q79" s="4" t="str">
        <f t="shared" si="35"/>
        <v/>
      </c>
      <c r="R79" s="4" t="str">
        <f t="shared" si="36"/>
        <v/>
      </c>
      <c r="S79" s="4" t="str">
        <f t="shared" si="37"/>
        <v/>
      </c>
      <c r="T79" s="4" t="str">
        <f t="shared" si="38"/>
        <v/>
      </c>
      <c r="U79">
        <f>IF(VLOOKUP(C79,'QA Table'!$Y$5:$Y$20,1,TRUE)=C79,1,0)</f>
        <v>0</v>
      </c>
      <c r="V79" t="str">
        <f t="shared" si="39"/>
        <v/>
      </c>
      <c r="W79" t="str">
        <f t="shared" si="40"/>
        <v/>
      </c>
      <c r="X79">
        <f t="shared" si="41"/>
        <v>4</v>
      </c>
      <c r="Y79">
        <f t="shared" si="42"/>
        <v>0</v>
      </c>
      <c r="AA79">
        <f t="shared" si="43"/>
        <v>1</v>
      </c>
    </row>
    <row r="80" spans="1:27" x14ac:dyDescent="0.2">
      <c r="A80" t="s">
        <v>23</v>
      </c>
      <c r="B80" t="s">
        <v>24</v>
      </c>
      <c r="C80" t="s">
        <v>1205</v>
      </c>
      <c r="D80" t="s">
        <v>6</v>
      </c>
      <c r="E80" t="s">
        <v>3</v>
      </c>
      <c r="F80" t="s">
        <v>1197</v>
      </c>
      <c r="G80" t="s">
        <v>1130</v>
      </c>
      <c r="H80" s="4">
        <f t="shared" si="27"/>
        <v>1</v>
      </c>
      <c r="I80" s="4" t="str">
        <f>IF(RIGHT(B80,1)="M",IF(AND(H80=1,E80="RFS",D80=INDEX('Station Depth Averages'!$A$3:$B$84,MATCH(B80,'Station Depth Averages'!$A$3:$A$84,0),2)),1,""),IF(AND(H80=1,OR(D80="SYN",D80="SRF",D80="MID")),1,IF(AND(H80=1,OR(E81="FDn",E81="LDn")),1,IF(AND(H80=1,OR(E80="FDn",E80="LDn")),1,""))))</f>
        <v/>
      </c>
      <c r="J80" s="4">
        <f t="shared" si="28"/>
        <v>1</v>
      </c>
      <c r="K80" s="4" t="str">
        <f t="shared" si="29"/>
        <v/>
      </c>
      <c r="L80" s="4" t="str">
        <f t="shared" si="30"/>
        <v/>
      </c>
      <c r="M80" s="4" t="str">
        <f t="shared" si="31"/>
        <v/>
      </c>
      <c r="N80" s="4" t="str">
        <f t="shared" si="32"/>
        <v/>
      </c>
      <c r="O80" s="4" t="str">
        <f t="shared" si="33"/>
        <v/>
      </c>
      <c r="P80" s="4" t="str">
        <f t="shared" si="34"/>
        <v/>
      </c>
      <c r="Q80" s="4" t="str">
        <f t="shared" si="35"/>
        <v/>
      </c>
      <c r="R80" s="4" t="str">
        <f t="shared" si="36"/>
        <v/>
      </c>
      <c r="S80" s="4" t="str">
        <f t="shared" si="37"/>
        <v/>
      </c>
      <c r="T80" s="4" t="str">
        <f t="shared" si="38"/>
        <v/>
      </c>
      <c r="U80">
        <f>IF(VLOOKUP(C80,'QA Table'!$Y$5:$Y$20,1,TRUE)=C80,1,0)</f>
        <v>0</v>
      </c>
      <c r="V80" t="str">
        <f t="shared" si="39"/>
        <v/>
      </c>
      <c r="W80" t="str">
        <f t="shared" si="40"/>
        <v/>
      </c>
      <c r="X80">
        <f t="shared" si="41"/>
        <v>4</v>
      </c>
      <c r="Y80">
        <f t="shared" si="42"/>
        <v>0</v>
      </c>
      <c r="AA80">
        <f t="shared" si="43"/>
        <v>1</v>
      </c>
    </row>
    <row r="81" spans="1:27" x14ac:dyDescent="0.2">
      <c r="A81" t="s">
        <v>23</v>
      </c>
      <c r="B81" t="s">
        <v>24</v>
      </c>
      <c r="C81" t="s">
        <v>1206</v>
      </c>
      <c r="D81" t="s">
        <v>8</v>
      </c>
      <c r="E81" t="s">
        <v>3</v>
      </c>
      <c r="F81" t="s">
        <v>1197</v>
      </c>
      <c r="G81" t="s">
        <v>1130</v>
      </c>
      <c r="H81" s="4">
        <f t="shared" si="27"/>
        <v>1</v>
      </c>
      <c r="I81" s="4" t="str">
        <f>IF(RIGHT(B81,1)="M",IF(AND(H81=1,E81="RFS",D81=INDEX('Station Depth Averages'!$A$3:$B$84,MATCH(B81,'Station Depth Averages'!$A$3:$A$84,0),2)),1,""),IF(AND(H81=1,OR(D81="SYN",D81="SRF",D81="MID")),1,IF(AND(H81=1,OR(E82="FDn",E82="LDn")),1,IF(AND(H81=1,OR(E81="FDn",E81="LDn")),1,""))))</f>
        <v/>
      </c>
      <c r="J81" s="4" t="str">
        <f t="shared" si="28"/>
        <v/>
      </c>
      <c r="K81" s="4">
        <f t="shared" si="29"/>
        <v>1</v>
      </c>
      <c r="L81" s="4" t="str">
        <f t="shared" si="30"/>
        <v/>
      </c>
      <c r="M81" s="4" t="str">
        <f t="shared" si="31"/>
        <v/>
      </c>
      <c r="N81" s="4" t="str">
        <f t="shared" si="32"/>
        <v/>
      </c>
      <c r="O81" s="4" t="str">
        <f t="shared" si="33"/>
        <v/>
      </c>
      <c r="P81" s="4" t="str">
        <f t="shared" si="34"/>
        <v/>
      </c>
      <c r="Q81" s="4">
        <f t="shared" si="35"/>
        <v>2</v>
      </c>
      <c r="R81" s="4" t="str">
        <f t="shared" si="36"/>
        <v/>
      </c>
      <c r="S81" s="4" t="str">
        <f t="shared" si="37"/>
        <v/>
      </c>
      <c r="T81" s="4" t="str">
        <f t="shared" si="38"/>
        <v/>
      </c>
      <c r="U81">
        <f>IF(VLOOKUP(C81,'QA Table'!$Y$5:$Y$20,1,TRUE)=C81,1,0)</f>
        <v>0</v>
      </c>
      <c r="V81" t="str">
        <f t="shared" si="39"/>
        <v/>
      </c>
      <c r="W81" t="str">
        <f t="shared" si="40"/>
        <v/>
      </c>
      <c r="X81">
        <f t="shared" si="41"/>
        <v>4</v>
      </c>
      <c r="Y81">
        <f t="shared" si="42"/>
        <v>0</v>
      </c>
      <c r="AA81">
        <f t="shared" si="43"/>
        <v>1</v>
      </c>
    </row>
    <row r="82" spans="1:27" x14ac:dyDescent="0.2">
      <c r="A82" t="s">
        <v>23</v>
      </c>
      <c r="B82" t="s">
        <v>24</v>
      </c>
      <c r="C82" t="s">
        <v>1207</v>
      </c>
      <c r="D82" t="s">
        <v>9</v>
      </c>
      <c r="E82" t="s">
        <v>3</v>
      </c>
      <c r="F82" t="s">
        <v>1197</v>
      </c>
      <c r="G82" t="s">
        <v>1130</v>
      </c>
      <c r="H82" s="4" t="str">
        <f t="shared" si="27"/>
        <v/>
      </c>
      <c r="I82" s="4" t="str">
        <f>IF(RIGHT(B82,1)="M",IF(AND(H82=1,E82="RFS",D82=INDEX('Station Depth Averages'!$A$3:$B$84,MATCH(B82,'Station Depth Averages'!$A$3:$A$84,0),2)),1,""),IF(AND(H82=1,OR(D82="SYN",D82="SRF",D82="MID")),1,IF(AND(H82=1,OR(E83="FDn",E83="LDn")),1,IF(AND(H82=1,OR(E82="FDn",E82="LDn")),1,""))))</f>
        <v/>
      </c>
      <c r="J82" s="4" t="str">
        <f t="shared" si="28"/>
        <v/>
      </c>
      <c r="K82" s="4" t="str">
        <f t="shared" si="29"/>
        <v/>
      </c>
      <c r="L82" s="4" t="str">
        <f t="shared" si="30"/>
        <v/>
      </c>
      <c r="M82" s="4" t="str">
        <f t="shared" si="31"/>
        <v/>
      </c>
      <c r="N82" s="4" t="str">
        <f t="shared" si="32"/>
        <v/>
      </c>
      <c r="O82" s="4" t="str">
        <f t="shared" si="33"/>
        <v/>
      </c>
      <c r="P82" s="4" t="str">
        <f t="shared" si="34"/>
        <v/>
      </c>
      <c r="Q82" s="4" t="str">
        <f t="shared" si="35"/>
        <v/>
      </c>
      <c r="R82" s="4" t="str">
        <f t="shared" si="36"/>
        <v/>
      </c>
      <c r="S82" s="4" t="str">
        <f t="shared" si="37"/>
        <v/>
      </c>
      <c r="T82" s="4">
        <f t="shared" si="38"/>
        <v>1</v>
      </c>
      <c r="U82">
        <f>IF(VLOOKUP(C82,'QA Table'!$Y$5:$Y$20,1,TRUE)=C82,1,0)</f>
        <v>0</v>
      </c>
      <c r="V82" t="str">
        <f t="shared" si="39"/>
        <v/>
      </c>
      <c r="W82" t="str">
        <f t="shared" si="40"/>
        <v/>
      </c>
      <c r="X82" t="str">
        <f t="shared" si="41"/>
        <v/>
      </c>
      <c r="Y82">
        <f t="shared" si="42"/>
        <v>0</v>
      </c>
      <c r="AA82" t="str">
        <f t="shared" si="43"/>
        <v/>
      </c>
    </row>
    <row r="83" spans="1:27" x14ac:dyDescent="0.2">
      <c r="A83" t="s">
        <v>23</v>
      </c>
      <c r="B83" t="s">
        <v>24</v>
      </c>
      <c r="C83" t="s">
        <v>1208</v>
      </c>
      <c r="D83" t="s">
        <v>10</v>
      </c>
      <c r="E83" t="s">
        <v>3</v>
      </c>
      <c r="F83" t="s">
        <v>1197</v>
      </c>
      <c r="G83" t="s">
        <v>1130</v>
      </c>
      <c r="H83" s="4" t="str">
        <f t="shared" si="27"/>
        <v/>
      </c>
      <c r="I83" s="4" t="str">
        <f>IF(RIGHT(B83,1)="M",IF(AND(H83=1,E83="RFS",D83=INDEX('Station Depth Averages'!$A$3:$B$84,MATCH(B83,'Station Depth Averages'!$A$3:$A$84,0),2)),1,""),IF(AND(H83=1,OR(D83="SYN",D83="SRF",D83="MID")),1,IF(AND(H83=1,OR(E84="FDn",E84="LDn")),1,IF(AND(H83=1,OR(E83="FDn",E83="LDn")),1,""))))</f>
        <v/>
      </c>
      <c r="J83" s="4" t="str">
        <f t="shared" si="28"/>
        <v/>
      </c>
      <c r="K83" s="4" t="str">
        <f t="shared" si="29"/>
        <v/>
      </c>
      <c r="L83" s="4" t="str">
        <f t="shared" si="30"/>
        <v/>
      </c>
      <c r="M83" s="4" t="str">
        <f t="shared" si="31"/>
        <v/>
      </c>
      <c r="N83" s="4" t="str">
        <f t="shared" si="32"/>
        <v/>
      </c>
      <c r="O83" s="4" t="str">
        <f t="shared" si="33"/>
        <v/>
      </c>
      <c r="P83" s="4" t="str">
        <f t="shared" si="34"/>
        <v/>
      </c>
      <c r="Q83" s="4" t="str">
        <f t="shared" si="35"/>
        <v/>
      </c>
      <c r="R83" s="4" t="str">
        <f t="shared" si="36"/>
        <v/>
      </c>
      <c r="S83" s="4" t="str">
        <f t="shared" si="37"/>
        <v/>
      </c>
      <c r="T83" s="4">
        <f t="shared" si="38"/>
        <v>1</v>
      </c>
      <c r="U83">
        <f>IF(VLOOKUP(C83,'QA Table'!$Y$5:$Y$20,1,TRUE)=C83,1,0)</f>
        <v>0</v>
      </c>
      <c r="V83" t="str">
        <f t="shared" si="39"/>
        <v/>
      </c>
      <c r="W83" t="str">
        <f t="shared" si="40"/>
        <v/>
      </c>
      <c r="X83" t="str">
        <f t="shared" si="41"/>
        <v/>
      </c>
      <c r="Y83">
        <f t="shared" si="42"/>
        <v>0</v>
      </c>
      <c r="AA83" t="str">
        <f t="shared" si="43"/>
        <v/>
      </c>
    </row>
    <row r="84" spans="1:27" x14ac:dyDescent="0.2">
      <c r="A84" t="s">
        <v>23</v>
      </c>
      <c r="B84" t="s">
        <v>24</v>
      </c>
      <c r="C84" t="s">
        <v>1209</v>
      </c>
      <c r="D84" t="s">
        <v>1034</v>
      </c>
      <c r="E84" t="s">
        <v>3</v>
      </c>
      <c r="F84" t="s">
        <v>1197</v>
      </c>
      <c r="G84" t="s">
        <v>1130</v>
      </c>
      <c r="H84" s="4" t="str">
        <f t="shared" si="27"/>
        <v/>
      </c>
      <c r="I84" s="4" t="str">
        <f>IF(RIGHT(B84,1)="M",IF(AND(H84=1,E84="RFS",D84=INDEX('Station Depth Averages'!$A$3:$B$84,MATCH(B84,'Station Depth Averages'!$A$3:$A$84,0),2)),1,""),IF(AND(H84=1,OR(D84="SYN",D84="SRF",D84="MID")),1,IF(AND(H84=1,OR(E85="FDn",E85="LDn")),1,IF(AND(H84=1,OR(E84="FDn",E84="LDn")),1,""))))</f>
        <v/>
      </c>
      <c r="J84" s="4" t="str">
        <f t="shared" si="28"/>
        <v/>
      </c>
      <c r="K84" s="4" t="str">
        <f t="shared" si="29"/>
        <v/>
      </c>
      <c r="L84" s="4" t="str">
        <f t="shared" si="30"/>
        <v/>
      </c>
      <c r="M84" s="4" t="str">
        <f t="shared" si="31"/>
        <v/>
      </c>
      <c r="N84" s="4" t="str">
        <f t="shared" si="32"/>
        <v/>
      </c>
      <c r="O84" s="4" t="str">
        <f t="shared" si="33"/>
        <v/>
      </c>
      <c r="P84" s="4" t="str">
        <f t="shared" si="34"/>
        <v/>
      </c>
      <c r="Q84" s="4" t="str">
        <f t="shared" si="35"/>
        <v/>
      </c>
      <c r="R84" s="4" t="str">
        <f t="shared" si="36"/>
        <v/>
      </c>
      <c r="S84" s="4">
        <f t="shared" si="37"/>
        <v>1</v>
      </c>
      <c r="T84" s="4" t="str">
        <f t="shared" si="38"/>
        <v/>
      </c>
      <c r="U84">
        <f>IF(VLOOKUP(C84,'QA Table'!$Y$5:$Y$20,1,TRUE)=C84,1,0)</f>
        <v>0</v>
      </c>
      <c r="V84" t="str">
        <f t="shared" si="39"/>
        <v/>
      </c>
      <c r="W84" t="str">
        <f t="shared" si="40"/>
        <v/>
      </c>
      <c r="X84" t="str">
        <f t="shared" si="41"/>
        <v/>
      </c>
      <c r="Y84">
        <f t="shared" si="42"/>
        <v>0</v>
      </c>
      <c r="AA84" t="str">
        <f t="shared" si="43"/>
        <v/>
      </c>
    </row>
    <row r="85" spans="1:27" ht="12.6" customHeight="1" x14ac:dyDescent="0.2">
      <c r="A85" t="s">
        <v>23</v>
      </c>
      <c r="B85" t="s">
        <v>24</v>
      </c>
      <c r="C85" t="s">
        <v>1210</v>
      </c>
      <c r="D85" t="s">
        <v>1034</v>
      </c>
      <c r="E85" t="s">
        <v>19</v>
      </c>
      <c r="F85" t="s">
        <v>1197</v>
      </c>
      <c r="G85" t="s">
        <v>1130</v>
      </c>
      <c r="H85" s="4" t="str">
        <f t="shared" si="27"/>
        <v/>
      </c>
      <c r="I85" s="4" t="str">
        <f>IF(RIGHT(B85,1)="M",IF(AND(H85=1,E85="RFS",D85=INDEX('Station Depth Averages'!$A$3:$B$84,MATCH(B85,'Station Depth Averages'!$A$3:$A$84,0),2)),1,""),IF(AND(H85=1,OR(D85="SYN",D85="SRF",D85="MID")),1,IF(AND(H85=1,OR(E86="FDn",E86="LDn")),1,IF(AND(H85=1,OR(E85="FDn",E85="LDn")),1,""))))</f>
        <v/>
      </c>
      <c r="J85" s="4" t="str">
        <f t="shared" si="28"/>
        <v/>
      </c>
      <c r="K85" s="4" t="str">
        <f t="shared" si="29"/>
        <v/>
      </c>
      <c r="L85" s="4" t="str">
        <f t="shared" si="30"/>
        <v/>
      </c>
      <c r="M85" s="4" t="str">
        <f t="shared" si="31"/>
        <v/>
      </c>
      <c r="N85" s="4" t="str">
        <f t="shared" si="32"/>
        <v/>
      </c>
      <c r="O85" s="4" t="str">
        <f t="shared" si="33"/>
        <v/>
      </c>
      <c r="P85" s="4" t="str">
        <f t="shared" si="34"/>
        <v/>
      </c>
      <c r="Q85" s="4" t="str">
        <f t="shared" si="35"/>
        <v/>
      </c>
      <c r="R85" s="4" t="str">
        <f t="shared" si="36"/>
        <v/>
      </c>
      <c r="S85" s="4">
        <f t="shared" si="37"/>
        <v>1</v>
      </c>
      <c r="T85" s="4" t="str">
        <f t="shared" si="38"/>
        <v/>
      </c>
      <c r="U85">
        <f>IF(VLOOKUP(C85,'QA Table'!$Y$5:$Y$20,1,TRUE)=C85,1,0)</f>
        <v>0</v>
      </c>
      <c r="V85" t="str">
        <f t="shared" si="39"/>
        <v/>
      </c>
      <c r="W85" t="str">
        <f t="shared" si="40"/>
        <v/>
      </c>
      <c r="X85" t="str">
        <f t="shared" si="41"/>
        <v/>
      </c>
      <c r="Y85">
        <f t="shared" si="42"/>
        <v>0</v>
      </c>
      <c r="AA85" t="str">
        <f t="shared" si="43"/>
        <v/>
      </c>
    </row>
    <row r="86" spans="1:27" ht="12.6" customHeight="1" x14ac:dyDescent="0.2">
      <c r="A86" t="s">
        <v>23</v>
      </c>
      <c r="B86" t="s">
        <v>25</v>
      </c>
      <c r="C86" t="s">
        <v>1211</v>
      </c>
      <c r="D86" t="s">
        <v>2</v>
      </c>
      <c r="E86" t="s">
        <v>3</v>
      </c>
      <c r="F86" t="s">
        <v>1212</v>
      </c>
      <c r="G86" t="s">
        <v>1130</v>
      </c>
      <c r="H86" s="4">
        <f t="shared" si="27"/>
        <v>1</v>
      </c>
      <c r="I86" s="4">
        <f>IF(RIGHT(B86,1)="M",IF(AND(H86=1,E86="RFS",D86=INDEX('Station Depth Averages'!$A$3:$B$84,MATCH(B86,'Station Depth Averages'!$A$3:$A$84,0),2)),1,""),IF(AND(H86=1,OR(D86="SYN",D86="SRF",D86="MID")),1,IF(AND(H86=1,OR(E87="FDn",E87="LDn")),1,IF(AND(H86=1,OR(E86="FDn",E86="LDn")),1,""))))</f>
        <v>1</v>
      </c>
      <c r="J86" s="4">
        <f t="shared" si="28"/>
        <v>1</v>
      </c>
      <c r="K86" s="4" t="str">
        <f t="shared" si="29"/>
        <v/>
      </c>
      <c r="L86" s="4" t="str">
        <f t="shared" si="30"/>
        <v/>
      </c>
      <c r="M86" s="4" t="str">
        <f t="shared" si="31"/>
        <v/>
      </c>
      <c r="N86" s="4" t="str">
        <f t="shared" si="32"/>
        <v/>
      </c>
      <c r="O86" s="4" t="str">
        <f t="shared" si="33"/>
        <v/>
      </c>
      <c r="P86" s="4" t="str">
        <f t="shared" si="34"/>
        <v/>
      </c>
      <c r="Q86" s="4" t="str">
        <f t="shared" si="35"/>
        <v/>
      </c>
      <c r="R86" s="4" t="str">
        <f t="shared" si="36"/>
        <v/>
      </c>
      <c r="S86" s="4" t="str">
        <f t="shared" si="37"/>
        <v/>
      </c>
      <c r="T86" s="4" t="str">
        <f t="shared" si="38"/>
        <v/>
      </c>
      <c r="U86">
        <f>IF(VLOOKUP(C86,'QA Table'!$Y$5:$Y$20,1,TRUE)=C86,1,0)</f>
        <v>0</v>
      </c>
      <c r="V86" t="str">
        <f t="shared" si="39"/>
        <v/>
      </c>
      <c r="W86" t="str">
        <f t="shared" si="40"/>
        <v/>
      </c>
      <c r="X86">
        <f t="shared" si="41"/>
        <v>4</v>
      </c>
      <c r="Y86">
        <f t="shared" si="42"/>
        <v>0</v>
      </c>
      <c r="AA86">
        <f t="shared" si="43"/>
        <v>1</v>
      </c>
    </row>
    <row r="87" spans="1:27" ht="12.6" customHeight="1" x14ac:dyDescent="0.2">
      <c r="A87" t="s">
        <v>23</v>
      </c>
      <c r="B87" t="s">
        <v>25</v>
      </c>
      <c r="C87" t="s">
        <v>1213</v>
      </c>
      <c r="D87" t="s">
        <v>1050</v>
      </c>
      <c r="E87" t="s">
        <v>3</v>
      </c>
      <c r="F87" t="s">
        <v>1212</v>
      </c>
      <c r="G87" t="s">
        <v>1130</v>
      </c>
      <c r="H87" s="4" t="str">
        <f t="shared" si="27"/>
        <v/>
      </c>
      <c r="I87" s="4" t="str">
        <f>IF(RIGHT(B87,1)="M",IF(AND(H87=1,E87="RFS",D87=INDEX('Station Depth Averages'!$A$3:$B$84,MATCH(B87,'Station Depth Averages'!$A$3:$A$84,0),2)),1,""),IF(AND(H87=1,OR(D87="SYN",D87="SRF",D87="MID")),1,IF(AND(H87=1,OR(E88="FDn",E88="LDn")),1,IF(AND(H87=1,OR(E87="FDn",E87="LDn")),1,""))))</f>
        <v/>
      </c>
      <c r="J87" s="4" t="str">
        <f t="shared" si="28"/>
        <v/>
      </c>
      <c r="K87" s="4" t="str">
        <f t="shared" si="29"/>
        <v/>
      </c>
      <c r="L87" s="4" t="str">
        <f t="shared" si="30"/>
        <v/>
      </c>
      <c r="M87" s="4" t="str">
        <f t="shared" si="31"/>
        <v/>
      </c>
      <c r="N87" s="4" t="str">
        <f t="shared" si="32"/>
        <v/>
      </c>
      <c r="O87" s="4" t="str">
        <f t="shared" si="33"/>
        <v/>
      </c>
      <c r="P87" s="4" t="str">
        <f t="shared" si="34"/>
        <v/>
      </c>
      <c r="Q87" s="4" t="str">
        <f t="shared" si="35"/>
        <v/>
      </c>
      <c r="R87" s="4" t="str">
        <f t="shared" si="36"/>
        <v/>
      </c>
      <c r="S87" s="4" t="str">
        <f t="shared" si="37"/>
        <v/>
      </c>
      <c r="T87" s="4" t="str">
        <f t="shared" si="38"/>
        <v/>
      </c>
      <c r="U87">
        <f>IF(VLOOKUP(C87,'QA Table'!$Y$5:$Y$20,1,TRUE)=C87,1,0)</f>
        <v>0</v>
      </c>
      <c r="V87" t="str">
        <f t="shared" si="39"/>
        <v/>
      </c>
      <c r="W87" t="str">
        <f t="shared" si="40"/>
        <v/>
      </c>
      <c r="X87" t="str">
        <f t="shared" si="41"/>
        <v/>
      </c>
      <c r="Y87">
        <f t="shared" si="42"/>
        <v>0</v>
      </c>
      <c r="AA87" t="str">
        <f t="shared" si="43"/>
        <v/>
      </c>
    </row>
    <row r="88" spans="1:27" x14ac:dyDescent="0.2">
      <c r="A88" t="s">
        <v>23</v>
      </c>
      <c r="B88" t="s">
        <v>25</v>
      </c>
      <c r="C88" t="s">
        <v>1214</v>
      </c>
      <c r="D88" t="s">
        <v>4</v>
      </c>
      <c r="E88" t="s">
        <v>3</v>
      </c>
      <c r="F88" t="s">
        <v>1212</v>
      </c>
      <c r="G88" t="s">
        <v>1130</v>
      </c>
      <c r="H88" s="4" t="str">
        <f t="shared" si="27"/>
        <v/>
      </c>
      <c r="I88" s="4" t="str">
        <f>IF(RIGHT(B88,1)="M",IF(AND(H88=1,E88="RFS",D88=INDEX('Station Depth Averages'!$A$3:$B$84,MATCH(B88,'Station Depth Averages'!$A$3:$A$84,0),2)),1,""),IF(AND(H88=1,OR(D88="SYN",D88="SRF",D88="MID")),1,IF(AND(H88=1,OR(E89="FDn",E89="LDn")),1,IF(AND(H88=1,OR(E88="FDn",E88="LDn")),1,""))))</f>
        <v/>
      </c>
      <c r="J88" s="4" t="str">
        <f t="shared" si="28"/>
        <v/>
      </c>
      <c r="K88" s="4" t="str">
        <f t="shared" si="29"/>
        <v/>
      </c>
      <c r="L88" s="4" t="str">
        <f t="shared" si="30"/>
        <v/>
      </c>
      <c r="M88" s="4" t="str">
        <f t="shared" si="31"/>
        <v/>
      </c>
      <c r="N88" s="4" t="str">
        <f t="shared" si="32"/>
        <v/>
      </c>
      <c r="O88" s="4" t="str">
        <f t="shared" si="33"/>
        <v/>
      </c>
      <c r="P88" s="4" t="str">
        <f t="shared" si="34"/>
        <v/>
      </c>
      <c r="Q88" s="4" t="str">
        <f t="shared" si="35"/>
        <v/>
      </c>
      <c r="R88" s="4" t="str">
        <f t="shared" si="36"/>
        <v/>
      </c>
      <c r="S88" s="4" t="str">
        <f t="shared" si="37"/>
        <v/>
      </c>
      <c r="T88" s="4" t="str">
        <f t="shared" si="38"/>
        <v/>
      </c>
      <c r="U88">
        <f>IF(VLOOKUP(C88,'QA Table'!$Y$5:$Y$20,1,TRUE)=C88,1,0)</f>
        <v>0</v>
      </c>
      <c r="V88" t="str">
        <f t="shared" si="39"/>
        <v/>
      </c>
      <c r="W88" t="str">
        <f t="shared" si="40"/>
        <v/>
      </c>
      <c r="X88" t="str">
        <f t="shared" si="41"/>
        <v/>
      </c>
      <c r="Y88">
        <f t="shared" si="42"/>
        <v>0</v>
      </c>
      <c r="AA88" t="str">
        <f t="shared" si="43"/>
        <v/>
      </c>
    </row>
    <row r="89" spans="1:27" x14ac:dyDescent="0.2">
      <c r="A89" t="s">
        <v>23</v>
      </c>
      <c r="B89" t="s">
        <v>25</v>
      </c>
      <c r="C89" t="s">
        <v>1215</v>
      </c>
      <c r="D89" t="s">
        <v>1051</v>
      </c>
      <c r="E89" t="s">
        <v>3</v>
      </c>
      <c r="F89" t="s">
        <v>1212</v>
      </c>
      <c r="G89" t="s">
        <v>1130</v>
      </c>
      <c r="H89" s="4" t="str">
        <f t="shared" si="27"/>
        <v/>
      </c>
      <c r="I89" s="4" t="str">
        <f>IF(RIGHT(B89,1)="M",IF(AND(H89=1,E89="RFS",D89=INDEX('Station Depth Averages'!$A$3:$B$84,MATCH(B89,'Station Depth Averages'!$A$3:$A$84,0),2)),1,""),IF(AND(H89=1,OR(D89="SYN",D89="SRF",D89="MID")),1,IF(AND(H89=1,OR(E90="FDn",E90="LDn")),1,IF(AND(H89=1,OR(E89="FDn",E89="LDn")),1,""))))</f>
        <v/>
      </c>
      <c r="J89" s="4" t="str">
        <f t="shared" si="28"/>
        <v/>
      </c>
      <c r="K89" s="4" t="str">
        <f t="shared" si="29"/>
        <v/>
      </c>
      <c r="L89" s="4" t="str">
        <f t="shared" si="30"/>
        <v/>
      </c>
      <c r="M89" s="4" t="str">
        <f t="shared" si="31"/>
        <v/>
      </c>
      <c r="N89" s="4" t="str">
        <f t="shared" si="32"/>
        <v/>
      </c>
      <c r="O89" s="4" t="str">
        <f t="shared" si="33"/>
        <v/>
      </c>
      <c r="P89" s="4" t="str">
        <f t="shared" si="34"/>
        <v/>
      </c>
      <c r="Q89" s="4" t="str">
        <f t="shared" si="35"/>
        <v/>
      </c>
      <c r="R89" s="4" t="str">
        <f t="shared" si="36"/>
        <v/>
      </c>
      <c r="S89" s="4" t="str">
        <f t="shared" si="37"/>
        <v/>
      </c>
      <c r="T89" s="4" t="str">
        <f t="shared" si="38"/>
        <v/>
      </c>
      <c r="U89">
        <f>IF(VLOOKUP(C89,'QA Table'!$Y$5:$Y$20,1,TRUE)=C89,1,0)</f>
        <v>0</v>
      </c>
      <c r="V89" t="str">
        <f t="shared" si="39"/>
        <v/>
      </c>
      <c r="W89" t="str">
        <f t="shared" si="40"/>
        <v/>
      </c>
      <c r="X89" t="str">
        <f t="shared" si="41"/>
        <v/>
      </c>
      <c r="Y89">
        <f t="shared" si="42"/>
        <v>0</v>
      </c>
      <c r="AA89" t="str">
        <f t="shared" si="43"/>
        <v/>
      </c>
    </row>
    <row r="90" spans="1:27" x14ac:dyDescent="0.2">
      <c r="A90" t="s">
        <v>23</v>
      </c>
      <c r="B90" t="s">
        <v>25</v>
      </c>
      <c r="C90" t="s">
        <v>1102</v>
      </c>
      <c r="D90" t="s">
        <v>119</v>
      </c>
      <c r="E90" t="s">
        <v>3</v>
      </c>
      <c r="F90" t="s">
        <v>1212</v>
      </c>
      <c r="G90" t="s">
        <v>1130</v>
      </c>
      <c r="H90" s="4">
        <f t="shared" si="27"/>
        <v>1</v>
      </c>
      <c r="I90" s="4">
        <f>IF(RIGHT(B90,1)="M",IF(AND(H90=1,E90="RFS",D90=INDEX('Station Depth Averages'!$A$3:$B$84,MATCH(B90,'Station Depth Averages'!$A$3:$A$84,0),2)),1,""),IF(AND(H90=1,OR(D90="SYN",D90="SRF",D90="MID")),1,IF(AND(H90=1,OR(E91="FDn",E91="LDn")),1,IF(AND(H90=1,OR(E90="FDn",E90="LDn")),1,""))))</f>
        <v>1</v>
      </c>
      <c r="J90" s="4">
        <f t="shared" si="28"/>
        <v>1</v>
      </c>
      <c r="K90" s="4" t="str">
        <f t="shared" si="29"/>
        <v/>
      </c>
      <c r="L90" s="4" t="str">
        <f t="shared" si="30"/>
        <v/>
      </c>
      <c r="M90" s="4" t="str">
        <f t="shared" si="31"/>
        <v/>
      </c>
      <c r="N90" s="4" t="str">
        <f t="shared" si="32"/>
        <v/>
      </c>
      <c r="O90" s="4" t="str">
        <f t="shared" si="33"/>
        <v/>
      </c>
      <c r="P90" s="4" t="str">
        <f t="shared" si="34"/>
        <v/>
      </c>
      <c r="Q90" s="4" t="str">
        <f t="shared" si="35"/>
        <v/>
      </c>
      <c r="R90" s="4" t="str">
        <f t="shared" si="36"/>
        <v/>
      </c>
      <c r="S90" s="4" t="str">
        <f t="shared" si="37"/>
        <v/>
      </c>
      <c r="T90" s="4" t="str">
        <f t="shared" si="38"/>
        <v/>
      </c>
      <c r="U90">
        <f>IF(VLOOKUP(C90,'QA Table'!$Y$5:$Y$20,1,TRUE)=C90,1,0)</f>
        <v>0</v>
      </c>
      <c r="V90" t="str">
        <f t="shared" si="39"/>
        <v/>
      </c>
      <c r="W90" t="str">
        <f t="shared" si="40"/>
        <v/>
      </c>
      <c r="X90">
        <f t="shared" si="41"/>
        <v>4</v>
      </c>
      <c r="Y90">
        <f t="shared" si="42"/>
        <v>0</v>
      </c>
      <c r="AA90">
        <f t="shared" si="43"/>
        <v>1</v>
      </c>
    </row>
    <row r="91" spans="1:27" x14ac:dyDescent="0.2">
      <c r="A91" t="s">
        <v>23</v>
      </c>
      <c r="B91" t="s">
        <v>25</v>
      </c>
      <c r="C91" t="s">
        <v>1216</v>
      </c>
      <c r="D91" t="s">
        <v>119</v>
      </c>
      <c r="E91" t="s">
        <v>12</v>
      </c>
      <c r="F91" t="s">
        <v>1212</v>
      </c>
      <c r="G91" t="s">
        <v>1130</v>
      </c>
      <c r="H91" s="4">
        <f t="shared" si="27"/>
        <v>1</v>
      </c>
      <c r="I91" s="4">
        <f>IF(RIGHT(B91,1)="M",IF(AND(H91=1,E91="RFS",D91=INDEX('Station Depth Averages'!$A$3:$B$84,MATCH(B91,'Station Depth Averages'!$A$3:$A$84,0),2)),1,""),IF(AND(H91=1,OR(D91="SYN",D91="SRF",D91="MID")),1,IF(AND(H91=1,OR(E92="FDn",E92="LDn")),1,IF(AND(H91=1,OR(E91="FDn",E91="LDn")),1,""))))</f>
        <v>1</v>
      </c>
      <c r="J91" s="4" t="str">
        <f t="shared" si="28"/>
        <v/>
      </c>
      <c r="K91" s="4" t="str">
        <f t="shared" si="29"/>
        <v/>
      </c>
      <c r="L91" s="4" t="str">
        <f t="shared" si="30"/>
        <v/>
      </c>
      <c r="M91" s="4" t="str">
        <f t="shared" si="31"/>
        <v/>
      </c>
      <c r="N91" s="4" t="str">
        <f t="shared" si="32"/>
        <v/>
      </c>
      <c r="O91" s="4" t="str">
        <f t="shared" si="33"/>
        <v/>
      </c>
      <c r="P91" s="4" t="str">
        <f t="shared" si="34"/>
        <v/>
      </c>
      <c r="Q91" s="4" t="str">
        <f t="shared" si="35"/>
        <v/>
      </c>
      <c r="R91" s="4" t="str">
        <f t="shared" si="36"/>
        <v/>
      </c>
      <c r="S91" s="4" t="str">
        <f t="shared" si="37"/>
        <v/>
      </c>
      <c r="T91" s="4" t="str">
        <f t="shared" si="38"/>
        <v/>
      </c>
      <c r="U91">
        <f>IF(VLOOKUP(C91,'QA Table'!$Y$5:$Y$20,1,TRUE)=C91,1,0)</f>
        <v>0</v>
      </c>
      <c r="V91" t="str">
        <f t="shared" si="39"/>
        <v/>
      </c>
      <c r="W91" t="str">
        <f t="shared" si="40"/>
        <v/>
      </c>
      <c r="X91">
        <f t="shared" si="41"/>
        <v>4</v>
      </c>
      <c r="Y91">
        <f t="shared" si="42"/>
        <v>0</v>
      </c>
      <c r="AA91">
        <f t="shared" si="43"/>
        <v>1</v>
      </c>
    </row>
    <row r="92" spans="1:27" x14ac:dyDescent="0.2">
      <c r="A92" t="s">
        <v>23</v>
      </c>
      <c r="B92" t="s">
        <v>25</v>
      </c>
      <c r="C92" t="s">
        <v>1217</v>
      </c>
      <c r="D92" t="s">
        <v>5</v>
      </c>
      <c r="E92" t="s">
        <v>3</v>
      </c>
      <c r="F92" t="s">
        <v>1212</v>
      </c>
      <c r="G92" t="s">
        <v>1130</v>
      </c>
      <c r="H92" s="4">
        <f t="shared" si="27"/>
        <v>1</v>
      </c>
      <c r="I92" s="4" t="str">
        <f>IF(RIGHT(B92,1)="M",IF(AND(H92=1,E92="RFS",D92=INDEX('Station Depth Averages'!$A$3:$B$84,MATCH(B92,'Station Depth Averages'!$A$3:$A$84,0),2)),1,""),IF(AND(H92=1,OR(D92="SYN",D92="SRF",D92="MID")),1,IF(AND(H92=1,OR(E93="FDn",E93="LDn")),1,IF(AND(H92=1,OR(E92="FDn",E92="LDn")),1,""))))</f>
        <v/>
      </c>
      <c r="J92" s="4">
        <f t="shared" si="28"/>
        <v>1</v>
      </c>
      <c r="K92" s="4" t="str">
        <f t="shared" si="29"/>
        <v/>
      </c>
      <c r="L92" s="4" t="str">
        <f t="shared" si="30"/>
        <v/>
      </c>
      <c r="M92" s="4" t="str">
        <f t="shared" si="31"/>
        <v/>
      </c>
      <c r="N92" s="4" t="str">
        <f t="shared" si="32"/>
        <v/>
      </c>
      <c r="O92" s="4" t="str">
        <f t="shared" si="33"/>
        <v/>
      </c>
      <c r="P92" s="4" t="str">
        <f t="shared" si="34"/>
        <v/>
      </c>
      <c r="Q92" s="4" t="str">
        <f t="shared" si="35"/>
        <v/>
      </c>
      <c r="R92" s="4" t="str">
        <f t="shared" si="36"/>
        <v/>
      </c>
      <c r="S92" s="4" t="str">
        <f t="shared" si="37"/>
        <v/>
      </c>
      <c r="T92" s="4" t="str">
        <f t="shared" si="38"/>
        <v/>
      </c>
      <c r="U92">
        <f>IF(VLOOKUP(C92,'QA Table'!$Y$5:$Y$20,1,TRUE)=C92,1,0)</f>
        <v>0</v>
      </c>
      <c r="V92" t="str">
        <f t="shared" si="39"/>
        <v/>
      </c>
      <c r="W92" t="str">
        <f t="shared" si="40"/>
        <v/>
      </c>
      <c r="X92">
        <f t="shared" si="41"/>
        <v>4</v>
      </c>
      <c r="Y92">
        <f t="shared" si="42"/>
        <v>0</v>
      </c>
      <c r="AA92">
        <f t="shared" si="43"/>
        <v>1</v>
      </c>
    </row>
    <row r="93" spans="1:27" x14ac:dyDescent="0.2">
      <c r="A93" t="s">
        <v>23</v>
      </c>
      <c r="B93" t="s">
        <v>25</v>
      </c>
      <c r="C93" t="s">
        <v>1218</v>
      </c>
      <c r="D93" t="s">
        <v>6</v>
      </c>
      <c r="E93" t="s">
        <v>3</v>
      </c>
      <c r="F93" t="s">
        <v>1212</v>
      </c>
      <c r="G93" t="s">
        <v>1130</v>
      </c>
      <c r="H93" s="4">
        <f t="shared" si="27"/>
        <v>1</v>
      </c>
      <c r="I93" s="4" t="str">
        <f>IF(RIGHT(B93,1)="M",IF(AND(H93=1,E93="RFS",D93=INDEX('Station Depth Averages'!$A$3:$B$84,MATCH(B93,'Station Depth Averages'!$A$3:$A$84,0),2)),1,""),IF(AND(H93=1,OR(D93="SYN",D93="SRF",D93="MID")),1,IF(AND(H93=1,OR(E94="FDn",E94="LDn")),1,IF(AND(H93=1,OR(E93="FDn",E93="LDn")),1,""))))</f>
        <v/>
      </c>
      <c r="J93" s="4">
        <f t="shared" si="28"/>
        <v>1</v>
      </c>
      <c r="K93" s="4" t="str">
        <f t="shared" si="29"/>
        <v/>
      </c>
      <c r="L93" s="4" t="str">
        <f t="shared" si="30"/>
        <v/>
      </c>
      <c r="M93" s="4" t="str">
        <f t="shared" si="31"/>
        <v/>
      </c>
      <c r="N93" s="4" t="str">
        <f t="shared" si="32"/>
        <v/>
      </c>
      <c r="O93" s="4" t="str">
        <f t="shared" si="33"/>
        <v/>
      </c>
      <c r="P93" s="4" t="str">
        <f t="shared" si="34"/>
        <v/>
      </c>
      <c r="Q93" s="4" t="str">
        <f t="shared" si="35"/>
        <v/>
      </c>
      <c r="R93" s="4" t="str">
        <f t="shared" si="36"/>
        <v/>
      </c>
      <c r="S93" s="4" t="str">
        <f t="shared" si="37"/>
        <v/>
      </c>
      <c r="T93" s="4" t="str">
        <f t="shared" si="38"/>
        <v/>
      </c>
      <c r="U93">
        <f>IF(VLOOKUP(C93,'QA Table'!$Y$5:$Y$20,1,TRUE)=C93,1,0)</f>
        <v>0</v>
      </c>
      <c r="V93" t="str">
        <f t="shared" si="39"/>
        <v/>
      </c>
      <c r="W93" t="str">
        <f t="shared" si="40"/>
        <v/>
      </c>
      <c r="X93">
        <f t="shared" si="41"/>
        <v>4</v>
      </c>
      <c r="Y93">
        <f t="shared" si="42"/>
        <v>0</v>
      </c>
      <c r="AA93">
        <f t="shared" si="43"/>
        <v>1</v>
      </c>
    </row>
    <row r="94" spans="1:27" x14ac:dyDescent="0.2">
      <c r="A94" t="s">
        <v>23</v>
      </c>
      <c r="B94" t="s">
        <v>25</v>
      </c>
      <c r="C94" t="s">
        <v>1219</v>
      </c>
      <c r="D94" t="s">
        <v>8</v>
      </c>
      <c r="E94" t="s">
        <v>3</v>
      </c>
      <c r="F94" t="s">
        <v>1212</v>
      </c>
      <c r="G94" t="s">
        <v>1130</v>
      </c>
      <c r="H94" s="4">
        <f t="shared" si="27"/>
        <v>1</v>
      </c>
      <c r="I94" s="4" t="str">
        <f>IF(RIGHT(B94,1)="M",IF(AND(H94=1,E94="RFS",D94=INDEX('Station Depth Averages'!$A$3:$B$84,MATCH(B94,'Station Depth Averages'!$A$3:$A$84,0),2)),1,""),IF(AND(H94=1,OR(D94="SYN",D94="SRF",D94="MID")),1,IF(AND(H94=1,OR(E95="FDn",E95="LDn")),1,IF(AND(H94=1,OR(E94="FDn",E94="LDn")),1,""))))</f>
        <v/>
      </c>
      <c r="J94" s="4" t="str">
        <f t="shared" si="28"/>
        <v/>
      </c>
      <c r="K94" s="4">
        <f t="shared" si="29"/>
        <v>1</v>
      </c>
      <c r="L94" s="4" t="str">
        <f t="shared" si="30"/>
        <v/>
      </c>
      <c r="M94" s="4" t="str">
        <f t="shared" si="31"/>
        <v/>
      </c>
      <c r="N94" s="4" t="str">
        <f t="shared" si="32"/>
        <v/>
      </c>
      <c r="O94" s="4" t="str">
        <f t="shared" si="33"/>
        <v/>
      </c>
      <c r="P94" s="4" t="str">
        <f t="shared" si="34"/>
        <v/>
      </c>
      <c r="Q94" s="4">
        <f t="shared" si="35"/>
        <v>2</v>
      </c>
      <c r="R94" s="4" t="str">
        <f t="shared" si="36"/>
        <v/>
      </c>
      <c r="S94" s="4" t="str">
        <f t="shared" si="37"/>
        <v/>
      </c>
      <c r="T94" s="4" t="str">
        <f t="shared" si="38"/>
        <v/>
      </c>
      <c r="U94">
        <f>IF(VLOOKUP(C94,'QA Table'!$Y$5:$Y$20,1,TRUE)=C94,1,0)</f>
        <v>0</v>
      </c>
      <c r="V94" t="str">
        <f t="shared" si="39"/>
        <v/>
      </c>
      <c r="W94" t="str">
        <f t="shared" si="40"/>
        <v/>
      </c>
      <c r="X94">
        <f t="shared" si="41"/>
        <v>4</v>
      </c>
      <c r="Y94">
        <f t="shared" si="42"/>
        <v>0</v>
      </c>
      <c r="AA94">
        <f t="shared" si="43"/>
        <v>1</v>
      </c>
    </row>
    <row r="95" spans="1:27" x14ac:dyDescent="0.2">
      <c r="A95" t="s">
        <v>23</v>
      </c>
      <c r="B95" t="s">
        <v>25</v>
      </c>
      <c r="C95" t="s">
        <v>1220</v>
      </c>
      <c r="D95" t="s">
        <v>9</v>
      </c>
      <c r="E95" t="s">
        <v>3</v>
      </c>
      <c r="F95" t="s">
        <v>1212</v>
      </c>
      <c r="G95" t="s">
        <v>1130</v>
      </c>
      <c r="H95" s="4" t="str">
        <f t="shared" si="27"/>
        <v/>
      </c>
      <c r="I95" s="4" t="str">
        <f>IF(RIGHT(B95,1)="M",IF(AND(H95=1,E95="RFS",D95=INDEX('Station Depth Averages'!$A$3:$B$84,MATCH(B95,'Station Depth Averages'!$A$3:$A$84,0),2)),1,""),IF(AND(H95=1,OR(D95="SYN",D95="SRF",D95="MID")),1,IF(AND(H95=1,OR(E96="FDn",E96="LDn")),1,IF(AND(H95=1,OR(E95="FDn",E95="LDn")),1,""))))</f>
        <v/>
      </c>
      <c r="J95" s="4" t="str">
        <f t="shared" si="28"/>
        <v/>
      </c>
      <c r="K95" s="4" t="str">
        <f t="shared" si="29"/>
        <v/>
      </c>
      <c r="L95" s="4" t="str">
        <f t="shared" si="30"/>
        <v/>
      </c>
      <c r="M95" s="4" t="str">
        <f t="shared" si="31"/>
        <v/>
      </c>
      <c r="N95" s="4" t="str">
        <f t="shared" si="32"/>
        <v/>
      </c>
      <c r="O95" s="4" t="str">
        <f t="shared" si="33"/>
        <v/>
      </c>
      <c r="P95" s="4" t="str">
        <f t="shared" si="34"/>
        <v/>
      </c>
      <c r="Q95" s="4" t="str">
        <f t="shared" si="35"/>
        <v/>
      </c>
      <c r="R95" s="4" t="str">
        <f t="shared" si="36"/>
        <v/>
      </c>
      <c r="S95" s="4" t="str">
        <f t="shared" si="37"/>
        <v/>
      </c>
      <c r="T95" s="4">
        <f t="shared" si="38"/>
        <v>1</v>
      </c>
      <c r="U95">
        <f>IF(VLOOKUP(C95,'QA Table'!$Y$5:$Y$20,1,TRUE)=C95,1,0)</f>
        <v>0</v>
      </c>
      <c r="V95" t="str">
        <f t="shared" si="39"/>
        <v/>
      </c>
      <c r="W95" t="str">
        <f t="shared" si="40"/>
        <v/>
      </c>
      <c r="X95" t="str">
        <f t="shared" si="41"/>
        <v/>
      </c>
      <c r="Y95">
        <f t="shared" si="42"/>
        <v>0</v>
      </c>
      <c r="AA95" t="str">
        <f t="shared" si="43"/>
        <v/>
      </c>
    </row>
    <row r="96" spans="1:27" x14ac:dyDescent="0.2">
      <c r="A96" t="s">
        <v>23</v>
      </c>
      <c r="B96" t="s">
        <v>25</v>
      </c>
      <c r="C96" t="s">
        <v>1221</v>
      </c>
      <c r="D96" t="s">
        <v>10</v>
      </c>
      <c r="E96" t="s">
        <v>3</v>
      </c>
      <c r="F96" t="s">
        <v>1212</v>
      </c>
      <c r="G96" t="s">
        <v>1130</v>
      </c>
      <c r="H96" s="4" t="str">
        <f t="shared" si="27"/>
        <v/>
      </c>
      <c r="I96" s="4" t="str">
        <f>IF(RIGHT(B96,1)="M",IF(AND(H96=1,E96="RFS",D96=INDEX('Station Depth Averages'!$A$3:$B$84,MATCH(B96,'Station Depth Averages'!$A$3:$A$84,0),2)),1,""),IF(AND(H96=1,OR(D96="SYN",D96="SRF",D96="MID")),1,IF(AND(H96=1,OR(E97="FDn",E97="LDn")),1,IF(AND(H96=1,OR(E96="FDn",E96="LDn")),1,""))))</f>
        <v/>
      </c>
      <c r="J96" s="4" t="str">
        <f t="shared" si="28"/>
        <v/>
      </c>
      <c r="K96" s="4" t="str">
        <f t="shared" si="29"/>
        <v/>
      </c>
      <c r="L96" s="4" t="str">
        <f t="shared" si="30"/>
        <v/>
      </c>
      <c r="M96" s="4" t="str">
        <f t="shared" si="31"/>
        <v/>
      </c>
      <c r="N96" s="4" t="str">
        <f t="shared" si="32"/>
        <v/>
      </c>
      <c r="O96" s="4" t="str">
        <f t="shared" si="33"/>
        <v/>
      </c>
      <c r="P96" s="4" t="str">
        <f t="shared" si="34"/>
        <v/>
      </c>
      <c r="Q96" s="4" t="str">
        <f t="shared" si="35"/>
        <v/>
      </c>
      <c r="R96" s="4" t="str">
        <f t="shared" si="36"/>
        <v/>
      </c>
      <c r="S96" s="4" t="str">
        <f t="shared" si="37"/>
        <v/>
      </c>
      <c r="T96" s="4">
        <f t="shared" si="38"/>
        <v>1</v>
      </c>
      <c r="U96">
        <f>IF(VLOOKUP(C96,'QA Table'!$Y$5:$Y$20,1,TRUE)=C96,1,0)</f>
        <v>0</v>
      </c>
      <c r="V96" t="str">
        <f t="shared" si="39"/>
        <v/>
      </c>
      <c r="W96" t="str">
        <f t="shared" si="40"/>
        <v/>
      </c>
      <c r="X96" t="str">
        <f t="shared" si="41"/>
        <v/>
      </c>
      <c r="Y96">
        <f t="shared" si="42"/>
        <v>0</v>
      </c>
      <c r="AA96" t="str">
        <f t="shared" si="43"/>
        <v/>
      </c>
    </row>
    <row r="97" spans="1:27" x14ac:dyDescent="0.2">
      <c r="A97" t="s">
        <v>23</v>
      </c>
      <c r="B97" t="s">
        <v>25</v>
      </c>
      <c r="C97" t="s">
        <v>1222</v>
      </c>
      <c r="D97" t="s">
        <v>1034</v>
      </c>
      <c r="E97" t="s">
        <v>3</v>
      </c>
      <c r="F97" t="s">
        <v>1212</v>
      </c>
      <c r="G97" t="s">
        <v>1130</v>
      </c>
      <c r="H97" s="4" t="str">
        <f t="shared" si="27"/>
        <v/>
      </c>
      <c r="I97" s="4" t="str">
        <f>IF(RIGHT(B97,1)="M",IF(AND(H97=1,E97="RFS",D97=INDEX('Station Depth Averages'!$A$3:$B$84,MATCH(B97,'Station Depth Averages'!$A$3:$A$84,0),2)),1,""),IF(AND(H97=1,OR(D97="SYN",D97="SRF",D97="MID")),1,IF(AND(H97=1,OR(E98="FDn",E98="LDn")),1,IF(AND(H97=1,OR(E97="FDn",E97="LDn")),1,""))))</f>
        <v/>
      </c>
      <c r="J97" s="4" t="str">
        <f t="shared" si="28"/>
        <v/>
      </c>
      <c r="K97" s="4" t="str">
        <f t="shared" si="29"/>
        <v/>
      </c>
      <c r="L97" s="4" t="str">
        <f t="shared" si="30"/>
        <v/>
      </c>
      <c r="M97" s="4" t="str">
        <f t="shared" si="31"/>
        <v/>
      </c>
      <c r="N97" s="4" t="str">
        <f t="shared" si="32"/>
        <v/>
      </c>
      <c r="O97" s="4" t="str">
        <f t="shared" si="33"/>
        <v/>
      </c>
      <c r="P97" s="4" t="str">
        <f t="shared" si="34"/>
        <v/>
      </c>
      <c r="Q97" s="4" t="str">
        <f t="shared" si="35"/>
        <v/>
      </c>
      <c r="R97" s="4" t="str">
        <f t="shared" si="36"/>
        <v/>
      </c>
      <c r="S97" s="4">
        <f t="shared" si="37"/>
        <v>1</v>
      </c>
      <c r="T97" s="4" t="str">
        <f t="shared" si="38"/>
        <v/>
      </c>
      <c r="U97">
        <f>IF(VLOOKUP(C97,'QA Table'!$Y$5:$Y$20,1,TRUE)=C97,1,0)</f>
        <v>0</v>
      </c>
      <c r="V97" t="str">
        <f t="shared" si="39"/>
        <v/>
      </c>
      <c r="W97" t="str">
        <f t="shared" si="40"/>
        <v/>
      </c>
      <c r="X97" t="str">
        <f t="shared" si="41"/>
        <v/>
      </c>
      <c r="Y97">
        <f t="shared" si="42"/>
        <v>0</v>
      </c>
      <c r="AA97" t="str">
        <f t="shared" si="43"/>
        <v/>
      </c>
    </row>
    <row r="98" spans="1:27" x14ac:dyDescent="0.2">
      <c r="A98" t="s">
        <v>23</v>
      </c>
      <c r="B98" t="s">
        <v>25</v>
      </c>
      <c r="C98" t="s">
        <v>1223</v>
      </c>
      <c r="D98" t="s">
        <v>1034</v>
      </c>
      <c r="E98" t="s">
        <v>19</v>
      </c>
      <c r="F98" t="s">
        <v>1212</v>
      </c>
      <c r="G98" t="s">
        <v>1130</v>
      </c>
      <c r="H98" s="4" t="str">
        <f t="shared" si="27"/>
        <v/>
      </c>
      <c r="I98" s="4" t="str">
        <f>IF(RIGHT(B98,1)="M",IF(AND(H98=1,E98="RFS",D98=INDEX('Station Depth Averages'!$A$3:$B$84,MATCH(B98,'Station Depth Averages'!$A$3:$A$84,0),2)),1,""),IF(AND(H98=1,OR(D98="SYN",D98="SRF",D98="MID")),1,IF(AND(H98=1,OR(E99="FDn",E99="LDn")),1,IF(AND(H98=1,OR(E98="FDn",E98="LDn")),1,""))))</f>
        <v/>
      </c>
      <c r="J98" s="4" t="str">
        <f t="shared" si="28"/>
        <v/>
      </c>
      <c r="K98" s="4" t="str">
        <f t="shared" si="29"/>
        <v/>
      </c>
      <c r="L98" s="4" t="str">
        <f t="shared" si="30"/>
        <v/>
      </c>
      <c r="M98" s="4" t="str">
        <f t="shared" si="31"/>
        <v/>
      </c>
      <c r="N98" s="4" t="str">
        <f t="shared" si="32"/>
        <v/>
      </c>
      <c r="O98" s="4" t="str">
        <f t="shared" si="33"/>
        <v/>
      </c>
      <c r="P98" s="4" t="str">
        <f t="shared" si="34"/>
        <v/>
      </c>
      <c r="Q98" s="4" t="str">
        <f t="shared" si="35"/>
        <v/>
      </c>
      <c r="R98" s="4" t="str">
        <f t="shared" si="36"/>
        <v/>
      </c>
      <c r="S98" s="4">
        <f t="shared" si="37"/>
        <v>1</v>
      </c>
      <c r="T98" s="4" t="str">
        <f t="shared" si="38"/>
        <v/>
      </c>
      <c r="U98">
        <f>IF(VLOOKUP(C98,'QA Table'!$Y$5:$Y$20,1,TRUE)=C98,1,0)</f>
        <v>0</v>
      </c>
      <c r="V98" t="str">
        <f t="shared" si="39"/>
        <v/>
      </c>
      <c r="W98" t="str">
        <f t="shared" si="40"/>
        <v/>
      </c>
      <c r="X98" t="str">
        <f t="shared" si="41"/>
        <v/>
      </c>
      <c r="Y98">
        <f t="shared" si="42"/>
        <v>0</v>
      </c>
      <c r="AA98" t="str">
        <f t="shared" si="43"/>
        <v/>
      </c>
    </row>
    <row r="99" spans="1:27" x14ac:dyDescent="0.2">
      <c r="A99" t="s">
        <v>23</v>
      </c>
      <c r="B99" t="s">
        <v>26</v>
      </c>
      <c r="C99" t="s">
        <v>1224</v>
      </c>
      <c r="D99" t="s">
        <v>14</v>
      </c>
      <c r="E99" t="s">
        <v>15</v>
      </c>
      <c r="F99" t="s">
        <v>1225</v>
      </c>
      <c r="G99" t="s">
        <v>1130</v>
      </c>
      <c r="H99" s="4">
        <f t="shared" si="27"/>
        <v>1</v>
      </c>
      <c r="I99" s="4">
        <f>IF(RIGHT(B99,1)="M",IF(AND(H99=1,E99="RFS",D99=INDEX('Station Depth Averages'!$A$3:$B$84,MATCH(B99,'Station Depth Averages'!$A$3:$A$84,0),2)),1,""),IF(AND(H99=1,OR(D99="SYN",D99="SRF",D99="MID")),1,IF(AND(H99=1,OR(E100="FDn",E100="LDn")),1,IF(AND(H99=1,OR(E99="FDn",E99="LDn")),1,""))))</f>
        <v>1</v>
      </c>
      <c r="J99" s="4">
        <f t="shared" si="28"/>
        <v>1</v>
      </c>
      <c r="K99" s="4" t="str">
        <f t="shared" si="29"/>
        <v/>
      </c>
      <c r="L99" s="4" t="str">
        <f t="shared" si="30"/>
        <v/>
      </c>
      <c r="M99" s="4" t="str">
        <f t="shared" si="31"/>
        <v/>
      </c>
      <c r="N99" s="4" t="str">
        <f t="shared" si="32"/>
        <v/>
      </c>
      <c r="O99" s="4" t="str">
        <f t="shared" si="33"/>
        <v/>
      </c>
      <c r="P99" s="4" t="str">
        <f t="shared" si="34"/>
        <v/>
      </c>
      <c r="Q99" s="4" t="str">
        <f t="shared" si="35"/>
        <v/>
      </c>
      <c r="R99" s="4" t="str">
        <f t="shared" si="36"/>
        <v/>
      </c>
      <c r="S99" s="4" t="str">
        <f t="shared" si="37"/>
        <v/>
      </c>
      <c r="T99" s="4" t="str">
        <f t="shared" si="38"/>
        <v/>
      </c>
      <c r="U99">
        <f>IF(VLOOKUP(C99,'QA Table'!$Y$5:$Y$20,1,TRUE)=C99,1,0)</f>
        <v>0</v>
      </c>
      <c r="V99" t="str">
        <f t="shared" si="39"/>
        <v/>
      </c>
      <c r="W99" t="str">
        <f t="shared" si="40"/>
        <v/>
      </c>
      <c r="X99">
        <f t="shared" si="41"/>
        <v>4</v>
      </c>
      <c r="Y99">
        <f t="shared" si="42"/>
        <v>0</v>
      </c>
      <c r="AA99">
        <f t="shared" si="43"/>
        <v>1</v>
      </c>
    </row>
    <row r="100" spans="1:27" x14ac:dyDescent="0.2">
      <c r="A100" t="s">
        <v>23</v>
      </c>
      <c r="B100" t="s">
        <v>26</v>
      </c>
      <c r="C100" t="s">
        <v>1101</v>
      </c>
      <c r="D100" t="s">
        <v>2</v>
      </c>
      <c r="E100" t="s">
        <v>3</v>
      </c>
      <c r="F100" t="s">
        <v>1225</v>
      </c>
      <c r="G100" t="s">
        <v>1130</v>
      </c>
      <c r="H100" s="4">
        <f t="shared" si="27"/>
        <v>1</v>
      </c>
      <c r="I100" s="4">
        <f>IF(RIGHT(B100,1)="M",IF(AND(H100=1,E100="RFS",D100=INDEX('Station Depth Averages'!$A$3:$B$84,MATCH(B100,'Station Depth Averages'!$A$3:$A$84,0),2)),1,""),IF(AND(H100=1,OR(D100="SYN",D100="SRF",D100="MID")),1,IF(AND(H100=1,OR(E101="FDn",E101="LDn")),1,IF(AND(H100=1,OR(E100="FDn",E100="LDn")),1,""))))</f>
        <v>1</v>
      </c>
      <c r="J100" s="4">
        <f t="shared" si="28"/>
        <v>1</v>
      </c>
      <c r="K100" s="4" t="str">
        <f t="shared" si="29"/>
        <v/>
      </c>
      <c r="L100" s="4" t="str">
        <f t="shared" si="30"/>
        <v/>
      </c>
      <c r="M100" s="4" t="str">
        <f t="shared" si="31"/>
        <v/>
      </c>
      <c r="N100" s="4" t="str">
        <f t="shared" si="32"/>
        <v/>
      </c>
      <c r="O100" s="4" t="str">
        <f t="shared" si="33"/>
        <v/>
      </c>
      <c r="P100" s="4" t="str">
        <f t="shared" si="34"/>
        <v/>
      </c>
      <c r="Q100" s="4" t="str">
        <f t="shared" si="35"/>
        <v/>
      </c>
      <c r="R100" s="4" t="str">
        <f t="shared" si="36"/>
        <v/>
      </c>
      <c r="S100" s="4" t="str">
        <f t="shared" si="37"/>
        <v/>
      </c>
      <c r="T100" s="4" t="str">
        <f t="shared" si="38"/>
        <v/>
      </c>
      <c r="U100">
        <f>IF(VLOOKUP(C100,'QA Table'!$Y$5:$Y$20,1,TRUE)=C100,1,0)</f>
        <v>0</v>
      </c>
      <c r="V100" t="str">
        <f t="shared" si="39"/>
        <v/>
      </c>
      <c r="W100" t="str">
        <f t="shared" si="40"/>
        <v/>
      </c>
      <c r="X100">
        <f t="shared" si="41"/>
        <v>4</v>
      </c>
      <c r="Y100">
        <f t="shared" si="42"/>
        <v>0</v>
      </c>
      <c r="AA100">
        <f t="shared" si="43"/>
        <v>1</v>
      </c>
    </row>
    <row r="101" spans="1:27" x14ac:dyDescent="0.2">
      <c r="A101" t="s">
        <v>23</v>
      </c>
      <c r="B101" t="s">
        <v>26</v>
      </c>
      <c r="C101" t="s">
        <v>1226</v>
      </c>
      <c r="D101" t="s">
        <v>1050</v>
      </c>
      <c r="E101" t="s">
        <v>3</v>
      </c>
      <c r="F101" t="s">
        <v>1225</v>
      </c>
      <c r="G101" t="s">
        <v>1130</v>
      </c>
      <c r="H101" s="4" t="str">
        <f t="shared" si="27"/>
        <v/>
      </c>
      <c r="I101" s="4" t="str">
        <f>IF(RIGHT(B101,1)="M",IF(AND(H101=1,E101="RFS",D101=INDEX('Station Depth Averages'!$A$3:$B$84,MATCH(B101,'Station Depth Averages'!$A$3:$A$84,0),2)),1,""),IF(AND(H101=1,OR(D101="SYN",D101="SRF",D101="MID")),1,IF(AND(H101=1,OR(E102="FDn",E102="LDn")),1,IF(AND(H101=1,OR(E101="FDn",E101="LDn")),1,""))))</f>
        <v/>
      </c>
      <c r="J101" s="4" t="str">
        <f t="shared" si="28"/>
        <v/>
      </c>
      <c r="K101" s="4" t="str">
        <f t="shared" si="29"/>
        <v/>
      </c>
      <c r="L101" s="4" t="str">
        <f t="shared" si="30"/>
        <v/>
      </c>
      <c r="M101" s="4" t="str">
        <f t="shared" si="31"/>
        <v/>
      </c>
      <c r="N101" s="4" t="str">
        <f t="shared" si="32"/>
        <v/>
      </c>
      <c r="O101" s="4" t="str">
        <f t="shared" si="33"/>
        <v/>
      </c>
      <c r="P101" s="4" t="str">
        <f t="shared" si="34"/>
        <v/>
      </c>
      <c r="Q101" s="4" t="str">
        <f t="shared" si="35"/>
        <v/>
      </c>
      <c r="R101" s="4" t="str">
        <f t="shared" si="36"/>
        <v/>
      </c>
      <c r="S101" s="4" t="str">
        <f t="shared" si="37"/>
        <v/>
      </c>
      <c r="T101" s="4" t="str">
        <f t="shared" si="38"/>
        <v/>
      </c>
      <c r="U101">
        <f>IF(VLOOKUP(C101,'QA Table'!$Y$5:$Y$20,1,TRUE)=C101,1,0)</f>
        <v>0</v>
      </c>
      <c r="V101" t="str">
        <f t="shared" si="39"/>
        <v/>
      </c>
      <c r="W101" t="str">
        <f t="shared" si="40"/>
        <v/>
      </c>
      <c r="X101" t="str">
        <f t="shared" si="41"/>
        <v/>
      </c>
      <c r="Y101">
        <f t="shared" si="42"/>
        <v>0</v>
      </c>
      <c r="AA101" t="str">
        <f t="shared" si="43"/>
        <v/>
      </c>
    </row>
    <row r="102" spans="1:27" x14ac:dyDescent="0.2">
      <c r="A102" t="s">
        <v>23</v>
      </c>
      <c r="B102" t="s">
        <v>26</v>
      </c>
      <c r="C102" t="s">
        <v>1227</v>
      </c>
      <c r="D102" t="s">
        <v>4</v>
      </c>
      <c r="E102" t="s">
        <v>3</v>
      </c>
      <c r="F102" t="s">
        <v>1225</v>
      </c>
      <c r="G102" t="s">
        <v>1130</v>
      </c>
      <c r="H102" s="4" t="str">
        <f t="shared" si="27"/>
        <v/>
      </c>
      <c r="I102" s="4" t="str">
        <f>IF(RIGHT(B102,1)="M",IF(AND(H102=1,E102="RFS",D102=INDEX('Station Depth Averages'!$A$3:$B$84,MATCH(B102,'Station Depth Averages'!$A$3:$A$84,0),2)),1,""),IF(AND(H102=1,OR(D102="SYN",D102="SRF",D102="MID")),1,IF(AND(H102=1,OR(E103="FDn",E103="LDn")),1,IF(AND(H102=1,OR(E102="FDn",E102="LDn")),1,""))))</f>
        <v/>
      </c>
      <c r="J102" s="4" t="str">
        <f t="shared" si="28"/>
        <v/>
      </c>
      <c r="K102" s="4" t="str">
        <f t="shared" si="29"/>
        <v/>
      </c>
      <c r="L102" s="4" t="str">
        <f t="shared" si="30"/>
        <v/>
      </c>
      <c r="M102" s="4" t="str">
        <f t="shared" si="31"/>
        <v/>
      </c>
      <c r="N102" s="4" t="str">
        <f t="shared" si="32"/>
        <v/>
      </c>
      <c r="O102" s="4" t="str">
        <f t="shared" si="33"/>
        <v/>
      </c>
      <c r="P102" s="4" t="str">
        <f t="shared" si="34"/>
        <v/>
      </c>
      <c r="Q102" s="4" t="str">
        <f t="shared" si="35"/>
        <v/>
      </c>
      <c r="R102" s="4" t="str">
        <f t="shared" si="36"/>
        <v/>
      </c>
      <c r="S102" s="4" t="str">
        <f t="shared" si="37"/>
        <v/>
      </c>
      <c r="T102" s="4" t="str">
        <f t="shared" si="38"/>
        <v/>
      </c>
      <c r="U102">
        <f>IF(VLOOKUP(C102,'QA Table'!$Y$5:$Y$20,1,TRUE)=C102,1,0)</f>
        <v>0</v>
      </c>
      <c r="V102" t="str">
        <f t="shared" si="39"/>
        <v/>
      </c>
      <c r="W102" t="str">
        <f t="shared" si="40"/>
        <v/>
      </c>
      <c r="X102" t="str">
        <f t="shared" si="41"/>
        <v/>
      </c>
      <c r="Y102">
        <f t="shared" si="42"/>
        <v>0</v>
      </c>
      <c r="AA102" t="str">
        <f t="shared" si="43"/>
        <v/>
      </c>
    </row>
    <row r="103" spans="1:27" x14ac:dyDescent="0.2">
      <c r="A103" t="s">
        <v>23</v>
      </c>
      <c r="B103" t="s">
        <v>26</v>
      </c>
      <c r="C103" t="s">
        <v>1228</v>
      </c>
      <c r="D103" t="s">
        <v>1051</v>
      </c>
      <c r="E103" t="s">
        <v>3</v>
      </c>
      <c r="F103" t="s">
        <v>1225</v>
      </c>
      <c r="G103" t="s">
        <v>1130</v>
      </c>
      <c r="H103" s="4" t="str">
        <f t="shared" si="27"/>
        <v/>
      </c>
      <c r="I103" s="4" t="str">
        <f>IF(RIGHT(B103,1)="M",IF(AND(H103=1,E103="RFS",D103=INDEX('Station Depth Averages'!$A$3:$B$84,MATCH(B103,'Station Depth Averages'!$A$3:$A$84,0),2)),1,""),IF(AND(H103=1,OR(D103="SYN",D103="SRF",D103="MID")),1,IF(AND(H103=1,OR(E104="FDn",E104="LDn")),1,IF(AND(H103=1,OR(E103="FDn",E103="LDn")),1,""))))</f>
        <v/>
      </c>
      <c r="J103" s="4" t="str">
        <f t="shared" si="28"/>
        <v/>
      </c>
      <c r="K103" s="4" t="str">
        <f t="shared" si="29"/>
        <v/>
      </c>
      <c r="L103" s="4" t="str">
        <f t="shared" si="30"/>
        <v/>
      </c>
      <c r="M103" s="4" t="str">
        <f t="shared" si="31"/>
        <v/>
      </c>
      <c r="N103" s="4" t="str">
        <f t="shared" si="32"/>
        <v/>
      </c>
      <c r="O103" s="4" t="str">
        <f t="shared" si="33"/>
        <v/>
      </c>
      <c r="P103" s="4" t="str">
        <f t="shared" si="34"/>
        <v/>
      </c>
      <c r="Q103" s="4" t="str">
        <f t="shared" si="35"/>
        <v/>
      </c>
      <c r="R103" s="4" t="str">
        <f t="shared" si="36"/>
        <v/>
      </c>
      <c r="S103" s="4" t="str">
        <f t="shared" si="37"/>
        <v/>
      </c>
      <c r="T103" s="4" t="str">
        <f t="shared" si="38"/>
        <v/>
      </c>
      <c r="U103">
        <f>IF(VLOOKUP(C103,'QA Table'!$Y$5:$Y$20,1,TRUE)=C103,1,0)</f>
        <v>0</v>
      </c>
      <c r="V103" t="str">
        <f t="shared" si="39"/>
        <v/>
      </c>
      <c r="W103" t="str">
        <f t="shared" si="40"/>
        <v/>
      </c>
      <c r="X103" t="str">
        <f t="shared" si="41"/>
        <v/>
      </c>
      <c r="Y103">
        <f t="shared" si="42"/>
        <v>0</v>
      </c>
      <c r="AA103" t="str">
        <f t="shared" si="43"/>
        <v/>
      </c>
    </row>
    <row r="104" spans="1:27" x14ac:dyDescent="0.2">
      <c r="A104" t="s">
        <v>23</v>
      </c>
      <c r="B104" t="s">
        <v>26</v>
      </c>
      <c r="C104" t="s">
        <v>1103</v>
      </c>
      <c r="D104" t="s">
        <v>119</v>
      </c>
      <c r="E104" t="s">
        <v>3</v>
      </c>
      <c r="F104" t="s">
        <v>1225</v>
      </c>
      <c r="G104" t="s">
        <v>1130</v>
      </c>
      <c r="H104" s="4">
        <f t="shared" si="27"/>
        <v>1</v>
      </c>
      <c r="I104" s="4">
        <f>IF(RIGHT(B104,1)="M",IF(AND(H104=1,E104="RFS",D104=INDEX('Station Depth Averages'!$A$3:$B$84,MATCH(B104,'Station Depth Averages'!$A$3:$A$84,0),2)),1,""),IF(AND(H104=1,OR(D104="SYN",D104="SRF",D104="MID")),1,IF(AND(H104=1,OR(E105="FDn",E105="LDn")),1,IF(AND(H104=1,OR(E104="FDn",E104="LDn")),1,""))))</f>
        <v>1</v>
      </c>
      <c r="J104" s="4">
        <f t="shared" si="28"/>
        <v>1</v>
      </c>
      <c r="K104" s="4" t="str">
        <f t="shared" si="29"/>
        <v/>
      </c>
      <c r="L104" s="4" t="str">
        <f t="shared" si="30"/>
        <v/>
      </c>
      <c r="M104" s="4" t="str">
        <f t="shared" si="31"/>
        <v/>
      </c>
      <c r="N104" s="4" t="str">
        <f t="shared" si="32"/>
        <v/>
      </c>
      <c r="O104" s="4" t="str">
        <f t="shared" si="33"/>
        <v/>
      </c>
      <c r="P104" s="4" t="str">
        <f t="shared" si="34"/>
        <v/>
      </c>
      <c r="Q104" s="4" t="str">
        <f t="shared" si="35"/>
        <v/>
      </c>
      <c r="R104" s="4" t="str">
        <f t="shared" si="36"/>
        <v/>
      </c>
      <c r="S104" s="4" t="str">
        <f t="shared" si="37"/>
        <v/>
      </c>
      <c r="T104" s="4" t="str">
        <f t="shared" si="38"/>
        <v/>
      </c>
      <c r="U104">
        <f>IF(VLOOKUP(C104,'QA Table'!$Y$5:$Y$20,1,TRUE)=C104,1,0)</f>
        <v>0</v>
      </c>
      <c r="V104" t="str">
        <f t="shared" si="39"/>
        <v/>
      </c>
      <c r="W104" t="str">
        <f t="shared" si="40"/>
        <v/>
      </c>
      <c r="X104">
        <f t="shared" si="41"/>
        <v>4</v>
      </c>
      <c r="Y104">
        <f t="shared" si="42"/>
        <v>0</v>
      </c>
      <c r="AA104">
        <f t="shared" si="43"/>
        <v>1</v>
      </c>
    </row>
    <row r="105" spans="1:27" x14ac:dyDescent="0.2">
      <c r="A105" t="s">
        <v>23</v>
      </c>
      <c r="B105" t="s">
        <v>26</v>
      </c>
      <c r="C105" t="s">
        <v>1229</v>
      </c>
      <c r="D105" t="s">
        <v>119</v>
      </c>
      <c r="E105" t="s">
        <v>7</v>
      </c>
      <c r="F105" t="s">
        <v>1225</v>
      </c>
      <c r="G105" t="s">
        <v>1130</v>
      </c>
      <c r="H105" s="4">
        <f t="shared" si="27"/>
        <v>1</v>
      </c>
      <c r="I105" s="4">
        <f>IF(RIGHT(B105,1)="M",IF(AND(H105=1,E105="RFS",D105=INDEX('Station Depth Averages'!$A$3:$B$84,MATCH(B105,'Station Depth Averages'!$A$3:$A$84,0),2)),1,""),IF(AND(H105=1,OR(D105="SYN",D105="SRF",D105="MID")),1,IF(AND(H105=1,OR(E106="FDn",E106="LDn")),1,IF(AND(H105=1,OR(E105="FDn",E105="LDn")),1,""))))</f>
        <v>1</v>
      </c>
      <c r="J105" s="4">
        <f t="shared" si="28"/>
        <v>1</v>
      </c>
      <c r="K105" s="4" t="str">
        <f t="shared" si="29"/>
        <v/>
      </c>
      <c r="L105" s="4" t="str">
        <f t="shared" si="30"/>
        <v/>
      </c>
      <c r="M105" s="4" t="str">
        <f t="shared" si="31"/>
        <v/>
      </c>
      <c r="N105" s="4" t="str">
        <f t="shared" si="32"/>
        <v/>
      </c>
      <c r="O105" s="4" t="str">
        <f t="shared" si="33"/>
        <v/>
      </c>
      <c r="P105" s="4" t="str">
        <f t="shared" si="34"/>
        <v/>
      </c>
      <c r="Q105" s="4" t="str">
        <f t="shared" si="35"/>
        <v/>
      </c>
      <c r="R105" s="4" t="str">
        <f t="shared" si="36"/>
        <v/>
      </c>
      <c r="S105" s="4" t="str">
        <f t="shared" si="37"/>
        <v/>
      </c>
      <c r="T105" s="4" t="str">
        <f t="shared" si="38"/>
        <v/>
      </c>
      <c r="U105">
        <f>IF(VLOOKUP(C105,'QA Table'!$Y$5:$Y$20,1,TRUE)=C105,1,0)</f>
        <v>0</v>
      </c>
      <c r="V105" t="str">
        <f t="shared" si="39"/>
        <v/>
      </c>
      <c r="W105" t="str">
        <f t="shared" si="40"/>
        <v/>
      </c>
      <c r="X105">
        <f t="shared" si="41"/>
        <v>4</v>
      </c>
      <c r="Y105">
        <f t="shared" si="42"/>
        <v>0</v>
      </c>
      <c r="AA105">
        <f t="shared" si="43"/>
        <v>1</v>
      </c>
    </row>
    <row r="106" spans="1:27" x14ac:dyDescent="0.2">
      <c r="A106" t="s">
        <v>23</v>
      </c>
      <c r="B106" t="s">
        <v>26</v>
      </c>
      <c r="C106" t="s">
        <v>1230</v>
      </c>
      <c r="D106" t="s">
        <v>5</v>
      </c>
      <c r="E106" t="s">
        <v>3</v>
      </c>
      <c r="F106" t="s">
        <v>1225</v>
      </c>
      <c r="G106" t="s">
        <v>1130</v>
      </c>
      <c r="H106" s="4">
        <f t="shared" si="27"/>
        <v>1</v>
      </c>
      <c r="I106" s="4" t="str">
        <f>IF(RIGHT(B106,1)="M",IF(AND(H106=1,E106="RFS",D106=INDEX('Station Depth Averages'!$A$3:$B$84,MATCH(B106,'Station Depth Averages'!$A$3:$A$84,0),2)),1,""),IF(AND(H106=1,OR(D106="SYN",D106="SRF",D106="MID")),1,IF(AND(H106=1,OR(E107="FDn",E107="LDn")),1,IF(AND(H106=1,OR(E106="FDn",E106="LDn")),1,""))))</f>
        <v/>
      </c>
      <c r="J106" s="4">
        <f t="shared" si="28"/>
        <v>1</v>
      </c>
      <c r="K106" s="4" t="str">
        <f t="shared" si="29"/>
        <v/>
      </c>
      <c r="L106" s="4" t="str">
        <f t="shared" si="30"/>
        <v/>
      </c>
      <c r="M106" s="4" t="str">
        <f t="shared" si="31"/>
        <v/>
      </c>
      <c r="N106" s="4" t="str">
        <f t="shared" si="32"/>
        <v/>
      </c>
      <c r="O106" s="4" t="str">
        <f t="shared" si="33"/>
        <v/>
      </c>
      <c r="P106" s="4" t="str">
        <f t="shared" si="34"/>
        <v/>
      </c>
      <c r="Q106" s="4" t="str">
        <f t="shared" si="35"/>
        <v/>
      </c>
      <c r="R106" s="4" t="str">
        <f t="shared" si="36"/>
        <v/>
      </c>
      <c r="S106" s="4" t="str">
        <f t="shared" si="37"/>
        <v/>
      </c>
      <c r="T106" s="4" t="str">
        <f t="shared" si="38"/>
        <v/>
      </c>
      <c r="U106">
        <f>IF(VLOOKUP(C106,'QA Table'!$Y$5:$Y$20,1,TRUE)=C106,1,0)</f>
        <v>0</v>
      </c>
      <c r="V106" t="str">
        <f t="shared" si="39"/>
        <v/>
      </c>
      <c r="W106" t="str">
        <f t="shared" si="40"/>
        <v/>
      </c>
      <c r="X106">
        <f t="shared" si="41"/>
        <v>4</v>
      </c>
      <c r="Y106">
        <f t="shared" si="42"/>
        <v>0</v>
      </c>
      <c r="AA106">
        <f t="shared" si="43"/>
        <v>1</v>
      </c>
    </row>
    <row r="107" spans="1:27" x14ac:dyDescent="0.2">
      <c r="A107" t="s">
        <v>23</v>
      </c>
      <c r="B107" t="s">
        <v>26</v>
      </c>
      <c r="C107" t="s">
        <v>1231</v>
      </c>
      <c r="D107" t="s">
        <v>6</v>
      </c>
      <c r="E107" t="s">
        <v>3</v>
      </c>
      <c r="F107" t="s">
        <v>1225</v>
      </c>
      <c r="G107" t="s">
        <v>1130</v>
      </c>
      <c r="H107" s="4">
        <f t="shared" si="27"/>
        <v>1</v>
      </c>
      <c r="I107" s="4" t="str">
        <f>IF(RIGHT(B107,1)="M",IF(AND(H107=1,E107="RFS",D107=INDEX('Station Depth Averages'!$A$3:$B$84,MATCH(B107,'Station Depth Averages'!$A$3:$A$84,0),2)),1,""),IF(AND(H107=1,OR(D107="SYN",D107="SRF",D107="MID")),1,IF(AND(H107=1,OR(E108="FDn",E108="LDn")),1,IF(AND(H107=1,OR(E107="FDn",E107="LDn")),1,""))))</f>
        <v/>
      </c>
      <c r="J107" s="4">
        <f t="shared" si="28"/>
        <v>1</v>
      </c>
      <c r="K107" s="4" t="str">
        <f t="shared" si="29"/>
        <v/>
      </c>
      <c r="L107" s="4" t="str">
        <f t="shared" si="30"/>
        <v/>
      </c>
      <c r="M107" s="4" t="str">
        <f t="shared" si="31"/>
        <v/>
      </c>
      <c r="N107" s="4" t="str">
        <f t="shared" si="32"/>
        <v/>
      </c>
      <c r="O107" s="4" t="str">
        <f t="shared" si="33"/>
        <v/>
      </c>
      <c r="P107" s="4" t="str">
        <f t="shared" si="34"/>
        <v/>
      </c>
      <c r="Q107" s="4" t="str">
        <f t="shared" si="35"/>
        <v/>
      </c>
      <c r="R107" s="4" t="str">
        <f t="shared" si="36"/>
        <v/>
      </c>
      <c r="S107" s="4" t="str">
        <f t="shared" si="37"/>
        <v/>
      </c>
      <c r="T107" s="4" t="str">
        <f t="shared" si="38"/>
        <v/>
      </c>
      <c r="U107">
        <f>IF(VLOOKUP(C107,'QA Table'!$Y$5:$Y$20,1,TRUE)=C107,1,0)</f>
        <v>0</v>
      </c>
      <c r="V107" t="str">
        <f t="shared" si="39"/>
        <v/>
      </c>
      <c r="W107" t="str">
        <f t="shared" si="40"/>
        <v/>
      </c>
      <c r="X107">
        <f t="shared" si="41"/>
        <v>4</v>
      </c>
      <c r="Y107">
        <f t="shared" si="42"/>
        <v>0</v>
      </c>
      <c r="AA107">
        <f t="shared" si="43"/>
        <v>1</v>
      </c>
    </row>
    <row r="108" spans="1:27" x14ac:dyDescent="0.2">
      <c r="A108" t="s">
        <v>23</v>
      </c>
      <c r="B108" t="s">
        <v>26</v>
      </c>
      <c r="C108" t="s">
        <v>1232</v>
      </c>
      <c r="D108" t="s">
        <v>8</v>
      </c>
      <c r="E108" t="s">
        <v>3</v>
      </c>
      <c r="F108" t="s">
        <v>1225</v>
      </c>
      <c r="G108" t="s">
        <v>1130</v>
      </c>
      <c r="H108" s="4">
        <f t="shared" si="27"/>
        <v>1</v>
      </c>
      <c r="I108" s="4" t="str">
        <f>IF(RIGHT(B108,1)="M",IF(AND(H108=1,E108="RFS",D108=INDEX('Station Depth Averages'!$A$3:$B$84,MATCH(B108,'Station Depth Averages'!$A$3:$A$84,0),2)),1,""),IF(AND(H108=1,OR(D108="SYN",D108="SRF",D108="MID")),1,IF(AND(H108=1,OR(E109="FDn",E109="LDn")),1,IF(AND(H108=1,OR(E108="FDn",E108="LDn")),1,""))))</f>
        <v/>
      </c>
      <c r="J108" s="4" t="str">
        <f t="shared" si="28"/>
        <v/>
      </c>
      <c r="K108" s="4">
        <f t="shared" si="29"/>
        <v>1</v>
      </c>
      <c r="L108" s="4" t="str">
        <f t="shared" si="30"/>
        <v/>
      </c>
      <c r="M108" s="4" t="str">
        <f t="shared" si="31"/>
        <v/>
      </c>
      <c r="N108" s="4" t="str">
        <f t="shared" si="32"/>
        <v/>
      </c>
      <c r="O108" s="4" t="str">
        <f t="shared" si="33"/>
        <v/>
      </c>
      <c r="P108" s="4" t="str">
        <f t="shared" si="34"/>
        <v/>
      </c>
      <c r="Q108" s="4">
        <f t="shared" si="35"/>
        <v>2</v>
      </c>
      <c r="R108" s="4" t="str">
        <f t="shared" si="36"/>
        <v/>
      </c>
      <c r="S108" s="4" t="str">
        <f t="shared" si="37"/>
        <v/>
      </c>
      <c r="T108" s="4" t="str">
        <f t="shared" si="38"/>
        <v/>
      </c>
      <c r="U108">
        <f>IF(VLOOKUP(C108,'QA Table'!$Y$5:$Y$20,1,TRUE)=C108,1,0)</f>
        <v>0</v>
      </c>
      <c r="V108" t="str">
        <f t="shared" si="39"/>
        <v/>
      </c>
      <c r="W108" t="str">
        <f t="shared" si="40"/>
        <v/>
      </c>
      <c r="X108">
        <f t="shared" si="41"/>
        <v>4</v>
      </c>
      <c r="Y108">
        <f t="shared" si="42"/>
        <v>0</v>
      </c>
      <c r="AA108">
        <f t="shared" si="43"/>
        <v>1</v>
      </c>
    </row>
    <row r="109" spans="1:27" x14ac:dyDescent="0.2">
      <c r="A109" t="s">
        <v>23</v>
      </c>
      <c r="B109" t="s">
        <v>26</v>
      </c>
      <c r="C109" t="s">
        <v>1233</v>
      </c>
      <c r="D109" t="s">
        <v>9</v>
      </c>
      <c r="E109" t="s">
        <v>3</v>
      </c>
      <c r="F109" t="s">
        <v>1225</v>
      </c>
      <c r="G109" t="s">
        <v>1130</v>
      </c>
      <c r="H109" s="4" t="str">
        <f t="shared" si="27"/>
        <v/>
      </c>
      <c r="I109" s="4" t="str">
        <f>IF(RIGHT(B109,1)="M",IF(AND(H109=1,E109="RFS",D109=INDEX('Station Depth Averages'!$A$3:$B$84,MATCH(B109,'Station Depth Averages'!$A$3:$A$84,0),2)),1,""),IF(AND(H109=1,OR(D109="SYN",D109="SRF",D109="MID")),1,IF(AND(H109=1,OR(E110="FDn",E110="LDn")),1,IF(AND(H109=1,OR(E109="FDn",E109="LDn")),1,""))))</f>
        <v/>
      </c>
      <c r="J109" s="4" t="str">
        <f t="shared" si="28"/>
        <v/>
      </c>
      <c r="K109" s="4" t="str">
        <f t="shared" si="29"/>
        <v/>
      </c>
      <c r="L109" s="4" t="str">
        <f t="shared" si="30"/>
        <v/>
      </c>
      <c r="M109" s="4" t="str">
        <f t="shared" si="31"/>
        <v/>
      </c>
      <c r="N109" s="4" t="str">
        <f t="shared" si="32"/>
        <v/>
      </c>
      <c r="O109" s="4" t="str">
        <f t="shared" si="33"/>
        <v/>
      </c>
      <c r="P109" s="4" t="str">
        <f t="shared" si="34"/>
        <v/>
      </c>
      <c r="Q109" s="4" t="str">
        <f t="shared" si="35"/>
        <v/>
      </c>
      <c r="R109" s="4" t="str">
        <f t="shared" si="36"/>
        <v/>
      </c>
      <c r="S109" s="4" t="str">
        <f t="shared" si="37"/>
        <v/>
      </c>
      <c r="T109" s="4">
        <f t="shared" si="38"/>
        <v>1</v>
      </c>
      <c r="U109">
        <f>IF(VLOOKUP(C109,'QA Table'!$Y$5:$Y$20,1,TRUE)=C109,1,0)</f>
        <v>0</v>
      </c>
      <c r="V109" t="str">
        <f t="shared" si="39"/>
        <v/>
      </c>
      <c r="W109" t="str">
        <f t="shared" si="40"/>
        <v/>
      </c>
      <c r="X109" t="str">
        <f t="shared" si="41"/>
        <v/>
      </c>
      <c r="Y109">
        <f t="shared" si="42"/>
        <v>0</v>
      </c>
      <c r="AA109" t="str">
        <f t="shared" si="43"/>
        <v/>
      </c>
    </row>
    <row r="110" spans="1:27" x14ac:dyDescent="0.2">
      <c r="A110" t="s">
        <v>23</v>
      </c>
      <c r="B110" t="s">
        <v>26</v>
      </c>
      <c r="C110" t="s">
        <v>1234</v>
      </c>
      <c r="D110" t="s">
        <v>10</v>
      </c>
      <c r="E110" t="s">
        <v>3</v>
      </c>
      <c r="F110" t="s">
        <v>1225</v>
      </c>
      <c r="G110" t="s">
        <v>1130</v>
      </c>
      <c r="H110" s="4" t="str">
        <f t="shared" si="27"/>
        <v/>
      </c>
      <c r="I110" s="4" t="str">
        <f>IF(RIGHT(B110,1)="M",IF(AND(H110=1,E110="RFS",D110=INDEX('Station Depth Averages'!$A$3:$B$84,MATCH(B110,'Station Depth Averages'!$A$3:$A$84,0),2)),1,""),IF(AND(H110=1,OR(D110="SYN",D110="SRF",D110="MID")),1,IF(AND(H110=1,OR(E111="FDn",E111="LDn")),1,IF(AND(H110=1,OR(E110="FDn",E110="LDn")),1,""))))</f>
        <v/>
      </c>
      <c r="J110" s="4" t="str">
        <f t="shared" si="28"/>
        <v/>
      </c>
      <c r="K110" s="4" t="str">
        <f t="shared" si="29"/>
        <v/>
      </c>
      <c r="L110" s="4" t="str">
        <f t="shared" si="30"/>
        <v/>
      </c>
      <c r="M110" s="4" t="str">
        <f t="shared" si="31"/>
        <v/>
      </c>
      <c r="N110" s="4" t="str">
        <f t="shared" si="32"/>
        <v/>
      </c>
      <c r="O110" s="4" t="str">
        <f t="shared" si="33"/>
        <v/>
      </c>
      <c r="P110" s="4" t="str">
        <f t="shared" si="34"/>
        <v/>
      </c>
      <c r="Q110" s="4" t="str">
        <f t="shared" si="35"/>
        <v/>
      </c>
      <c r="R110" s="4" t="str">
        <f t="shared" si="36"/>
        <v/>
      </c>
      <c r="S110" s="4" t="str">
        <f t="shared" si="37"/>
        <v/>
      </c>
      <c r="T110" s="4">
        <f t="shared" si="38"/>
        <v>1</v>
      </c>
      <c r="U110">
        <f>IF(VLOOKUP(C110,'QA Table'!$Y$5:$Y$20,1,TRUE)=C110,1,0)</f>
        <v>0</v>
      </c>
      <c r="V110" t="str">
        <f t="shared" si="39"/>
        <v/>
      </c>
      <c r="W110" t="str">
        <f t="shared" si="40"/>
        <v/>
      </c>
      <c r="X110" t="str">
        <f t="shared" si="41"/>
        <v/>
      </c>
      <c r="Y110">
        <f t="shared" si="42"/>
        <v>0</v>
      </c>
      <c r="AA110" t="str">
        <f t="shared" si="43"/>
        <v/>
      </c>
    </row>
    <row r="111" spans="1:27" x14ac:dyDescent="0.2">
      <c r="A111" t="s">
        <v>23</v>
      </c>
      <c r="B111" t="s">
        <v>26</v>
      </c>
      <c r="C111" t="s">
        <v>1235</v>
      </c>
      <c r="D111" t="s">
        <v>1034</v>
      </c>
      <c r="E111" t="s">
        <v>3</v>
      </c>
      <c r="F111" t="s">
        <v>1225</v>
      </c>
      <c r="G111" t="s">
        <v>1130</v>
      </c>
      <c r="H111" s="4" t="str">
        <f t="shared" si="27"/>
        <v/>
      </c>
      <c r="I111" s="4" t="str">
        <f>IF(RIGHT(B111,1)="M",IF(AND(H111=1,E111="RFS",D111=INDEX('Station Depth Averages'!$A$3:$B$84,MATCH(B111,'Station Depth Averages'!$A$3:$A$84,0),2)),1,""),IF(AND(H111=1,OR(D111="SYN",D111="SRF",D111="MID")),1,IF(AND(H111=1,OR(E112="FDn",E112="LDn")),1,IF(AND(H111=1,OR(E111="FDn",E111="LDn")),1,""))))</f>
        <v/>
      </c>
      <c r="J111" s="4" t="str">
        <f t="shared" si="28"/>
        <v/>
      </c>
      <c r="K111" s="4" t="str">
        <f t="shared" si="29"/>
        <v/>
      </c>
      <c r="L111" s="4" t="str">
        <f t="shared" si="30"/>
        <v/>
      </c>
      <c r="M111" s="4" t="str">
        <f t="shared" si="31"/>
        <v/>
      </c>
      <c r="N111" s="4" t="str">
        <f t="shared" si="32"/>
        <v/>
      </c>
      <c r="O111" s="4" t="str">
        <f t="shared" si="33"/>
        <v/>
      </c>
      <c r="P111" s="4" t="str">
        <f t="shared" si="34"/>
        <v/>
      </c>
      <c r="Q111" s="4" t="str">
        <f t="shared" si="35"/>
        <v/>
      </c>
      <c r="R111" s="4" t="str">
        <f t="shared" si="36"/>
        <v/>
      </c>
      <c r="S111" s="4">
        <f t="shared" si="37"/>
        <v>1</v>
      </c>
      <c r="T111" s="4" t="str">
        <f t="shared" si="38"/>
        <v/>
      </c>
      <c r="U111">
        <f>IF(VLOOKUP(C111,'QA Table'!$Y$5:$Y$20,1,TRUE)=C111,1,0)</f>
        <v>0</v>
      </c>
      <c r="V111" t="str">
        <f t="shared" si="39"/>
        <v/>
      </c>
      <c r="W111" t="str">
        <f t="shared" si="40"/>
        <v/>
      </c>
      <c r="X111" t="str">
        <f t="shared" si="41"/>
        <v/>
      </c>
      <c r="Y111">
        <f t="shared" si="42"/>
        <v>0</v>
      </c>
      <c r="AA111" t="str">
        <f t="shared" si="43"/>
        <v/>
      </c>
    </row>
    <row r="112" spans="1:27" x14ac:dyDescent="0.2">
      <c r="A112" t="s">
        <v>23</v>
      </c>
      <c r="B112" t="s">
        <v>26</v>
      </c>
      <c r="C112" t="s">
        <v>1236</v>
      </c>
      <c r="D112" t="s">
        <v>1034</v>
      </c>
      <c r="E112" t="s">
        <v>19</v>
      </c>
      <c r="F112" t="s">
        <v>1225</v>
      </c>
      <c r="G112" t="s">
        <v>1130</v>
      </c>
      <c r="H112" s="4" t="str">
        <f t="shared" si="27"/>
        <v/>
      </c>
      <c r="I112" s="4" t="str">
        <f>IF(RIGHT(B112,1)="M",IF(AND(H112=1,E112="RFS",D112=INDEX('Station Depth Averages'!$A$3:$B$84,MATCH(B112,'Station Depth Averages'!$A$3:$A$84,0),2)),1,""),IF(AND(H112=1,OR(D112="SYN",D112="SRF",D112="MID")),1,IF(AND(H112=1,OR(E113="FDn",E113="LDn")),1,IF(AND(H112=1,OR(E112="FDn",E112="LDn")),1,""))))</f>
        <v/>
      </c>
      <c r="J112" s="4" t="str">
        <f t="shared" si="28"/>
        <v/>
      </c>
      <c r="K112" s="4" t="str">
        <f t="shared" si="29"/>
        <v/>
      </c>
      <c r="L112" s="4" t="str">
        <f t="shared" si="30"/>
        <v/>
      </c>
      <c r="M112" s="4" t="str">
        <f t="shared" si="31"/>
        <v/>
      </c>
      <c r="N112" s="4" t="str">
        <f t="shared" si="32"/>
        <v/>
      </c>
      <c r="O112" s="4" t="str">
        <f t="shared" si="33"/>
        <v/>
      </c>
      <c r="P112" s="4" t="str">
        <f t="shared" si="34"/>
        <v/>
      </c>
      <c r="Q112" s="4" t="str">
        <f t="shared" si="35"/>
        <v/>
      </c>
      <c r="R112" s="4" t="str">
        <f t="shared" si="36"/>
        <v/>
      </c>
      <c r="S112" s="4">
        <f t="shared" si="37"/>
        <v>1</v>
      </c>
      <c r="T112" s="4" t="str">
        <f t="shared" si="38"/>
        <v/>
      </c>
      <c r="U112">
        <f>IF(VLOOKUP(C112,'QA Table'!$Y$5:$Y$20,1,TRUE)=C112,1,0)</f>
        <v>0</v>
      </c>
      <c r="V112" t="str">
        <f t="shared" si="39"/>
        <v/>
      </c>
      <c r="W112" t="str">
        <f t="shared" si="40"/>
        <v/>
      </c>
      <c r="X112" t="str">
        <f t="shared" si="41"/>
        <v/>
      </c>
      <c r="Y112">
        <f t="shared" si="42"/>
        <v>0</v>
      </c>
      <c r="AA112" t="str">
        <f t="shared" si="43"/>
        <v/>
      </c>
    </row>
    <row r="113" spans="1:27" x14ac:dyDescent="0.2">
      <c r="A113" t="s">
        <v>27</v>
      </c>
      <c r="B113" t="s">
        <v>28</v>
      </c>
      <c r="C113" t="s">
        <v>1237</v>
      </c>
      <c r="D113" t="s">
        <v>14</v>
      </c>
      <c r="E113" t="s">
        <v>15</v>
      </c>
      <c r="F113" t="s">
        <v>1238</v>
      </c>
      <c r="G113" t="s">
        <v>1130</v>
      </c>
      <c r="H113" s="4">
        <f t="shared" si="27"/>
        <v>1</v>
      </c>
      <c r="I113" s="4">
        <f>IF(RIGHT(B113,1)="M",IF(AND(H113=1,E113="RFS",D113=INDEX('Station Depth Averages'!$A$3:$B$84,MATCH(B113,'Station Depth Averages'!$A$3:$A$84,0),2)),1,""),IF(AND(H113=1,OR(D113="SYN",D113="SRF",D113="MID")),1,IF(AND(H113=1,OR(E114="FDn",E114="LDn")),1,IF(AND(H113=1,OR(E113="FDn",E113="LDn")),1,""))))</f>
        <v>1</v>
      </c>
      <c r="J113" s="4">
        <f t="shared" si="28"/>
        <v>1</v>
      </c>
      <c r="K113" s="4" t="str">
        <f t="shared" si="29"/>
        <v/>
      </c>
      <c r="L113" s="4" t="str">
        <f t="shared" si="30"/>
        <v/>
      </c>
      <c r="M113" s="4" t="str">
        <f t="shared" si="31"/>
        <v/>
      </c>
      <c r="N113" s="4" t="str">
        <f t="shared" si="32"/>
        <v/>
      </c>
      <c r="O113" s="4" t="str">
        <f t="shared" si="33"/>
        <v/>
      </c>
      <c r="P113" s="4" t="str">
        <f t="shared" si="34"/>
        <v/>
      </c>
      <c r="Q113" s="4" t="str">
        <f t="shared" si="35"/>
        <v/>
      </c>
      <c r="R113" s="4" t="str">
        <f t="shared" si="36"/>
        <v/>
      </c>
      <c r="S113" s="4" t="str">
        <f t="shared" si="37"/>
        <v/>
      </c>
      <c r="T113" s="4" t="str">
        <f t="shared" si="38"/>
        <v/>
      </c>
      <c r="U113">
        <f>IF(VLOOKUP(C113,'QA Table'!$Y$5:$Y$20,1,TRUE)=C113,1,0)</f>
        <v>0</v>
      </c>
      <c r="V113" t="str">
        <f t="shared" si="39"/>
        <v/>
      </c>
      <c r="W113" t="str">
        <f t="shared" si="40"/>
        <v/>
      </c>
      <c r="X113">
        <f t="shared" si="41"/>
        <v>4</v>
      </c>
      <c r="Y113">
        <f t="shared" si="42"/>
        <v>0</v>
      </c>
      <c r="AA113">
        <f t="shared" si="43"/>
        <v>1</v>
      </c>
    </row>
    <row r="114" spans="1:27" x14ac:dyDescent="0.2">
      <c r="A114" t="s">
        <v>27</v>
      </c>
      <c r="B114" t="s">
        <v>28</v>
      </c>
      <c r="C114" t="s">
        <v>1105</v>
      </c>
      <c r="D114" t="s">
        <v>2</v>
      </c>
      <c r="E114" t="s">
        <v>3</v>
      </c>
      <c r="F114" t="s">
        <v>1238</v>
      </c>
      <c r="G114" t="s">
        <v>1130</v>
      </c>
      <c r="H114" s="4">
        <f t="shared" si="27"/>
        <v>1</v>
      </c>
      <c r="I114" s="4">
        <f>IF(RIGHT(B114,1)="M",IF(AND(H114=1,E114="RFS",D114=INDEX('Station Depth Averages'!$A$3:$B$84,MATCH(B114,'Station Depth Averages'!$A$3:$A$84,0),2)),1,""),IF(AND(H114=1,OR(D114="SYN",D114="SRF",D114="MID")),1,IF(AND(H114=1,OR(E115="FDn",E115="LDn")),1,IF(AND(H114=1,OR(E114="FDn",E114="LDn")),1,""))))</f>
        <v>1</v>
      </c>
      <c r="J114" s="4">
        <f t="shared" si="28"/>
        <v>1</v>
      </c>
      <c r="K114" s="4" t="str">
        <f t="shared" si="29"/>
        <v/>
      </c>
      <c r="L114" s="4" t="str">
        <f t="shared" si="30"/>
        <v/>
      </c>
      <c r="M114" s="4" t="str">
        <f t="shared" si="31"/>
        <v/>
      </c>
      <c r="N114" s="4" t="str">
        <f t="shared" si="32"/>
        <v/>
      </c>
      <c r="O114" s="4" t="str">
        <f t="shared" si="33"/>
        <v/>
      </c>
      <c r="P114" s="4" t="str">
        <f t="shared" si="34"/>
        <v/>
      </c>
      <c r="Q114" s="4" t="str">
        <f t="shared" si="35"/>
        <v/>
      </c>
      <c r="R114" s="4" t="str">
        <f t="shared" si="36"/>
        <v/>
      </c>
      <c r="S114" s="4" t="str">
        <f t="shared" si="37"/>
        <v/>
      </c>
      <c r="T114" s="4" t="str">
        <f t="shared" si="38"/>
        <v/>
      </c>
      <c r="U114">
        <f>IF(VLOOKUP(C114,'QA Table'!$Y$5:$Y$20,1,TRUE)=C114,1,0)</f>
        <v>0</v>
      </c>
      <c r="V114" t="str">
        <f t="shared" si="39"/>
        <v/>
      </c>
      <c r="W114" t="str">
        <f t="shared" si="40"/>
        <v/>
      </c>
      <c r="X114">
        <f t="shared" si="41"/>
        <v>4</v>
      </c>
      <c r="Y114">
        <f t="shared" si="42"/>
        <v>0</v>
      </c>
      <c r="AA114">
        <f t="shared" si="43"/>
        <v>1</v>
      </c>
    </row>
    <row r="115" spans="1:27" x14ac:dyDescent="0.2">
      <c r="A115" t="s">
        <v>27</v>
      </c>
      <c r="B115" t="s">
        <v>28</v>
      </c>
      <c r="C115" t="s">
        <v>1239</v>
      </c>
      <c r="D115" t="s">
        <v>1050</v>
      </c>
      <c r="E115" t="s">
        <v>3</v>
      </c>
      <c r="F115" t="s">
        <v>1238</v>
      </c>
      <c r="G115" t="s">
        <v>1130</v>
      </c>
      <c r="H115" s="4" t="str">
        <f t="shared" si="27"/>
        <v/>
      </c>
      <c r="I115" s="4" t="str">
        <f>IF(RIGHT(B115,1)="M",IF(AND(H115=1,E115="RFS",D115=INDEX('Station Depth Averages'!$A$3:$B$84,MATCH(B115,'Station Depth Averages'!$A$3:$A$84,0),2)),1,""),IF(AND(H115=1,OR(D115="SYN",D115="SRF",D115="MID")),1,IF(AND(H115=1,OR(E116="FDn",E116="LDn")),1,IF(AND(H115=1,OR(E115="FDn",E115="LDn")),1,""))))</f>
        <v/>
      </c>
      <c r="J115" s="4" t="str">
        <f t="shared" si="28"/>
        <v/>
      </c>
      <c r="K115" s="4" t="str">
        <f t="shared" si="29"/>
        <v/>
      </c>
      <c r="L115" s="4" t="str">
        <f t="shared" si="30"/>
        <v/>
      </c>
      <c r="M115" s="4" t="str">
        <f t="shared" si="31"/>
        <v/>
      </c>
      <c r="N115" s="4" t="str">
        <f t="shared" si="32"/>
        <v/>
      </c>
      <c r="O115" s="4" t="str">
        <f t="shared" si="33"/>
        <v/>
      </c>
      <c r="P115" s="4" t="str">
        <f t="shared" si="34"/>
        <v/>
      </c>
      <c r="Q115" s="4" t="str">
        <f t="shared" si="35"/>
        <v/>
      </c>
      <c r="R115" s="4" t="str">
        <f t="shared" si="36"/>
        <v/>
      </c>
      <c r="S115" s="4" t="str">
        <f t="shared" si="37"/>
        <v/>
      </c>
      <c r="T115" s="4" t="str">
        <f t="shared" si="38"/>
        <v/>
      </c>
      <c r="U115">
        <f>IF(VLOOKUP(C115,'QA Table'!$Y$5:$Y$20,1,TRUE)=C115,1,0)</f>
        <v>0</v>
      </c>
      <c r="V115" t="str">
        <f t="shared" si="39"/>
        <v/>
      </c>
      <c r="W115" t="str">
        <f t="shared" si="40"/>
        <v/>
      </c>
      <c r="X115" t="str">
        <f t="shared" si="41"/>
        <v/>
      </c>
      <c r="Y115">
        <f t="shared" si="42"/>
        <v>0</v>
      </c>
      <c r="AA115" t="str">
        <f t="shared" si="43"/>
        <v/>
      </c>
    </row>
    <row r="116" spans="1:27" x14ac:dyDescent="0.2">
      <c r="A116" t="s">
        <v>27</v>
      </c>
      <c r="B116" t="s">
        <v>28</v>
      </c>
      <c r="C116" t="s">
        <v>1240</v>
      </c>
      <c r="D116" t="s">
        <v>4</v>
      </c>
      <c r="E116" t="s">
        <v>3</v>
      </c>
      <c r="F116" t="s">
        <v>1238</v>
      </c>
      <c r="G116" t="s">
        <v>1130</v>
      </c>
      <c r="H116" s="4" t="str">
        <f t="shared" si="27"/>
        <v/>
      </c>
      <c r="I116" s="4" t="str">
        <f>IF(RIGHT(B116,1)="M",IF(AND(H116=1,E116="RFS",D116=INDEX('Station Depth Averages'!$A$3:$B$84,MATCH(B116,'Station Depth Averages'!$A$3:$A$84,0),2)),1,""),IF(AND(H116=1,OR(D116="SYN",D116="SRF",D116="MID")),1,IF(AND(H116=1,OR(E117="FDn",E117="LDn")),1,IF(AND(H116=1,OR(E116="FDn",E116="LDn")),1,""))))</f>
        <v/>
      </c>
      <c r="J116" s="4" t="str">
        <f t="shared" si="28"/>
        <v/>
      </c>
      <c r="K116" s="4" t="str">
        <f t="shared" si="29"/>
        <v/>
      </c>
      <c r="L116" s="4" t="str">
        <f t="shared" si="30"/>
        <v/>
      </c>
      <c r="M116" s="4" t="str">
        <f t="shared" si="31"/>
        <v/>
      </c>
      <c r="N116" s="4" t="str">
        <f t="shared" si="32"/>
        <v/>
      </c>
      <c r="O116" s="4" t="str">
        <f t="shared" si="33"/>
        <v/>
      </c>
      <c r="P116" s="4" t="str">
        <f t="shared" si="34"/>
        <v/>
      </c>
      <c r="Q116" s="4" t="str">
        <f t="shared" si="35"/>
        <v/>
      </c>
      <c r="R116" s="4" t="str">
        <f t="shared" si="36"/>
        <v/>
      </c>
      <c r="S116" s="4" t="str">
        <f t="shared" si="37"/>
        <v/>
      </c>
      <c r="T116" s="4" t="str">
        <f t="shared" si="38"/>
        <v/>
      </c>
      <c r="U116">
        <f>IF(VLOOKUP(C116,'QA Table'!$Y$5:$Y$20,1,TRUE)=C116,1,0)</f>
        <v>0</v>
      </c>
      <c r="V116" t="str">
        <f t="shared" si="39"/>
        <v/>
      </c>
      <c r="W116" t="str">
        <f t="shared" si="40"/>
        <v/>
      </c>
      <c r="X116" t="str">
        <f t="shared" si="41"/>
        <v/>
      </c>
      <c r="Y116">
        <f t="shared" si="42"/>
        <v>0</v>
      </c>
      <c r="AA116" t="str">
        <f t="shared" si="43"/>
        <v/>
      </c>
    </row>
    <row r="117" spans="1:27" x14ac:dyDescent="0.2">
      <c r="A117" t="s">
        <v>27</v>
      </c>
      <c r="B117" t="s">
        <v>28</v>
      </c>
      <c r="C117" t="s">
        <v>1241</v>
      </c>
      <c r="D117" t="s">
        <v>1051</v>
      </c>
      <c r="E117" t="s">
        <v>3</v>
      </c>
      <c r="F117" t="s">
        <v>1238</v>
      </c>
      <c r="G117" t="s">
        <v>1130</v>
      </c>
      <c r="H117" s="4" t="str">
        <f t="shared" si="27"/>
        <v/>
      </c>
      <c r="I117" s="4" t="str">
        <f>IF(RIGHT(B117,1)="M",IF(AND(H117=1,E117="RFS",D117=INDEX('Station Depth Averages'!$A$3:$B$84,MATCH(B117,'Station Depth Averages'!$A$3:$A$84,0),2)),1,""),IF(AND(H117=1,OR(D117="SYN",D117="SRF",D117="MID")),1,IF(AND(H117=1,OR(E118="FDn",E118="LDn")),1,IF(AND(H117=1,OR(E117="FDn",E117="LDn")),1,""))))</f>
        <v/>
      </c>
      <c r="J117" s="4" t="str">
        <f t="shared" si="28"/>
        <v/>
      </c>
      <c r="K117" s="4" t="str">
        <f t="shared" si="29"/>
        <v/>
      </c>
      <c r="L117" s="4" t="str">
        <f t="shared" si="30"/>
        <v/>
      </c>
      <c r="M117" s="4" t="str">
        <f t="shared" si="31"/>
        <v/>
      </c>
      <c r="N117" s="4" t="str">
        <f t="shared" si="32"/>
        <v/>
      </c>
      <c r="O117" s="4" t="str">
        <f t="shared" si="33"/>
        <v/>
      </c>
      <c r="P117" s="4" t="str">
        <f t="shared" si="34"/>
        <v/>
      </c>
      <c r="Q117" s="4" t="str">
        <f t="shared" si="35"/>
        <v/>
      </c>
      <c r="R117" s="4" t="str">
        <f t="shared" si="36"/>
        <v/>
      </c>
      <c r="S117" s="4" t="str">
        <f t="shared" si="37"/>
        <v/>
      </c>
      <c r="T117" s="4" t="str">
        <f t="shared" si="38"/>
        <v/>
      </c>
      <c r="U117">
        <f>IF(VLOOKUP(C117,'QA Table'!$Y$5:$Y$20,1,TRUE)=C117,1,0)</f>
        <v>0</v>
      </c>
      <c r="V117" t="str">
        <f t="shared" si="39"/>
        <v/>
      </c>
      <c r="W117" t="str">
        <f t="shared" si="40"/>
        <v/>
      </c>
      <c r="X117" t="str">
        <f t="shared" si="41"/>
        <v/>
      </c>
      <c r="Y117">
        <f t="shared" si="42"/>
        <v>0</v>
      </c>
      <c r="AA117" t="str">
        <f t="shared" si="43"/>
        <v/>
      </c>
    </row>
    <row r="118" spans="1:27" x14ac:dyDescent="0.2">
      <c r="A118" t="s">
        <v>27</v>
      </c>
      <c r="B118" t="s">
        <v>28</v>
      </c>
      <c r="C118" t="s">
        <v>1242</v>
      </c>
      <c r="D118" t="s">
        <v>119</v>
      </c>
      <c r="E118" t="s">
        <v>3</v>
      </c>
      <c r="F118" t="s">
        <v>1238</v>
      </c>
      <c r="G118" t="s">
        <v>1130</v>
      </c>
      <c r="H118" s="4">
        <f t="shared" si="27"/>
        <v>1</v>
      </c>
      <c r="I118" s="4">
        <f>IF(RIGHT(B118,1)="M",IF(AND(H118=1,E118="RFS",D118=INDEX('Station Depth Averages'!$A$3:$B$84,MATCH(B118,'Station Depth Averages'!$A$3:$A$84,0),2)),1,""),IF(AND(H118=1,OR(D118="SYN",D118="SRF",D118="MID")),1,IF(AND(H118=1,OR(E119="FDn",E119="LDn")),1,IF(AND(H118=1,OR(E118="FDn",E118="LDn")),1,""))))</f>
        <v>1</v>
      </c>
      <c r="J118" s="4">
        <f t="shared" si="28"/>
        <v>1</v>
      </c>
      <c r="K118" s="4" t="str">
        <f t="shared" si="29"/>
        <v/>
      </c>
      <c r="L118" s="4" t="str">
        <f t="shared" si="30"/>
        <v/>
      </c>
      <c r="M118" s="4" t="str">
        <f t="shared" si="31"/>
        <v/>
      </c>
      <c r="N118" s="4" t="str">
        <f t="shared" si="32"/>
        <v/>
      </c>
      <c r="O118" s="4" t="str">
        <f t="shared" si="33"/>
        <v/>
      </c>
      <c r="P118" s="4" t="str">
        <f t="shared" si="34"/>
        <v/>
      </c>
      <c r="Q118" s="4" t="str">
        <f t="shared" si="35"/>
        <v/>
      </c>
      <c r="R118" s="4" t="str">
        <f t="shared" si="36"/>
        <v/>
      </c>
      <c r="S118" s="4" t="str">
        <f t="shared" si="37"/>
        <v/>
      </c>
      <c r="T118" s="4" t="str">
        <f t="shared" si="38"/>
        <v/>
      </c>
      <c r="U118">
        <f>IF(VLOOKUP(C118,'QA Table'!$Y$5:$Y$20,1,TRUE)=C118,1,0)</f>
        <v>0</v>
      </c>
      <c r="V118" t="str">
        <f t="shared" si="39"/>
        <v/>
      </c>
      <c r="W118" t="str">
        <f t="shared" si="40"/>
        <v/>
      </c>
      <c r="X118">
        <f t="shared" si="41"/>
        <v>4</v>
      </c>
      <c r="Y118">
        <f t="shared" si="42"/>
        <v>0</v>
      </c>
      <c r="AA118">
        <f t="shared" si="43"/>
        <v>1</v>
      </c>
    </row>
    <row r="119" spans="1:27" x14ac:dyDescent="0.2">
      <c r="A119" t="s">
        <v>27</v>
      </c>
      <c r="B119" t="s">
        <v>28</v>
      </c>
      <c r="C119" t="s">
        <v>1243</v>
      </c>
      <c r="D119" t="s">
        <v>5</v>
      </c>
      <c r="E119" t="s">
        <v>3</v>
      </c>
      <c r="F119" t="s">
        <v>1238</v>
      </c>
      <c r="G119" t="s">
        <v>1130</v>
      </c>
      <c r="H119" s="4">
        <f t="shared" si="27"/>
        <v>1</v>
      </c>
      <c r="I119" s="4" t="str">
        <f>IF(RIGHT(B119,1)="M",IF(AND(H119=1,E119="RFS",D119=INDEX('Station Depth Averages'!$A$3:$B$84,MATCH(B119,'Station Depth Averages'!$A$3:$A$84,0),2)),1,""),IF(AND(H119=1,OR(D119="SYN",D119="SRF",D119="MID")),1,IF(AND(H119=1,OR(E120="FDn",E120="LDn")),1,IF(AND(H119=1,OR(E119="FDn",E119="LDn")),1,""))))</f>
        <v/>
      </c>
      <c r="J119" s="4">
        <f t="shared" si="28"/>
        <v>1</v>
      </c>
      <c r="K119" s="4" t="str">
        <f t="shared" si="29"/>
        <v/>
      </c>
      <c r="L119" s="4" t="str">
        <f t="shared" si="30"/>
        <v/>
      </c>
      <c r="M119" s="4" t="str">
        <f t="shared" si="31"/>
        <v/>
      </c>
      <c r="N119" s="4" t="str">
        <f t="shared" si="32"/>
        <v/>
      </c>
      <c r="O119" s="4" t="str">
        <f t="shared" si="33"/>
        <v/>
      </c>
      <c r="P119" s="4" t="str">
        <f t="shared" si="34"/>
        <v/>
      </c>
      <c r="Q119" s="4" t="str">
        <f t="shared" si="35"/>
        <v/>
      </c>
      <c r="R119" s="4" t="str">
        <f t="shared" si="36"/>
        <v/>
      </c>
      <c r="S119" s="4" t="str">
        <f t="shared" si="37"/>
        <v/>
      </c>
      <c r="T119" s="4" t="str">
        <f t="shared" si="38"/>
        <v/>
      </c>
      <c r="U119">
        <f>IF(VLOOKUP(C119,'QA Table'!$Y$5:$Y$20,1,TRUE)=C119,1,0)</f>
        <v>0</v>
      </c>
      <c r="V119" t="str">
        <f t="shared" si="39"/>
        <v/>
      </c>
      <c r="W119" t="str">
        <f t="shared" si="40"/>
        <v/>
      </c>
      <c r="X119">
        <f t="shared" si="41"/>
        <v>4</v>
      </c>
      <c r="Y119">
        <f t="shared" si="42"/>
        <v>0</v>
      </c>
      <c r="AA119">
        <f t="shared" si="43"/>
        <v>1</v>
      </c>
    </row>
    <row r="120" spans="1:27" x14ac:dyDescent="0.2">
      <c r="A120" t="s">
        <v>27</v>
      </c>
      <c r="B120" t="s">
        <v>28</v>
      </c>
      <c r="C120" t="s">
        <v>1108</v>
      </c>
      <c r="D120" t="s">
        <v>6</v>
      </c>
      <c r="E120" t="s">
        <v>3</v>
      </c>
      <c r="F120" t="s">
        <v>1238</v>
      </c>
      <c r="G120" t="s">
        <v>1130</v>
      </c>
      <c r="H120" s="4">
        <f t="shared" si="27"/>
        <v>1</v>
      </c>
      <c r="I120" s="4" t="str">
        <f>IF(RIGHT(B120,1)="M",IF(AND(H120=1,E120="RFS",D120=INDEX('Station Depth Averages'!$A$3:$B$84,MATCH(B120,'Station Depth Averages'!$A$3:$A$84,0),2)),1,""),IF(AND(H120=1,OR(D120="SYN",D120="SRF",D120="MID")),1,IF(AND(H120=1,OR(E121="FDn",E121="LDn")),1,IF(AND(H120=1,OR(E120="FDn",E120="LDn")),1,""))))</f>
        <v/>
      </c>
      <c r="J120" s="4">
        <f t="shared" si="28"/>
        <v>1</v>
      </c>
      <c r="K120" s="4" t="str">
        <f t="shared" si="29"/>
        <v/>
      </c>
      <c r="L120" s="4" t="str">
        <f t="shared" si="30"/>
        <v/>
      </c>
      <c r="M120" s="4" t="str">
        <f t="shared" si="31"/>
        <v/>
      </c>
      <c r="N120" s="4" t="str">
        <f t="shared" si="32"/>
        <v/>
      </c>
      <c r="O120" s="4" t="str">
        <f t="shared" si="33"/>
        <v/>
      </c>
      <c r="P120" s="4" t="str">
        <f t="shared" si="34"/>
        <v/>
      </c>
      <c r="Q120" s="4" t="str">
        <f t="shared" si="35"/>
        <v/>
      </c>
      <c r="R120" s="4" t="str">
        <f t="shared" si="36"/>
        <v/>
      </c>
      <c r="S120" s="4" t="str">
        <f t="shared" si="37"/>
        <v/>
      </c>
      <c r="T120" s="4" t="str">
        <f t="shared" si="38"/>
        <v/>
      </c>
      <c r="U120">
        <f>IF(VLOOKUP(C120,'QA Table'!$Y$5:$Y$20,1,TRUE)=C120,1,0)</f>
        <v>1</v>
      </c>
      <c r="V120" t="str">
        <f t="shared" si="39"/>
        <v/>
      </c>
      <c r="W120" t="str">
        <f t="shared" si="40"/>
        <v/>
      </c>
      <c r="X120">
        <f t="shared" si="41"/>
        <v>4</v>
      </c>
      <c r="Y120">
        <f t="shared" si="42"/>
        <v>1</v>
      </c>
      <c r="AA120">
        <f t="shared" si="43"/>
        <v>1</v>
      </c>
    </row>
    <row r="121" spans="1:27" x14ac:dyDescent="0.2">
      <c r="A121" t="s">
        <v>27</v>
      </c>
      <c r="B121" t="s">
        <v>28</v>
      </c>
      <c r="C121" t="s">
        <v>1244</v>
      </c>
      <c r="D121" t="s">
        <v>8</v>
      </c>
      <c r="E121" t="s">
        <v>3</v>
      </c>
      <c r="F121" t="s">
        <v>1238</v>
      </c>
      <c r="G121" t="s">
        <v>1130</v>
      </c>
      <c r="H121" s="4">
        <f t="shared" si="27"/>
        <v>1</v>
      </c>
      <c r="I121" s="4" t="str">
        <f>IF(RIGHT(B121,1)="M",IF(AND(H121=1,E121="RFS",D121=INDEX('Station Depth Averages'!$A$3:$B$84,MATCH(B121,'Station Depth Averages'!$A$3:$A$84,0),2)),1,""),IF(AND(H121=1,OR(D121="SYN",D121="SRF",D121="MID")),1,IF(AND(H121=1,OR(E122="FDn",E122="LDn")),1,IF(AND(H121=1,OR(E121="FDn",E121="LDn")),1,""))))</f>
        <v/>
      </c>
      <c r="J121" s="4" t="str">
        <f t="shared" si="28"/>
        <v/>
      </c>
      <c r="K121" s="4">
        <f t="shared" si="29"/>
        <v>1</v>
      </c>
      <c r="L121" s="4" t="str">
        <f t="shared" si="30"/>
        <v/>
      </c>
      <c r="M121" s="4" t="str">
        <f t="shared" si="31"/>
        <v/>
      </c>
      <c r="N121" s="4" t="str">
        <f t="shared" si="32"/>
        <v/>
      </c>
      <c r="O121" s="4" t="str">
        <f t="shared" si="33"/>
        <v/>
      </c>
      <c r="P121" s="4" t="str">
        <f t="shared" si="34"/>
        <v/>
      </c>
      <c r="Q121" s="4">
        <f t="shared" si="35"/>
        <v>2</v>
      </c>
      <c r="R121" s="4" t="str">
        <f t="shared" si="36"/>
        <v/>
      </c>
      <c r="S121" s="4" t="str">
        <f t="shared" si="37"/>
        <v/>
      </c>
      <c r="T121" s="4" t="str">
        <f t="shared" si="38"/>
        <v/>
      </c>
      <c r="U121">
        <f>IF(VLOOKUP(C121,'QA Table'!$Y$5:$Y$20,1,TRUE)=C121,1,0)</f>
        <v>0</v>
      </c>
      <c r="V121" t="str">
        <f t="shared" si="39"/>
        <v/>
      </c>
      <c r="W121" t="str">
        <f t="shared" si="40"/>
        <v/>
      </c>
      <c r="X121">
        <f t="shared" si="41"/>
        <v>4</v>
      </c>
      <c r="Y121">
        <f t="shared" si="42"/>
        <v>0</v>
      </c>
      <c r="AA121">
        <f t="shared" si="43"/>
        <v>1</v>
      </c>
    </row>
    <row r="122" spans="1:27" x14ac:dyDescent="0.2">
      <c r="A122" t="s">
        <v>27</v>
      </c>
      <c r="B122" t="s">
        <v>28</v>
      </c>
      <c r="C122" t="s">
        <v>1245</v>
      </c>
      <c r="D122" t="s">
        <v>9</v>
      </c>
      <c r="E122" t="s">
        <v>3</v>
      </c>
      <c r="F122" t="s">
        <v>1238</v>
      </c>
      <c r="G122" t="s">
        <v>1130</v>
      </c>
      <c r="H122" s="4" t="str">
        <f t="shared" si="27"/>
        <v/>
      </c>
      <c r="I122" s="4" t="str">
        <f>IF(RIGHT(B122,1)="M",IF(AND(H122=1,E122="RFS",D122=INDEX('Station Depth Averages'!$A$3:$B$84,MATCH(B122,'Station Depth Averages'!$A$3:$A$84,0),2)),1,""),IF(AND(H122=1,OR(D122="SYN",D122="SRF",D122="MID")),1,IF(AND(H122=1,OR(E123="FDn",E123="LDn")),1,IF(AND(H122=1,OR(E122="FDn",E122="LDn")),1,""))))</f>
        <v/>
      </c>
      <c r="J122" s="4" t="str">
        <f t="shared" si="28"/>
        <v/>
      </c>
      <c r="K122" s="4" t="str">
        <f t="shared" si="29"/>
        <v/>
      </c>
      <c r="L122" s="4" t="str">
        <f t="shared" si="30"/>
        <v/>
      </c>
      <c r="M122" s="4" t="str">
        <f t="shared" si="31"/>
        <v/>
      </c>
      <c r="N122" s="4" t="str">
        <f t="shared" si="32"/>
        <v/>
      </c>
      <c r="O122" s="4" t="str">
        <f t="shared" si="33"/>
        <v/>
      </c>
      <c r="P122" s="4" t="str">
        <f t="shared" si="34"/>
        <v/>
      </c>
      <c r="Q122" s="4" t="str">
        <f t="shared" si="35"/>
        <v/>
      </c>
      <c r="R122" s="4" t="str">
        <f t="shared" si="36"/>
        <v/>
      </c>
      <c r="S122" s="4" t="str">
        <f t="shared" si="37"/>
        <v/>
      </c>
      <c r="T122" s="4">
        <f t="shared" si="38"/>
        <v>1</v>
      </c>
      <c r="U122">
        <f>IF(VLOOKUP(C122,'QA Table'!$Y$5:$Y$20,1,TRUE)=C122,1,0)</f>
        <v>0</v>
      </c>
      <c r="V122" t="str">
        <f t="shared" si="39"/>
        <v/>
      </c>
      <c r="W122" t="str">
        <f t="shared" si="40"/>
        <v/>
      </c>
      <c r="X122" t="str">
        <f t="shared" si="41"/>
        <v/>
      </c>
      <c r="Y122">
        <f t="shared" si="42"/>
        <v>0</v>
      </c>
      <c r="AA122" t="str">
        <f t="shared" si="43"/>
        <v/>
      </c>
    </row>
    <row r="123" spans="1:27" x14ac:dyDescent="0.2">
      <c r="A123" t="s">
        <v>27</v>
      </c>
      <c r="B123" t="s">
        <v>28</v>
      </c>
      <c r="C123" t="s">
        <v>1246</v>
      </c>
      <c r="D123" t="s">
        <v>10</v>
      </c>
      <c r="E123" t="s">
        <v>3</v>
      </c>
      <c r="F123" t="s">
        <v>1238</v>
      </c>
      <c r="G123" t="s">
        <v>1130</v>
      </c>
      <c r="H123" s="4" t="str">
        <f t="shared" si="27"/>
        <v/>
      </c>
      <c r="I123" s="4" t="str">
        <f>IF(RIGHT(B123,1)="M",IF(AND(H123=1,E123="RFS",D123=INDEX('Station Depth Averages'!$A$3:$B$84,MATCH(B123,'Station Depth Averages'!$A$3:$A$84,0),2)),1,""),IF(AND(H123=1,OR(D123="SYN",D123="SRF",D123="MID")),1,IF(AND(H123=1,OR(E124="FDn",E124="LDn")),1,IF(AND(H123=1,OR(E123="FDn",E123="LDn")),1,""))))</f>
        <v/>
      </c>
      <c r="J123" s="4" t="str">
        <f t="shared" si="28"/>
        <v/>
      </c>
      <c r="K123" s="4" t="str">
        <f t="shared" si="29"/>
        <v/>
      </c>
      <c r="L123" s="4" t="str">
        <f t="shared" si="30"/>
        <v/>
      </c>
      <c r="M123" s="4" t="str">
        <f t="shared" si="31"/>
        <v/>
      </c>
      <c r="N123" s="4" t="str">
        <f t="shared" si="32"/>
        <v/>
      </c>
      <c r="O123" s="4" t="str">
        <f t="shared" si="33"/>
        <v/>
      </c>
      <c r="P123" s="4" t="str">
        <f t="shared" si="34"/>
        <v/>
      </c>
      <c r="Q123" s="4" t="str">
        <f t="shared" si="35"/>
        <v/>
      </c>
      <c r="R123" s="4" t="str">
        <f t="shared" si="36"/>
        <v/>
      </c>
      <c r="S123" s="4" t="str">
        <f t="shared" si="37"/>
        <v/>
      </c>
      <c r="T123" s="4">
        <f t="shared" si="38"/>
        <v>1</v>
      </c>
      <c r="U123">
        <f>IF(VLOOKUP(C123,'QA Table'!$Y$5:$Y$20,1,TRUE)=C123,1,0)</f>
        <v>0</v>
      </c>
      <c r="V123" t="str">
        <f t="shared" si="39"/>
        <v/>
      </c>
      <c r="W123" t="str">
        <f t="shared" si="40"/>
        <v/>
      </c>
      <c r="X123" t="str">
        <f t="shared" si="41"/>
        <v/>
      </c>
      <c r="Y123">
        <f t="shared" si="42"/>
        <v>0</v>
      </c>
      <c r="AA123" t="str">
        <f t="shared" si="43"/>
        <v/>
      </c>
    </row>
    <row r="124" spans="1:27" x14ac:dyDescent="0.2">
      <c r="A124" t="s">
        <v>27</v>
      </c>
      <c r="B124" t="s">
        <v>28</v>
      </c>
      <c r="C124" t="s">
        <v>1247</v>
      </c>
      <c r="D124" t="s">
        <v>1034</v>
      </c>
      <c r="E124" t="s">
        <v>3</v>
      </c>
      <c r="F124" t="s">
        <v>1238</v>
      </c>
      <c r="G124" t="s">
        <v>1130</v>
      </c>
      <c r="H124" s="4" t="str">
        <f t="shared" si="27"/>
        <v/>
      </c>
      <c r="I124" s="4" t="str">
        <f>IF(RIGHT(B124,1)="M",IF(AND(H124=1,E124="RFS",D124=INDEX('Station Depth Averages'!$A$3:$B$84,MATCH(B124,'Station Depth Averages'!$A$3:$A$84,0),2)),1,""),IF(AND(H124=1,OR(D124="SYN",D124="SRF",D124="MID")),1,IF(AND(H124=1,OR(E125="FDn",E125="LDn")),1,IF(AND(H124=1,OR(E124="FDn",E124="LDn")),1,""))))</f>
        <v/>
      </c>
      <c r="J124" s="4" t="str">
        <f t="shared" si="28"/>
        <v/>
      </c>
      <c r="K124" s="4" t="str">
        <f t="shared" si="29"/>
        <v/>
      </c>
      <c r="L124" s="4" t="str">
        <f t="shared" si="30"/>
        <v/>
      </c>
      <c r="M124" s="4" t="str">
        <f t="shared" si="31"/>
        <v/>
      </c>
      <c r="N124" s="4" t="str">
        <f t="shared" si="32"/>
        <v/>
      </c>
      <c r="O124" s="4" t="str">
        <f t="shared" si="33"/>
        <v/>
      </c>
      <c r="P124" s="4" t="str">
        <f t="shared" si="34"/>
        <v/>
      </c>
      <c r="Q124" s="4" t="str">
        <f t="shared" si="35"/>
        <v/>
      </c>
      <c r="R124" s="4" t="str">
        <f t="shared" si="36"/>
        <v/>
      </c>
      <c r="S124" s="4">
        <f t="shared" si="37"/>
        <v>1</v>
      </c>
      <c r="T124" s="4" t="str">
        <f t="shared" si="38"/>
        <v/>
      </c>
      <c r="U124">
        <f>IF(VLOOKUP(C124,'QA Table'!$Y$5:$Y$20,1,TRUE)=C124,1,0)</f>
        <v>0</v>
      </c>
      <c r="V124" t="str">
        <f t="shared" si="39"/>
        <v/>
      </c>
      <c r="W124" t="str">
        <f t="shared" si="40"/>
        <v/>
      </c>
      <c r="X124" t="str">
        <f t="shared" si="41"/>
        <v/>
      </c>
      <c r="Y124">
        <f t="shared" si="42"/>
        <v>0</v>
      </c>
      <c r="AA124" t="str">
        <f t="shared" si="43"/>
        <v/>
      </c>
    </row>
    <row r="125" spans="1:27" x14ac:dyDescent="0.2">
      <c r="A125" t="s">
        <v>27</v>
      </c>
      <c r="B125" t="s">
        <v>28</v>
      </c>
      <c r="C125" t="s">
        <v>1248</v>
      </c>
      <c r="D125" t="s">
        <v>1034</v>
      </c>
      <c r="E125" t="s">
        <v>19</v>
      </c>
      <c r="F125" t="s">
        <v>1238</v>
      </c>
      <c r="G125" t="s">
        <v>1130</v>
      </c>
      <c r="H125" s="4" t="str">
        <f t="shared" si="27"/>
        <v/>
      </c>
      <c r="I125" s="4" t="str">
        <f>IF(RIGHT(B125,1)="M",IF(AND(H125=1,E125="RFS",D125=INDEX('Station Depth Averages'!$A$3:$B$84,MATCH(B125,'Station Depth Averages'!$A$3:$A$84,0),2)),1,""),IF(AND(H125=1,OR(D125="SYN",D125="SRF",D125="MID")),1,IF(AND(H125=1,OR(E126="FDn",E126="LDn")),1,IF(AND(H125=1,OR(E125="FDn",E125="LDn")),1,""))))</f>
        <v/>
      </c>
      <c r="J125" s="4" t="str">
        <f t="shared" si="28"/>
        <v/>
      </c>
      <c r="K125" s="4" t="str">
        <f t="shared" si="29"/>
        <v/>
      </c>
      <c r="L125" s="4" t="str">
        <f t="shared" si="30"/>
        <v/>
      </c>
      <c r="M125" s="4" t="str">
        <f t="shared" si="31"/>
        <v/>
      </c>
      <c r="N125" s="4" t="str">
        <f t="shared" si="32"/>
        <v/>
      </c>
      <c r="O125" s="4" t="str">
        <f t="shared" si="33"/>
        <v/>
      </c>
      <c r="P125" s="4" t="str">
        <f t="shared" si="34"/>
        <v/>
      </c>
      <c r="Q125" s="4" t="str">
        <f t="shared" si="35"/>
        <v/>
      </c>
      <c r="R125" s="4" t="str">
        <f t="shared" si="36"/>
        <v/>
      </c>
      <c r="S125" s="4">
        <f t="shared" si="37"/>
        <v>1</v>
      </c>
      <c r="T125" s="4" t="str">
        <f t="shared" si="38"/>
        <v/>
      </c>
      <c r="U125">
        <f>IF(VLOOKUP(C125,'QA Table'!$Y$5:$Y$20,1,TRUE)=C125,1,0)</f>
        <v>0</v>
      </c>
      <c r="V125" t="str">
        <f t="shared" si="39"/>
        <v/>
      </c>
      <c r="W125" t="str">
        <f t="shared" si="40"/>
        <v/>
      </c>
      <c r="X125" t="str">
        <f t="shared" si="41"/>
        <v/>
      </c>
      <c r="Y125">
        <f t="shared" si="42"/>
        <v>0</v>
      </c>
      <c r="AA125" t="str">
        <f t="shared" si="43"/>
        <v/>
      </c>
    </row>
    <row r="126" spans="1:27" x14ac:dyDescent="0.2">
      <c r="A126" t="s">
        <v>27</v>
      </c>
      <c r="B126" t="s">
        <v>29</v>
      </c>
      <c r="C126" t="s">
        <v>1249</v>
      </c>
      <c r="D126" t="s">
        <v>2</v>
      </c>
      <c r="E126" t="s">
        <v>3</v>
      </c>
      <c r="F126" t="s">
        <v>1250</v>
      </c>
      <c r="G126" t="s">
        <v>1130</v>
      </c>
      <c r="H126" s="4">
        <f t="shared" si="27"/>
        <v>1</v>
      </c>
      <c r="I126" s="4" t="str">
        <f>IF(RIGHT(B126,1)="M",IF(AND(H126=1,E126="RFS",D126=INDEX('Station Depth Averages'!$A$3:$B$84,MATCH(B126,'Station Depth Averages'!$A$3:$A$84,0),2)),1,""),IF(AND(H126=1,OR(D126="SYN",D126="SRF",D126="MID")),1,IF(AND(H126=1,OR(E127="FDn",E127="LDn")),1,IF(AND(H126=1,OR(E126="FDn",E126="LDn")),1,""))))</f>
        <v/>
      </c>
      <c r="J126" s="4">
        <f t="shared" si="28"/>
        <v>1</v>
      </c>
      <c r="K126" s="4" t="str">
        <f t="shared" si="29"/>
        <v/>
      </c>
      <c r="L126" s="4" t="str">
        <f t="shared" si="30"/>
        <v/>
      </c>
      <c r="M126" s="4" t="str">
        <f t="shared" si="31"/>
        <v/>
      </c>
      <c r="N126" s="4" t="str">
        <f t="shared" si="32"/>
        <v/>
      </c>
      <c r="O126" s="4" t="str">
        <f t="shared" si="33"/>
        <v/>
      </c>
      <c r="P126" s="4" t="str">
        <f t="shared" si="34"/>
        <v/>
      </c>
      <c r="Q126" s="4" t="str">
        <f t="shared" si="35"/>
        <v/>
      </c>
      <c r="R126" s="4" t="str">
        <f t="shared" si="36"/>
        <v/>
      </c>
      <c r="S126" s="4" t="str">
        <f t="shared" si="37"/>
        <v/>
      </c>
      <c r="T126" s="4" t="str">
        <f t="shared" si="38"/>
        <v/>
      </c>
      <c r="U126">
        <f>IF(VLOOKUP(C126,'QA Table'!$Y$5:$Y$20,1,TRUE)=C126,1,0)</f>
        <v>0</v>
      </c>
      <c r="V126" t="str">
        <f t="shared" si="39"/>
        <v/>
      </c>
      <c r="W126" t="str">
        <f t="shared" si="40"/>
        <v/>
      </c>
      <c r="X126">
        <f t="shared" si="41"/>
        <v>4</v>
      </c>
      <c r="Y126">
        <f t="shared" si="42"/>
        <v>0</v>
      </c>
      <c r="AA126">
        <f t="shared" si="43"/>
        <v>1</v>
      </c>
    </row>
    <row r="127" spans="1:27" x14ac:dyDescent="0.2">
      <c r="A127" t="s">
        <v>27</v>
      </c>
      <c r="B127" t="s">
        <v>29</v>
      </c>
      <c r="C127" t="s">
        <v>1251</v>
      </c>
      <c r="D127" t="s">
        <v>1050</v>
      </c>
      <c r="E127" t="s">
        <v>3</v>
      </c>
      <c r="F127" t="s">
        <v>1250</v>
      </c>
      <c r="G127" t="s">
        <v>1130</v>
      </c>
      <c r="H127" s="4">
        <f t="shared" si="27"/>
        <v>1</v>
      </c>
      <c r="I127" s="4" t="str">
        <f>IF(RIGHT(B127,1)="M",IF(AND(H127=1,E127="RFS",D127=INDEX('Station Depth Averages'!$A$3:$B$84,MATCH(B127,'Station Depth Averages'!$A$3:$A$84,0),2)),1,""),IF(AND(H127=1,OR(D127="SYN",D127="SRF",D127="MID")),1,IF(AND(H127=1,OR(E128="FDn",E128="LDn")),1,IF(AND(H127=1,OR(E127="FDn",E127="LDn")),1,""))))</f>
        <v/>
      </c>
      <c r="J127" s="4">
        <f t="shared" si="28"/>
        <v>1</v>
      </c>
      <c r="K127" s="4" t="str">
        <f t="shared" si="29"/>
        <v/>
      </c>
      <c r="L127" s="4" t="str">
        <f t="shared" si="30"/>
        <v/>
      </c>
      <c r="M127" s="4" t="str">
        <f t="shared" si="31"/>
        <v/>
      </c>
      <c r="N127" s="4" t="str">
        <f t="shared" si="32"/>
        <v/>
      </c>
      <c r="O127" s="4" t="str">
        <f t="shared" si="33"/>
        <v/>
      </c>
      <c r="P127" s="4" t="str">
        <f t="shared" si="34"/>
        <v/>
      </c>
      <c r="Q127" s="4" t="str">
        <f t="shared" si="35"/>
        <v/>
      </c>
      <c r="R127" s="4" t="str">
        <f t="shared" si="36"/>
        <v/>
      </c>
      <c r="S127" s="4" t="str">
        <f t="shared" si="37"/>
        <v/>
      </c>
      <c r="T127" s="4" t="str">
        <f t="shared" si="38"/>
        <v/>
      </c>
      <c r="U127">
        <f>IF(VLOOKUP(C127,'QA Table'!$Y$5:$Y$20,1,TRUE)=C127,1,0)</f>
        <v>0</v>
      </c>
      <c r="V127" t="str">
        <f t="shared" si="39"/>
        <v/>
      </c>
      <c r="W127" t="str">
        <f t="shared" si="40"/>
        <v/>
      </c>
      <c r="X127">
        <f t="shared" si="41"/>
        <v>4</v>
      </c>
      <c r="Y127">
        <f t="shared" si="42"/>
        <v>0</v>
      </c>
      <c r="AA127">
        <f t="shared" si="43"/>
        <v>1</v>
      </c>
    </row>
    <row r="128" spans="1:27" x14ac:dyDescent="0.2">
      <c r="A128" t="s">
        <v>27</v>
      </c>
      <c r="B128" t="s">
        <v>29</v>
      </c>
      <c r="C128" t="s">
        <v>1252</v>
      </c>
      <c r="D128" t="s">
        <v>4</v>
      </c>
      <c r="E128" t="s">
        <v>3</v>
      </c>
      <c r="F128" t="s">
        <v>1250</v>
      </c>
      <c r="G128" t="s">
        <v>1130</v>
      </c>
      <c r="H128" s="4">
        <f t="shared" si="27"/>
        <v>1</v>
      </c>
      <c r="I128" s="4" t="str">
        <f>IF(RIGHT(B128,1)="M",IF(AND(H128=1,E128="RFS",D128=INDEX('Station Depth Averages'!$A$3:$B$84,MATCH(B128,'Station Depth Averages'!$A$3:$A$84,0),2)),1,""),IF(AND(H128=1,OR(D128="SYN",D128="SRF",D128="MID")),1,IF(AND(H128=1,OR(E129="FDn",E129="LDn")),1,IF(AND(H128=1,OR(E128="FDn",E128="LDn")),1,""))))</f>
        <v/>
      </c>
      <c r="J128" s="4">
        <f t="shared" si="28"/>
        <v>1</v>
      </c>
      <c r="K128" s="4" t="str">
        <f t="shared" si="29"/>
        <v/>
      </c>
      <c r="L128" s="4">
        <f t="shared" si="30"/>
        <v>1</v>
      </c>
      <c r="M128" s="4">
        <f t="shared" si="31"/>
        <v>1</v>
      </c>
      <c r="N128" s="4">
        <f t="shared" si="32"/>
        <v>1</v>
      </c>
      <c r="O128" s="4">
        <f t="shared" si="33"/>
        <v>1</v>
      </c>
      <c r="P128" s="4">
        <f t="shared" si="34"/>
        <v>1</v>
      </c>
      <c r="Q128" s="4" t="str">
        <f t="shared" si="35"/>
        <v/>
      </c>
      <c r="R128" s="4" t="str">
        <f t="shared" si="36"/>
        <v/>
      </c>
      <c r="S128" s="4" t="str">
        <f t="shared" si="37"/>
        <v/>
      </c>
      <c r="T128" s="4" t="str">
        <f t="shared" si="38"/>
        <v/>
      </c>
      <c r="U128">
        <f>IF(VLOOKUP(C128,'QA Table'!$Y$5:$Y$20,1,TRUE)=C128,1,0)</f>
        <v>0</v>
      </c>
      <c r="V128" t="str">
        <f t="shared" si="39"/>
        <v/>
      </c>
      <c r="W128" t="str">
        <f t="shared" si="40"/>
        <v/>
      </c>
      <c r="X128">
        <f t="shared" si="41"/>
        <v>4</v>
      </c>
      <c r="Y128">
        <f t="shared" si="42"/>
        <v>0</v>
      </c>
      <c r="AA128">
        <f t="shared" si="43"/>
        <v>1</v>
      </c>
    </row>
    <row r="129" spans="1:27" x14ac:dyDescent="0.2">
      <c r="A129" t="s">
        <v>27</v>
      </c>
      <c r="B129" t="s">
        <v>29</v>
      </c>
      <c r="C129" t="s">
        <v>1253</v>
      </c>
      <c r="D129" t="s">
        <v>1051</v>
      </c>
      <c r="E129" t="s">
        <v>3</v>
      </c>
      <c r="F129" t="s">
        <v>1250</v>
      </c>
      <c r="G129" t="s">
        <v>1130</v>
      </c>
      <c r="H129" s="4">
        <f t="shared" si="27"/>
        <v>1</v>
      </c>
      <c r="I129" s="4" t="str">
        <f>IF(RIGHT(B129,1)="M",IF(AND(H129=1,E129="RFS",D129=INDEX('Station Depth Averages'!$A$3:$B$84,MATCH(B129,'Station Depth Averages'!$A$3:$A$84,0),2)),1,""),IF(AND(H129=1,OR(D129="SYN",D129="SRF",D129="MID")),1,IF(AND(H129=1,OR(E130="FDn",E130="LDn")),1,IF(AND(H129=1,OR(E129="FDn",E129="LDn")),1,""))))</f>
        <v/>
      </c>
      <c r="J129" s="4">
        <f t="shared" si="28"/>
        <v>1</v>
      </c>
      <c r="K129" s="4" t="str">
        <f t="shared" si="29"/>
        <v/>
      </c>
      <c r="L129" s="4" t="str">
        <f t="shared" si="30"/>
        <v/>
      </c>
      <c r="M129" s="4" t="str">
        <f t="shared" si="31"/>
        <v/>
      </c>
      <c r="N129" s="4" t="str">
        <f t="shared" si="32"/>
        <v/>
      </c>
      <c r="O129" s="4" t="str">
        <f t="shared" si="33"/>
        <v/>
      </c>
      <c r="P129" s="4" t="str">
        <f t="shared" si="34"/>
        <v/>
      </c>
      <c r="Q129" s="4" t="str">
        <f t="shared" si="35"/>
        <v/>
      </c>
      <c r="R129" s="4" t="str">
        <f t="shared" si="36"/>
        <v/>
      </c>
      <c r="S129" s="4" t="str">
        <f t="shared" si="37"/>
        <v/>
      </c>
      <c r="T129" s="4" t="str">
        <f t="shared" si="38"/>
        <v/>
      </c>
      <c r="U129">
        <f>IF(VLOOKUP(C129,'QA Table'!$Y$5:$Y$20,1,TRUE)=C129,1,0)</f>
        <v>0</v>
      </c>
      <c r="V129" t="str">
        <f t="shared" si="39"/>
        <v/>
      </c>
      <c r="W129" t="str">
        <f t="shared" si="40"/>
        <v/>
      </c>
      <c r="X129">
        <f t="shared" si="41"/>
        <v>4</v>
      </c>
      <c r="Y129">
        <f t="shared" si="42"/>
        <v>0</v>
      </c>
      <c r="AA129">
        <f t="shared" si="43"/>
        <v>1</v>
      </c>
    </row>
    <row r="130" spans="1:27" x14ac:dyDescent="0.2">
      <c r="A130" t="s">
        <v>27</v>
      </c>
      <c r="B130" t="s">
        <v>29</v>
      </c>
      <c r="C130" t="s">
        <v>1254</v>
      </c>
      <c r="D130" t="s">
        <v>120</v>
      </c>
      <c r="E130" t="s">
        <v>3</v>
      </c>
      <c r="F130" t="s">
        <v>1250</v>
      </c>
      <c r="G130" t="s">
        <v>1130</v>
      </c>
      <c r="H130" s="4">
        <f t="shared" si="27"/>
        <v>1</v>
      </c>
      <c r="I130" s="4" t="str">
        <f>IF(RIGHT(B130,1)="M",IF(AND(H130=1,E130="RFS",D130=INDEX('Station Depth Averages'!$A$3:$B$84,MATCH(B130,'Station Depth Averages'!$A$3:$A$84,0),2)),1,""),IF(AND(H130=1,OR(D130="SYN",D130="SRF",D130="MID")),1,IF(AND(H130=1,OR(E131="FDn",E131="LDn")),1,IF(AND(H130=1,OR(E130="FDn",E130="LDn")),1,""))))</f>
        <v/>
      </c>
      <c r="J130" s="4">
        <f t="shared" si="28"/>
        <v>1</v>
      </c>
      <c r="K130" s="4" t="str">
        <f t="shared" si="29"/>
        <v/>
      </c>
      <c r="L130" s="4" t="str">
        <f t="shared" si="30"/>
        <v/>
      </c>
      <c r="M130" s="4" t="str">
        <f t="shared" si="31"/>
        <v/>
      </c>
      <c r="N130" s="4" t="str">
        <f t="shared" si="32"/>
        <v/>
      </c>
      <c r="O130" s="4" t="str">
        <f t="shared" si="33"/>
        <v/>
      </c>
      <c r="P130" s="4" t="str">
        <f t="shared" si="34"/>
        <v/>
      </c>
      <c r="Q130" s="4" t="str">
        <f t="shared" si="35"/>
        <v/>
      </c>
      <c r="R130" s="4" t="str">
        <f t="shared" si="36"/>
        <v/>
      </c>
      <c r="S130" s="4" t="str">
        <f t="shared" si="37"/>
        <v/>
      </c>
      <c r="T130" s="4" t="str">
        <f t="shared" si="38"/>
        <v/>
      </c>
      <c r="U130">
        <f>IF(VLOOKUP(C130,'QA Table'!$Y$5:$Y$20,1,TRUE)=C130,1,0)</f>
        <v>0</v>
      </c>
      <c r="V130" t="str">
        <f t="shared" si="39"/>
        <v/>
      </c>
      <c r="W130" t="str">
        <f t="shared" si="40"/>
        <v/>
      </c>
      <c r="X130">
        <f t="shared" si="41"/>
        <v>4</v>
      </c>
      <c r="Y130">
        <f t="shared" si="42"/>
        <v>0</v>
      </c>
      <c r="AA130">
        <f t="shared" si="43"/>
        <v>1</v>
      </c>
    </row>
    <row r="131" spans="1:27" x14ac:dyDescent="0.2">
      <c r="A131" t="s">
        <v>27</v>
      </c>
      <c r="B131" t="s">
        <v>29</v>
      </c>
      <c r="C131" t="s">
        <v>1255</v>
      </c>
      <c r="D131" t="s">
        <v>16</v>
      </c>
      <c r="E131" t="s">
        <v>3</v>
      </c>
      <c r="F131" t="s">
        <v>1250</v>
      </c>
      <c r="G131" t="s">
        <v>1130</v>
      </c>
      <c r="H131" s="4">
        <f t="shared" si="27"/>
        <v>1</v>
      </c>
      <c r="I131" s="4" t="str">
        <f>IF(RIGHT(B131,1)="M",IF(AND(H131=1,E131="RFS",D131=INDEX('Station Depth Averages'!$A$3:$B$84,MATCH(B131,'Station Depth Averages'!$A$3:$A$84,0),2)),1,""),IF(AND(H131=1,OR(D131="SYN",D131="SRF",D131="MID")),1,IF(AND(H131=1,OR(E132="FDn",E132="LDn")),1,IF(AND(H131=1,OR(E131="FDn",E131="LDn")),1,""))))</f>
        <v/>
      </c>
      <c r="J131" s="4">
        <f t="shared" si="28"/>
        <v>1</v>
      </c>
      <c r="K131" s="4" t="str">
        <f t="shared" si="29"/>
        <v/>
      </c>
      <c r="L131" s="4" t="str">
        <f t="shared" si="30"/>
        <v/>
      </c>
      <c r="M131" s="4" t="str">
        <f t="shared" si="31"/>
        <v/>
      </c>
      <c r="N131" s="4" t="str">
        <f t="shared" si="32"/>
        <v/>
      </c>
      <c r="O131" s="4" t="str">
        <f t="shared" si="33"/>
        <v/>
      </c>
      <c r="P131" s="4" t="str">
        <f t="shared" si="34"/>
        <v/>
      </c>
      <c r="Q131" s="4" t="str">
        <f t="shared" si="35"/>
        <v/>
      </c>
      <c r="R131" s="4" t="str">
        <f t="shared" si="36"/>
        <v/>
      </c>
      <c r="S131" s="4" t="str">
        <f t="shared" si="37"/>
        <v/>
      </c>
      <c r="T131" s="4" t="str">
        <f t="shared" si="38"/>
        <v/>
      </c>
      <c r="U131">
        <f>IF(VLOOKUP(C131,'QA Table'!$Y$5:$Y$20,1,TRUE)=C131,1,0)</f>
        <v>0</v>
      </c>
      <c r="V131" t="str">
        <f t="shared" si="39"/>
        <v/>
      </c>
      <c r="W131" t="str">
        <f t="shared" si="40"/>
        <v/>
      </c>
      <c r="X131">
        <f t="shared" si="41"/>
        <v>4</v>
      </c>
      <c r="Y131">
        <f t="shared" si="42"/>
        <v>0</v>
      </c>
      <c r="AA131">
        <f t="shared" si="43"/>
        <v>1</v>
      </c>
    </row>
    <row r="132" spans="1:27" x14ac:dyDescent="0.2">
      <c r="A132" t="s">
        <v>27</v>
      </c>
      <c r="B132" t="s">
        <v>29</v>
      </c>
      <c r="C132" t="s">
        <v>1256</v>
      </c>
      <c r="D132" t="s">
        <v>17</v>
      </c>
      <c r="E132" t="s">
        <v>3</v>
      </c>
      <c r="F132" t="s">
        <v>1250</v>
      </c>
      <c r="G132" t="s">
        <v>1130</v>
      </c>
      <c r="H132" s="4">
        <f t="shared" si="27"/>
        <v>1</v>
      </c>
      <c r="I132" s="4" t="str">
        <f>IF(RIGHT(B132,1)="M",IF(AND(H132=1,E132="RFS",D132=INDEX('Station Depth Averages'!$A$3:$B$84,MATCH(B132,'Station Depth Averages'!$A$3:$A$84,0),2)),1,""),IF(AND(H132=1,OR(D132="SYN",D132="SRF",D132="MID")),1,IF(AND(H132=1,OR(E133="FDn",E133="LDn")),1,IF(AND(H132=1,OR(E132="FDn",E132="LDn")),1,""))))</f>
        <v/>
      </c>
      <c r="J132" s="4">
        <f t="shared" si="28"/>
        <v>1</v>
      </c>
      <c r="K132" s="4" t="str">
        <f t="shared" si="29"/>
        <v/>
      </c>
      <c r="L132" s="4" t="str">
        <f t="shared" si="30"/>
        <v/>
      </c>
      <c r="M132" s="4" t="str">
        <f t="shared" si="31"/>
        <v/>
      </c>
      <c r="N132" s="4" t="str">
        <f t="shared" si="32"/>
        <v/>
      </c>
      <c r="O132" s="4" t="str">
        <f t="shared" si="33"/>
        <v/>
      </c>
      <c r="P132" s="4" t="str">
        <f t="shared" si="34"/>
        <v/>
      </c>
      <c r="Q132" s="4" t="str">
        <f t="shared" si="35"/>
        <v/>
      </c>
      <c r="R132" s="4" t="str">
        <f t="shared" si="36"/>
        <v/>
      </c>
      <c r="S132" s="4" t="str">
        <f t="shared" si="37"/>
        <v/>
      </c>
      <c r="T132" s="4" t="str">
        <f t="shared" si="38"/>
        <v/>
      </c>
      <c r="U132">
        <f>IF(VLOOKUP(C132,'QA Table'!$Y$5:$Y$20,1,TRUE)=C132,1,0)</f>
        <v>0</v>
      </c>
      <c r="V132" t="str">
        <f t="shared" si="39"/>
        <v/>
      </c>
      <c r="W132" t="str">
        <f t="shared" si="40"/>
        <v/>
      </c>
      <c r="X132">
        <f t="shared" si="41"/>
        <v>4</v>
      </c>
      <c r="Y132">
        <f t="shared" si="42"/>
        <v>0</v>
      </c>
      <c r="AA132">
        <f t="shared" si="43"/>
        <v>1</v>
      </c>
    </row>
    <row r="133" spans="1:27" x14ac:dyDescent="0.2">
      <c r="A133" t="s">
        <v>27</v>
      </c>
      <c r="B133" t="s">
        <v>29</v>
      </c>
      <c r="C133" t="s">
        <v>1106</v>
      </c>
      <c r="D133" t="s">
        <v>18</v>
      </c>
      <c r="E133" t="s">
        <v>3</v>
      </c>
      <c r="F133" t="s">
        <v>1250</v>
      </c>
      <c r="G133" t="s">
        <v>1130</v>
      </c>
      <c r="H133" s="4">
        <f t="shared" si="27"/>
        <v>1</v>
      </c>
      <c r="I133" s="4">
        <f>IF(RIGHT(B133,1)="M",IF(AND(H133=1,E133="RFS",D133=INDEX('Station Depth Averages'!$A$3:$B$84,MATCH(B133,'Station Depth Averages'!$A$3:$A$84,0),2)),1,""),IF(AND(H133=1,OR(D133="SYN",D133="SRF",D133="MID")),1,IF(AND(H133=1,OR(E134="FDn",E134="LDn")),1,IF(AND(H133=1,OR(E133="FDn",E133="LDn")),1,""))))</f>
        <v>1</v>
      </c>
      <c r="J133" s="4">
        <f t="shared" si="28"/>
        <v>1</v>
      </c>
      <c r="K133" s="4" t="str">
        <f t="shared" si="29"/>
        <v/>
      </c>
      <c r="L133" s="4" t="str">
        <f t="shared" si="30"/>
        <v/>
      </c>
      <c r="M133" s="4" t="str">
        <f t="shared" si="31"/>
        <v/>
      </c>
      <c r="N133" s="4" t="str">
        <f t="shared" si="32"/>
        <v/>
      </c>
      <c r="O133" s="4" t="str">
        <f t="shared" si="33"/>
        <v/>
      </c>
      <c r="P133" s="4" t="str">
        <f t="shared" si="34"/>
        <v/>
      </c>
      <c r="Q133" s="4" t="str">
        <f t="shared" si="35"/>
        <v/>
      </c>
      <c r="R133" s="4" t="str">
        <f t="shared" si="36"/>
        <v/>
      </c>
      <c r="S133" s="4" t="str">
        <f t="shared" si="37"/>
        <v/>
      </c>
      <c r="T133" s="4" t="str">
        <f t="shared" si="38"/>
        <v/>
      </c>
      <c r="U133">
        <f>IF(VLOOKUP(C133,'QA Table'!$Y$5:$Y$20,1,TRUE)=C133,1,0)</f>
        <v>0</v>
      </c>
      <c r="V133" t="str">
        <f t="shared" si="39"/>
        <v/>
      </c>
      <c r="W133" t="str">
        <f t="shared" si="40"/>
        <v/>
      </c>
      <c r="X133">
        <f t="shared" si="41"/>
        <v>4</v>
      </c>
      <c r="Y133">
        <f t="shared" si="42"/>
        <v>0</v>
      </c>
      <c r="AA133">
        <f t="shared" si="43"/>
        <v>1</v>
      </c>
    </row>
    <row r="134" spans="1:27" x14ac:dyDescent="0.2">
      <c r="A134" t="s">
        <v>27</v>
      </c>
      <c r="B134" t="s">
        <v>29</v>
      </c>
      <c r="C134" t="s">
        <v>1257</v>
      </c>
      <c r="D134" t="s">
        <v>18</v>
      </c>
      <c r="E134" t="s">
        <v>12</v>
      </c>
      <c r="F134" t="s">
        <v>1250</v>
      </c>
      <c r="G134" t="s">
        <v>1130</v>
      </c>
      <c r="H134" s="4">
        <f t="shared" si="27"/>
        <v>1</v>
      </c>
      <c r="I134" s="4" t="str">
        <f>IF(RIGHT(B134,1)="M",IF(AND(H134=1,E134="RFS",D134=INDEX('Station Depth Averages'!$A$3:$B$84,MATCH(B134,'Station Depth Averages'!$A$3:$A$84,0),2)),1,""),IF(AND(H134=1,OR(D134="SYN",D134="SRF",D134="MID")),1,IF(AND(H134=1,OR(E135="FDn",E135="LDn")),1,IF(AND(H134=1,OR(E134="FDn",E134="LDn")),1,""))))</f>
        <v/>
      </c>
      <c r="J134" s="4" t="str">
        <f t="shared" si="28"/>
        <v/>
      </c>
      <c r="K134" s="4" t="str">
        <f t="shared" si="29"/>
        <v/>
      </c>
      <c r="L134" s="4" t="str">
        <f t="shared" si="30"/>
        <v/>
      </c>
      <c r="M134" s="4" t="str">
        <f t="shared" si="31"/>
        <v/>
      </c>
      <c r="N134" s="4" t="str">
        <f t="shared" si="32"/>
        <v/>
      </c>
      <c r="O134" s="4" t="str">
        <f t="shared" si="33"/>
        <v/>
      </c>
      <c r="P134" s="4" t="str">
        <f t="shared" si="34"/>
        <v/>
      </c>
      <c r="Q134" s="4" t="str">
        <f t="shared" si="35"/>
        <v/>
      </c>
      <c r="R134" s="4" t="str">
        <f t="shared" si="36"/>
        <v/>
      </c>
      <c r="S134" s="4" t="str">
        <f t="shared" si="37"/>
        <v/>
      </c>
      <c r="T134" s="4" t="str">
        <f t="shared" si="38"/>
        <v/>
      </c>
      <c r="U134">
        <f>IF(VLOOKUP(C134,'QA Table'!$Y$5:$Y$20,1,TRUE)=C134,1,0)</f>
        <v>0</v>
      </c>
      <c r="V134" t="str">
        <f t="shared" si="39"/>
        <v/>
      </c>
      <c r="W134" t="str">
        <f t="shared" si="40"/>
        <v/>
      </c>
      <c r="X134">
        <f t="shared" si="41"/>
        <v>4</v>
      </c>
      <c r="Y134">
        <f t="shared" si="42"/>
        <v>0</v>
      </c>
      <c r="AA134">
        <f t="shared" si="43"/>
        <v>1</v>
      </c>
    </row>
    <row r="135" spans="1:27" x14ac:dyDescent="0.2">
      <c r="A135" t="s">
        <v>27</v>
      </c>
      <c r="B135" t="s">
        <v>29</v>
      </c>
      <c r="C135" t="s">
        <v>1258</v>
      </c>
      <c r="D135" t="s">
        <v>30</v>
      </c>
      <c r="E135" t="s">
        <v>3</v>
      </c>
      <c r="F135" t="s">
        <v>1250</v>
      </c>
      <c r="G135" t="s">
        <v>1130</v>
      </c>
      <c r="H135" s="4">
        <f t="shared" ref="H135:H198" si="44">IF(OR(RIGHT(C135,1)="A",RIGHT(C135,1)="B",RIGHT(C135,1)="C",D135="Benthos",D135="Sediment",D135="Sediments",D135="D100",D135="D20",D135="Mysis",E135="FD1",E135="LD1"),"",1)</f>
        <v>1</v>
      </c>
      <c r="I135" s="4" t="str">
        <f>IF(RIGHT(B135,1)="M",IF(AND(H135=1,E135="RFS",D135=INDEX('Station Depth Averages'!$A$3:$B$84,MATCH(B135,'Station Depth Averages'!$A$3:$A$84,0),2)),1,""),IF(AND(H135=1,OR(D135="SYN",D135="SRF",D135="MID")),1,IF(AND(H135=1,OR(E136="FDn",E136="LDn")),1,IF(AND(H135=1,OR(E135="FDn",E135="LDn")),1,""))))</f>
        <v/>
      </c>
      <c r="J135" s="4">
        <f t="shared" ref="J135:J198" si="45">IF(OR(D135="INT",D135="Benthos",D135="D100",D135="D20",E135="LDn",D135="mysis",D135="sediment",D135="sediments",OR(RIGHT(C135,1)="A",RIGHT(C135,1)="B",RIGHT(C135,1)="C",E135="FD1",E135="LD1")),"",1)</f>
        <v>1</v>
      </c>
      <c r="K135" s="4" t="str">
        <f t="shared" ref="K135:K198" si="46">IF(D135="INT",1,"")</f>
        <v/>
      </c>
      <c r="L135" s="4" t="str">
        <f t="shared" ref="L135:L198" si="47">IF(AND(LEFT(B135,1)="E",A135&lt;&gt;"E",RIGHT(B135,1)="M"),IF(AND(A135="w",D135="MID",E135="RFS"),1,IF(AND(A135="C",D135="5M",E135="RFS"),1,"")),IF(AND(RIGHT(B135,1)="M",D135="10M",E135="RFS"),1,""))</f>
        <v/>
      </c>
      <c r="M135" s="4" t="str">
        <f t="shared" ref="M135:M198" si="48">IF(L135=1,1,"")</f>
        <v/>
      </c>
      <c r="N135" s="4" t="str">
        <f t="shared" ref="N135:N198" si="49">IF(M135=1,1,"")</f>
        <v/>
      </c>
      <c r="O135" s="4" t="str">
        <f t="shared" ref="O135:O198" si="50">IF(N135=1,1,"")</f>
        <v/>
      </c>
      <c r="P135" s="4" t="str">
        <f t="shared" ref="P135:P198" si="51">IF(O135=1,1,"")</f>
        <v/>
      </c>
      <c r="Q135" s="4" t="str">
        <f t="shared" ref="Q135:Q198" si="52">IF(AND(OR(D135="INT",D135="DCL"),OR(LEFT(B135,2)="SU",LEFT(B135,2)="HU",LEFT(B135,2)="MI",LEFT(B135,2)="CS",LEFT(B135,2)="ON")),2,IF(AND(OR(D135="INT",D135="DCL"),LEFT(B135,2)="ER"),1,""))</f>
        <v/>
      </c>
      <c r="R135" s="4" t="str">
        <f t="shared" ref="R135:R198" si="53">IF(D135="benthos",1,"")</f>
        <v/>
      </c>
      <c r="S135" s="4" t="str">
        <f t="shared" ref="S135:S198" si="54">IF(D135="mysis",1,"")</f>
        <v/>
      </c>
      <c r="T135" s="4" t="str">
        <f t="shared" ref="T135:T198" si="55">IF(AND(OR(D135="d20",D135="d100"),LEFT(B135,2)="SU"),2,IF(OR(D135="D20",D135="d100"),1,""))</f>
        <v/>
      </c>
      <c r="U135">
        <f>IF(VLOOKUP(C135,'QA Table'!$Y$5:$Y$20,1,TRUE)=C135,1,0)</f>
        <v>0</v>
      </c>
      <c r="V135" t="str">
        <f t="shared" ref="V135:V198" si="56">IF(AND(D135="Sediment",RIGHT(C135,1)="8"),1,"")</f>
        <v/>
      </c>
      <c r="W135" t="str">
        <f t="shared" ref="W135:W198" si="57">IF(AND(D135="Sediment",RIGHT(C135,1)="9"),1,"")</f>
        <v/>
      </c>
      <c r="X135">
        <f t="shared" ref="X135:X198" si="58">IF(AND(H135=1,OR(LEFT(B135,1)="M",LEFT(B135,1)="E",LEFT(B135,1)="O",LEFT(B135,1)="C")),4,IF(AND(H135=1,OR(LEFT(B135,1)="H",LEFT(B135,1)="S")),3,""))</f>
        <v>4</v>
      </c>
      <c r="Y135">
        <f t="shared" ref="Y135:Y198" si="59">IF(U135=1,1,IF(AND(E135="LD1",U134=1),1,IF(AND(E135="FD1",U133=1),1,0)))</f>
        <v>0</v>
      </c>
      <c r="AA135">
        <f t="shared" ref="AA135:AA198" si="60">IF(X135&lt;&gt;"",1,"")</f>
        <v>1</v>
      </c>
    </row>
    <row r="136" spans="1:27" x14ac:dyDescent="0.2">
      <c r="A136" t="s">
        <v>27</v>
      </c>
      <c r="B136" t="s">
        <v>29</v>
      </c>
      <c r="C136" t="s">
        <v>1259</v>
      </c>
      <c r="D136" t="s">
        <v>5</v>
      </c>
      <c r="E136" t="s">
        <v>3</v>
      </c>
      <c r="F136" t="s">
        <v>1250</v>
      </c>
      <c r="G136" t="s">
        <v>1130</v>
      </c>
      <c r="H136" s="4">
        <f t="shared" si="44"/>
        <v>1</v>
      </c>
      <c r="I136" s="4" t="str">
        <f>IF(RIGHT(B136,1)="M",IF(AND(H136=1,E136="RFS",D136=INDEX('Station Depth Averages'!$A$3:$B$84,MATCH(B136,'Station Depth Averages'!$A$3:$A$84,0),2)),1,""),IF(AND(H136=1,OR(D136="SYN",D136="SRF",D136="MID")),1,IF(AND(H136=1,OR(E137="FDn",E137="LDn")),1,IF(AND(H136=1,OR(E136="FDn",E136="LDn")),1,""))))</f>
        <v/>
      </c>
      <c r="J136" s="4">
        <f t="shared" si="45"/>
        <v>1</v>
      </c>
      <c r="K136" s="4" t="str">
        <f t="shared" si="46"/>
        <v/>
      </c>
      <c r="L136" s="4" t="str">
        <f t="shared" si="47"/>
        <v/>
      </c>
      <c r="M136" s="4" t="str">
        <f t="shared" si="48"/>
        <v/>
      </c>
      <c r="N136" s="4" t="str">
        <f t="shared" si="49"/>
        <v/>
      </c>
      <c r="O136" s="4" t="str">
        <f t="shared" si="50"/>
        <v/>
      </c>
      <c r="P136" s="4" t="str">
        <f t="shared" si="51"/>
        <v/>
      </c>
      <c r="Q136" s="4" t="str">
        <f t="shared" si="52"/>
        <v/>
      </c>
      <c r="R136" s="4" t="str">
        <f t="shared" si="53"/>
        <v/>
      </c>
      <c r="S136" s="4" t="str">
        <f t="shared" si="54"/>
        <v/>
      </c>
      <c r="T136" s="4" t="str">
        <f t="shared" si="55"/>
        <v/>
      </c>
      <c r="U136">
        <f>IF(VLOOKUP(C136,'QA Table'!$Y$5:$Y$20,1,TRUE)=C136,1,0)</f>
        <v>0</v>
      </c>
      <c r="V136" t="str">
        <f t="shared" si="56"/>
        <v/>
      </c>
      <c r="W136" t="str">
        <f t="shared" si="57"/>
        <v/>
      </c>
      <c r="X136">
        <f t="shared" si="58"/>
        <v>4</v>
      </c>
      <c r="Y136">
        <f t="shared" si="59"/>
        <v>0</v>
      </c>
      <c r="AA136">
        <f t="shared" si="60"/>
        <v>1</v>
      </c>
    </row>
    <row r="137" spans="1:27" x14ac:dyDescent="0.2">
      <c r="A137" t="s">
        <v>27</v>
      </c>
      <c r="B137" t="s">
        <v>29</v>
      </c>
      <c r="C137" t="s">
        <v>1260</v>
      </c>
      <c r="D137" t="s">
        <v>6</v>
      </c>
      <c r="E137" t="s">
        <v>3</v>
      </c>
      <c r="F137" t="s">
        <v>1250</v>
      </c>
      <c r="G137" t="s">
        <v>1130</v>
      </c>
      <c r="H137" s="4">
        <f t="shared" si="44"/>
        <v>1</v>
      </c>
      <c r="I137" s="4" t="str">
        <f>IF(RIGHT(B137,1)="M",IF(AND(H137=1,E137="RFS",D137=INDEX('Station Depth Averages'!$A$3:$B$84,MATCH(B137,'Station Depth Averages'!$A$3:$A$84,0),2)),1,""),IF(AND(H137=1,OR(D137="SYN",D137="SRF",D137="MID")),1,IF(AND(H137=1,OR(E138="FDn",E138="LDn")),1,IF(AND(H137=1,OR(E137="FDn",E137="LDn")),1,""))))</f>
        <v/>
      </c>
      <c r="J137" s="4">
        <f t="shared" si="45"/>
        <v>1</v>
      </c>
      <c r="K137" s="4" t="str">
        <f t="shared" si="46"/>
        <v/>
      </c>
      <c r="L137" s="4" t="str">
        <f t="shared" si="47"/>
        <v/>
      </c>
      <c r="M137" s="4" t="str">
        <f t="shared" si="48"/>
        <v/>
      </c>
      <c r="N137" s="4" t="str">
        <f t="shared" si="49"/>
        <v/>
      </c>
      <c r="O137" s="4" t="str">
        <f t="shared" si="50"/>
        <v/>
      </c>
      <c r="P137" s="4" t="str">
        <f t="shared" si="51"/>
        <v/>
      </c>
      <c r="Q137" s="4" t="str">
        <f t="shared" si="52"/>
        <v/>
      </c>
      <c r="R137" s="4" t="str">
        <f t="shared" si="53"/>
        <v/>
      </c>
      <c r="S137" s="4" t="str">
        <f t="shared" si="54"/>
        <v/>
      </c>
      <c r="T137" s="4" t="str">
        <f t="shared" si="55"/>
        <v/>
      </c>
      <c r="U137">
        <f>IF(VLOOKUP(C137,'QA Table'!$Y$5:$Y$20,1,TRUE)=C137,1,0)</f>
        <v>0</v>
      </c>
      <c r="V137" t="str">
        <f t="shared" si="56"/>
        <v/>
      </c>
      <c r="W137" t="str">
        <f t="shared" si="57"/>
        <v/>
      </c>
      <c r="X137">
        <f t="shared" si="58"/>
        <v>4</v>
      </c>
      <c r="Y137">
        <f t="shared" si="59"/>
        <v>0</v>
      </c>
      <c r="AA137">
        <f t="shared" si="60"/>
        <v>1</v>
      </c>
    </row>
    <row r="138" spans="1:27" x14ac:dyDescent="0.2">
      <c r="A138" t="s">
        <v>27</v>
      </c>
      <c r="B138" t="s">
        <v>29</v>
      </c>
      <c r="C138" t="s">
        <v>1261</v>
      </c>
      <c r="D138" t="s">
        <v>8</v>
      </c>
      <c r="E138" t="s">
        <v>3</v>
      </c>
      <c r="F138" t="s">
        <v>1250</v>
      </c>
      <c r="G138" t="s">
        <v>1130</v>
      </c>
      <c r="H138" s="4">
        <f t="shared" si="44"/>
        <v>1</v>
      </c>
      <c r="I138" s="4" t="str">
        <f>IF(RIGHT(B138,1)="M",IF(AND(H138=1,E138="RFS",D138=INDEX('Station Depth Averages'!$A$3:$B$84,MATCH(B138,'Station Depth Averages'!$A$3:$A$84,0),2)),1,""),IF(AND(H138=1,OR(D138="SYN",D138="SRF",D138="MID")),1,IF(AND(H138=1,OR(E139="FDn",E139="LDn")),1,IF(AND(H138=1,OR(E138="FDn",E138="LDn")),1,""))))</f>
        <v/>
      </c>
      <c r="J138" s="4" t="str">
        <f t="shared" si="45"/>
        <v/>
      </c>
      <c r="K138" s="4">
        <f t="shared" si="46"/>
        <v>1</v>
      </c>
      <c r="L138" s="4" t="str">
        <f t="shared" si="47"/>
        <v/>
      </c>
      <c r="M138" s="4" t="str">
        <f t="shared" si="48"/>
        <v/>
      </c>
      <c r="N138" s="4" t="str">
        <f t="shared" si="49"/>
        <v/>
      </c>
      <c r="O138" s="4" t="str">
        <f t="shared" si="50"/>
        <v/>
      </c>
      <c r="P138" s="4" t="str">
        <f t="shared" si="51"/>
        <v/>
      </c>
      <c r="Q138" s="4">
        <f t="shared" si="52"/>
        <v>2</v>
      </c>
      <c r="R138" s="4" t="str">
        <f t="shared" si="53"/>
        <v/>
      </c>
      <c r="S138" s="4" t="str">
        <f t="shared" si="54"/>
        <v/>
      </c>
      <c r="T138" s="4" t="str">
        <f t="shared" si="55"/>
        <v/>
      </c>
      <c r="U138">
        <f>IF(VLOOKUP(C138,'QA Table'!$Y$5:$Y$20,1,TRUE)=C138,1,0)</f>
        <v>0</v>
      </c>
      <c r="V138" t="str">
        <f t="shared" si="56"/>
        <v/>
      </c>
      <c r="W138" t="str">
        <f t="shared" si="57"/>
        <v/>
      </c>
      <c r="X138">
        <f t="shared" si="58"/>
        <v>4</v>
      </c>
      <c r="Y138">
        <f t="shared" si="59"/>
        <v>0</v>
      </c>
      <c r="AA138">
        <f t="shared" si="60"/>
        <v>1</v>
      </c>
    </row>
    <row r="139" spans="1:27" x14ac:dyDescent="0.2">
      <c r="A139" t="s">
        <v>27</v>
      </c>
      <c r="B139" t="s">
        <v>29</v>
      </c>
      <c r="C139" t="s">
        <v>1262</v>
      </c>
      <c r="D139" t="s">
        <v>9</v>
      </c>
      <c r="E139" t="s">
        <v>3</v>
      </c>
      <c r="F139" t="s">
        <v>1250</v>
      </c>
      <c r="G139" t="s">
        <v>1130</v>
      </c>
      <c r="H139" s="4" t="str">
        <f t="shared" si="44"/>
        <v/>
      </c>
      <c r="I139" s="4" t="str">
        <f>IF(RIGHT(B139,1)="M",IF(AND(H139=1,E139="RFS",D139=INDEX('Station Depth Averages'!$A$3:$B$84,MATCH(B139,'Station Depth Averages'!$A$3:$A$84,0),2)),1,""),IF(AND(H139=1,OR(D139="SYN",D139="SRF",D139="MID")),1,IF(AND(H139=1,OR(E140="FDn",E140="LDn")),1,IF(AND(H139=1,OR(E139="FDn",E139="LDn")),1,""))))</f>
        <v/>
      </c>
      <c r="J139" s="4" t="str">
        <f t="shared" si="45"/>
        <v/>
      </c>
      <c r="K139" s="4" t="str">
        <f t="shared" si="46"/>
        <v/>
      </c>
      <c r="L139" s="4" t="str">
        <f t="shared" si="47"/>
        <v/>
      </c>
      <c r="M139" s="4" t="str">
        <f t="shared" si="48"/>
        <v/>
      </c>
      <c r="N139" s="4" t="str">
        <f t="shared" si="49"/>
        <v/>
      </c>
      <c r="O139" s="4" t="str">
        <f t="shared" si="50"/>
        <v/>
      </c>
      <c r="P139" s="4" t="str">
        <f t="shared" si="51"/>
        <v/>
      </c>
      <c r="Q139" s="4" t="str">
        <f t="shared" si="52"/>
        <v/>
      </c>
      <c r="R139" s="4" t="str">
        <f t="shared" si="53"/>
        <v/>
      </c>
      <c r="S139" s="4" t="str">
        <f t="shared" si="54"/>
        <v/>
      </c>
      <c r="T139" s="4">
        <f t="shared" si="55"/>
        <v>1</v>
      </c>
      <c r="U139">
        <f>IF(VLOOKUP(C139,'QA Table'!$Y$5:$Y$20,1,TRUE)=C139,1,0)</f>
        <v>0</v>
      </c>
      <c r="V139" t="str">
        <f t="shared" si="56"/>
        <v/>
      </c>
      <c r="W139" t="str">
        <f t="shared" si="57"/>
        <v/>
      </c>
      <c r="X139" t="str">
        <f t="shared" si="58"/>
        <v/>
      </c>
      <c r="Y139">
        <f t="shared" si="59"/>
        <v>0</v>
      </c>
      <c r="AA139" t="str">
        <f t="shared" si="60"/>
        <v/>
      </c>
    </row>
    <row r="140" spans="1:27" x14ac:dyDescent="0.2">
      <c r="A140" t="s">
        <v>27</v>
      </c>
      <c r="B140" t="s">
        <v>29</v>
      </c>
      <c r="C140" t="s">
        <v>1263</v>
      </c>
      <c r="D140" t="s">
        <v>10</v>
      </c>
      <c r="E140" t="s">
        <v>3</v>
      </c>
      <c r="F140" t="s">
        <v>1250</v>
      </c>
      <c r="G140" t="s">
        <v>1130</v>
      </c>
      <c r="H140" s="4" t="str">
        <f t="shared" si="44"/>
        <v/>
      </c>
      <c r="I140" s="4" t="str">
        <f>IF(RIGHT(B140,1)="M",IF(AND(H140=1,E140="RFS",D140=INDEX('Station Depth Averages'!$A$3:$B$84,MATCH(B140,'Station Depth Averages'!$A$3:$A$84,0),2)),1,""),IF(AND(H140=1,OR(D140="SYN",D140="SRF",D140="MID")),1,IF(AND(H140=1,OR(E141="FDn",E141="LDn")),1,IF(AND(H140=1,OR(E140="FDn",E140="LDn")),1,""))))</f>
        <v/>
      </c>
      <c r="J140" s="4" t="str">
        <f t="shared" si="45"/>
        <v/>
      </c>
      <c r="K140" s="4" t="str">
        <f t="shared" si="46"/>
        <v/>
      </c>
      <c r="L140" s="4" t="str">
        <f t="shared" si="47"/>
        <v/>
      </c>
      <c r="M140" s="4" t="str">
        <f t="shared" si="48"/>
        <v/>
      </c>
      <c r="N140" s="4" t="str">
        <f t="shared" si="49"/>
        <v/>
      </c>
      <c r="O140" s="4" t="str">
        <f t="shared" si="50"/>
        <v/>
      </c>
      <c r="P140" s="4" t="str">
        <f t="shared" si="51"/>
        <v/>
      </c>
      <c r="Q140" s="4" t="str">
        <f t="shared" si="52"/>
        <v/>
      </c>
      <c r="R140" s="4" t="str">
        <f t="shared" si="53"/>
        <v/>
      </c>
      <c r="S140" s="4" t="str">
        <f t="shared" si="54"/>
        <v/>
      </c>
      <c r="T140" s="4">
        <f t="shared" si="55"/>
        <v>1</v>
      </c>
      <c r="U140">
        <f>IF(VLOOKUP(C140,'QA Table'!$Y$5:$Y$20,1,TRUE)=C140,1,0)</f>
        <v>0</v>
      </c>
      <c r="V140" t="str">
        <f t="shared" si="56"/>
        <v/>
      </c>
      <c r="W140" t="str">
        <f t="shared" si="57"/>
        <v/>
      </c>
      <c r="X140" t="str">
        <f t="shared" si="58"/>
        <v/>
      </c>
      <c r="Y140">
        <f t="shared" si="59"/>
        <v>0</v>
      </c>
      <c r="AA140" t="str">
        <f t="shared" si="60"/>
        <v/>
      </c>
    </row>
    <row r="141" spans="1:27" x14ac:dyDescent="0.2">
      <c r="A141" t="s">
        <v>27</v>
      </c>
      <c r="B141" t="s">
        <v>29</v>
      </c>
      <c r="C141" t="s">
        <v>1264</v>
      </c>
      <c r="D141" t="s">
        <v>1034</v>
      </c>
      <c r="E141" t="s">
        <v>3</v>
      </c>
      <c r="F141" t="s">
        <v>1250</v>
      </c>
      <c r="G141" t="s">
        <v>1130</v>
      </c>
      <c r="H141" s="4" t="str">
        <f t="shared" si="44"/>
        <v/>
      </c>
      <c r="I141" s="4" t="str">
        <f>IF(RIGHT(B141,1)="M",IF(AND(H141=1,E141="RFS",D141=INDEX('Station Depth Averages'!$A$3:$B$84,MATCH(B141,'Station Depth Averages'!$A$3:$A$84,0),2)),1,""),IF(AND(H141=1,OR(D141="SYN",D141="SRF",D141="MID")),1,IF(AND(H141=1,OR(E142="FDn",E142="LDn")),1,IF(AND(H141=1,OR(E141="FDn",E141="LDn")),1,""))))</f>
        <v/>
      </c>
      <c r="J141" s="4" t="str">
        <f t="shared" si="45"/>
        <v/>
      </c>
      <c r="K141" s="4" t="str">
        <f t="shared" si="46"/>
        <v/>
      </c>
      <c r="L141" s="4" t="str">
        <f t="shared" si="47"/>
        <v/>
      </c>
      <c r="M141" s="4" t="str">
        <f t="shared" si="48"/>
        <v/>
      </c>
      <c r="N141" s="4" t="str">
        <f t="shared" si="49"/>
        <v/>
      </c>
      <c r="O141" s="4" t="str">
        <f t="shared" si="50"/>
        <v/>
      </c>
      <c r="P141" s="4" t="str">
        <f t="shared" si="51"/>
        <v/>
      </c>
      <c r="Q141" s="4" t="str">
        <f t="shared" si="52"/>
        <v/>
      </c>
      <c r="R141" s="4" t="str">
        <f t="shared" si="53"/>
        <v/>
      </c>
      <c r="S141" s="4">
        <f t="shared" si="54"/>
        <v>1</v>
      </c>
      <c r="T141" s="4" t="str">
        <f t="shared" si="55"/>
        <v/>
      </c>
      <c r="U141">
        <f>IF(VLOOKUP(C141,'QA Table'!$Y$5:$Y$20,1,TRUE)=C141,1,0)</f>
        <v>0</v>
      </c>
      <c r="V141" t="str">
        <f t="shared" si="56"/>
        <v/>
      </c>
      <c r="W141" t="str">
        <f t="shared" si="57"/>
        <v/>
      </c>
      <c r="X141" t="str">
        <f t="shared" si="58"/>
        <v/>
      </c>
      <c r="Y141">
        <f t="shared" si="59"/>
        <v>0</v>
      </c>
      <c r="AA141" t="str">
        <f t="shared" si="60"/>
        <v/>
      </c>
    </row>
    <row r="142" spans="1:27" x14ac:dyDescent="0.2">
      <c r="A142" t="s">
        <v>27</v>
      </c>
      <c r="B142" t="s">
        <v>29</v>
      </c>
      <c r="C142" t="s">
        <v>1265</v>
      </c>
      <c r="D142" t="s">
        <v>1034</v>
      </c>
      <c r="E142" t="s">
        <v>19</v>
      </c>
      <c r="F142" t="s">
        <v>1250</v>
      </c>
      <c r="G142" t="s">
        <v>1130</v>
      </c>
      <c r="H142" s="4" t="str">
        <f t="shared" si="44"/>
        <v/>
      </c>
      <c r="I142" s="4" t="str">
        <f>IF(RIGHT(B142,1)="M",IF(AND(H142=1,E142="RFS",D142=INDEX('Station Depth Averages'!$A$3:$B$84,MATCH(B142,'Station Depth Averages'!$A$3:$A$84,0),2)),1,""),IF(AND(H142=1,OR(D142="SYN",D142="SRF",D142="MID")),1,IF(AND(H142=1,OR(E143="FDn",E143="LDn")),1,IF(AND(H142=1,OR(E142="FDn",E142="LDn")),1,""))))</f>
        <v/>
      </c>
      <c r="J142" s="4" t="str">
        <f t="shared" si="45"/>
        <v/>
      </c>
      <c r="K142" s="4" t="str">
        <f t="shared" si="46"/>
        <v/>
      </c>
      <c r="L142" s="4" t="str">
        <f t="shared" si="47"/>
        <v/>
      </c>
      <c r="M142" s="4" t="str">
        <f t="shared" si="48"/>
        <v/>
      </c>
      <c r="N142" s="4" t="str">
        <f t="shared" si="49"/>
        <v/>
      </c>
      <c r="O142" s="4" t="str">
        <f t="shared" si="50"/>
        <v/>
      </c>
      <c r="P142" s="4" t="str">
        <f t="shared" si="51"/>
        <v/>
      </c>
      <c r="Q142" s="4" t="str">
        <f t="shared" si="52"/>
        <v/>
      </c>
      <c r="R142" s="4" t="str">
        <f t="shared" si="53"/>
        <v/>
      </c>
      <c r="S142" s="4">
        <f t="shared" si="54"/>
        <v>1</v>
      </c>
      <c r="T142" s="4" t="str">
        <f t="shared" si="55"/>
        <v/>
      </c>
      <c r="U142">
        <f>IF(VLOOKUP(C142,'QA Table'!$Y$5:$Y$20,1,TRUE)=C142,1,0)</f>
        <v>0</v>
      </c>
      <c r="V142" t="str">
        <f t="shared" si="56"/>
        <v/>
      </c>
      <c r="W142" t="str">
        <f t="shared" si="57"/>
        <v/>
      </c>
      <c r="X142" t="str">
        <f t="shared" si="58"/>
        <v/>
      </c>
      <c r="Y142">
        <f t="shared" si="59"/>
        <v>0</v>
      </c>
      <c r="AA142" t="str">
        <f t="shared" si="60"/>
        <v/>
      </c>
    </row>
    <row r="143" spans="1:27" x14ac:dyDescent="0.2">
      <c r="A143" t="s">
        <v>27</v>
      </c>
      <c r="B143" t="s">
        <v>31</v>
      </c>
      <c r="C143" t="s">
        <v>1266</v>
      </c>
      <c r="D143" t="s">
        <v>2</v>
      </c>
      <c r="E143" t="s">
        <v>3</v>
      </c>
      <c r="F143" t="s">
        <v>1267</v>
      </c>
      <c r="G143" t="s">
        <v>1130</v>
      </c>
      <c r="H143" s="4">
        <f t="shared" si="44"/>
        <v>1</v>
      </c>
      <c r="I143" s="4">
        <f>IF(RIGHT(B143,1)="M",IF(AND(H143=1,E143="RFS",D143=INDEX('Station Depth Averages'!$A$3:$B$84,MATCH(B143,'Station Depth Averages'!$A$3:$A$84,0),2)),1,""),IF(AND(H143=1,OR(D143="SYN",D143="SRF",D143="MID")),1,IF(AND(H143=1,OR(E144="FDn",E144="LDn")),1,IF(AND(H143=1,OR(E143="FDn",E143="LDn")),1,""))))</f>
        <v>1</v>
      </c>
      <c r="J143" s="4">
        <f t="shared" si="45"/>
        <v>1</v>
      </c>
      <c r="K143" s="4" t="str">
        <f t="shared" si="46"/>
        <v/>
      </c>
      <c r="L143" s="4" t="str">
        <f t="shared" si="47"/>
        <v/>
      </c>
      <c r="M143" s="4" t="str">
        <f t="shared" si="48"/>
        <v/>
      </c>
      <c r="N143" s="4" t="str">
        <f t="shared" si="49"/>
        <v/>
      </c>
      <c r="O143" s="4" t="str">
        <f t="shared" si="50"/>
        <v/>
      </c>
      <c r="P143" s="4" t="str">
        <f t="shared" si="51"/>
        <v/>
      </c>
      <c r="Q143" s="4" t="str">
        <f t="shared" si="52"/>
        <v/>
      </c>
      <c r="R143" s="4" t="str">
        <f t="shared" si="53"/>
        <v/>
      </c>
      <c r="S143" s="4" t="str">
        <f t="shared" si="54"/>
        <v/>
      </c>
      <c r="T143" s="4" t="str">
        <f t="shared" si="55"/>
        <v/>
      </c>
      <c r="U143">
        <f>IF(VLOOKUP(C143,'QA Table'!$Y$5:$Y$20,1,TRUE)=C143,1,0)</f>
        <v>0</v>
      </c>
      <c r="V143" t="str">
        <f t="shared" si="56"/>
        <v/>
      </c>
      <c r="W143" t="str">
        <f t="shared" si="57"/>
        <v/>
      </c>
      <c r="X143">
        <f t="shared" si="58"/>
        <v>4</v>
      </c>
      <c r="Y143">
        <f t="shared" si="59"/>
        <v>0</v>
      </c>
      <c r="AA143">
        <f t="shared" si="60"/>
        <v>1</v>
      </c>
    </row>
    <row r="144" spans="1:27" x14ac:dyDescent="0.2">
      <c r="A144" t="s">
        <v>27</v>
      </c>
      <c r="B144" t="s">
        <v>31</v>
      </c>
      <c r="C144" t="s">
        <v>1268</v>
      </c>
      <c r="D144" t="s">
        <v>1050</v>
      </c>
      <c r="E144" t="s">
        <v>3</v>
      </c>
      <c r="F144" t="s">
        <v>1267</v>
      </c>
      <c r="G144" t="s">
        <v>1130</v>
      </c>
      <c r="H144" s="4" t="str">
        <f t="shared" si="44"/>
        <v/>
      </c>
      <c r="I144" s="4" t="str">
        <f>IF(RIGHT(B144,1)="M",IF(AND(H144=1,E144="RFS",D144=INDEX('Station Depth Averages'!$A$3:$B$84,MATCH(B144,'Station Depth Averages'!$A$3:$A$84,0),2)),1,""),IF(AND(H144=1,OR(D144="SYN",D144="SRF",D144="MID")),1,IF(AND(H144=1,OR(E145="FDn",E145="LDn")),1,IF(AND(H144=1,OR(E144="FDn",E144="LDn")),1,""))))</f>
        <v/>
      </c>
      <c r="J144" s="4" t="str">
        <f t="shared" si="45"/>
        <v/>
      </c>
      <c r="K144" s="4" t="str">
        <f t="shared" si="46"/>
        <v/>
      </c>
      <c r="L144" s="4" t="str">
        <f t="shared" si="47"/>
        <v/>
      </c>
      <c r="M144" s="4" t="str">
        <f t="shared" si="48"/>
        <v/>
      </c>
      <c r="N144" s="4" t="str">
        <f t="shared" si="49"/>
        <v/>
      </c>
      <c r="O144" s="4" t="str">
        <f t="shared" si="50"/>
        <v/>
      </c>
      <c r="P144" s="4" t="str">
        <f t="shared" si="51"/>
        <v/>
      </c>
      <c r="Q144" s="4" t="str">
        <f t="shared" si="52"/>
        <v/>
      </c>
      <c r="R144" s="4" t="str">
        <f t="shared" si="53"/>
        <v/>
      </c>
      <c r="S144" s="4" t="str">
        <f t="shared" si="54"/>
        <v/>
      </c>
      <c r="T144" s="4" t="str">
        <f t="shared" si="55"/>
        <v/>
      </c>
      <c r="U144">
        <f>IF(VLOOKUP(C144,'QA Table'!$Y$5:$Y$20,1,TRUE)=C144,1,0)</f>
        <v>0</v>
      </c>
      <c r="V144" t="str">
        <f t="shared" si="56"/>
        <v/>
      </c>
      <c r="W144" t="str">
        <f t="shared" si="57"/>
        <v/>
      </c>
      <c r="X144" t="str">
        <f t="shared" si="58"/>
        <v/>
      </c>
      <c r="Y144">
        <f t="shared" si="59"/>
        <v>0</v>
      </c>
      <c r="AA144" t="str">
        <f t="shared" si="60"/>
        <v/>
      </c>
    </row>
    <row r="145" spans="1:27" x14ac:dyDescent="0.2">
      <c r="A145" t="s">
        <v>27</v>
      </c>
      <c r="B145" t="s">
        <v>31</v>
      </c>
      <c r="C145" t="s">
        <v>1269</v>
      </c>
      <c r="D145" t="s">
        <v>4</v>
      </c>
      <c r="E145" t="s">
        <v>3</v>
      </c>
      <c r="F145" t="s">
        <v>1267</v>
      </c>
      <c r="G145" t="s">
        <v>1130</v>
      </c>
      <c r="H145" s="4" t="str">
        <f t="shared" si="44"/>
        <v/>
      </c>
      <c r="I145" s="4" t="str">
        <f>IF(RIGHT(B145,1)="M",IF(AND(H145=1,E145="RFS",D145=INDEX('Station Depth Averages'!$A$3:$B$84,MATCH(B145,'Station Depth Averages'!$A$3:$A$84,0),2)),1,""),IF(AND(H145=1,OR(D145="SYN",D145="SRF",D145="MID")),1,IF(AND(H145=1,OR(E146="FDn",E146="LDn")),1,IF(AND(H145=1,OR(E145="FDn",E145="LDn")),1,""))))</f>
        <v/>
      </c>
      <c r="J145" s="4" t="str">
        <f t="shared" si="45"/>
        <v/>
      </c>
      <c r="K145" s="4" t="str">
        <f t="shared" si="46"/>
        <v/>
      </c>
      <c r="L145" s="4" t="str">
        <f t="shared" si="47"/>
        <v/>
      </c>
      <c r="M145" s="4" t="str">
        <f t="shared" si="48"/>
        <v/>
      </c>
      <c r="N145" s="4" t="str">
        <f t="shared" si="49"/>
        <v/>
      </c>
      <c r="O145" s="4" t="str">
        <f t="shared" si="50"/>
        <v/>
      </c>
      <c r="P145" s="4" t="str">
        <f t="shared" si="51"/>
        <v/>
      </c>
      <c r="Q145" s="4" t="str">
        <f t="shared" si="52"/>
        <v/>
      </c>
      <c r="R145" s="4" t="str">
        <f t="shared" si="53"/>
        <v/>
      </c>
      <c r="S145" s="4" t="str">
        <f t="shared" si="54"/>
        <v/>
      </c>
      <c r="T145" s="4" t="str">
        <f t="shared" si="55"/>
        <v/>
      </c>
      <c r="U145">
        <f>IF(VLOOKUP(C145,'QA Table'!$Y$5:$Y$20,1,TRUE)=C145,1,0)</f>
        <v>0</v>
      </c>
      <c r="V145" t="str">
        <f t="shared" si="56"/>
        <v/>
      </c>
      <c r="W145" t="str">
        <f t="shared" si="57"/>
        <v/>
      </c>
      <c r="X145" t="str">
        <f t="shared" si="58"/>
        <v/>
      </c>
      <c r="Y145">
        <f t="shared" si="59"/>
        <v>0</v>
      </c>
      <c r="AA145" t="str">
        <f t="shared" si="60"/>
        <v/>
      </c>
    </row>
    <row r="146" spans="1:27" x14ac:dyDescent="0.2">
      <c r="A146" t="s">
        <v>27</v>
      </c>
      <c r="B146" t="s">
        <v>31</v>
      </c>
      <c r="C146" t="s">
        <v>1270</v>
      </c>
      <c r="D146" t="s">
        <v>1051</v>
      </c>
      <c r="E146" t="s">
        <v>3</v>
      </c>
      <c r="F146" t="s">
        <v>1267</v>
      </c>
      <c r="G146" t="s">
        <v>1130</v>
      </c>
      <c r="H146" s="4" t="str">
        <f t="shared" si="44"/>
        <v/>
      </c>
      <c r="I146" s="4" t="str">
        <f>IF(RIGHT(B146,1)="M",IF(AND(H146=1,E146="RFS",D146=INDEX('Station Depth Averages'!$A$3:$B$84,MATCH(B146,'Station Depth Averages'!$A$3:$A$84,0),2)),1,""),IF(AND(H146=1,OR(D146="SYN",D146="SRF",D146="MID")),1,IF(AND(H146=1,OR(E147="FDn",E147="LDn")),1,IF(AND(H146=1,OR(E146="FDn",E146="LDn")),1,""))))</f>
        <v/>
      </c>
      <c r="J146" s="4" t="str">
        <f t="shared" si="45"/>
        <v/>
      </c>
      <c r="K146" s="4" t="str">
        <f t="shared" si="46"/>
        <v/>
      </c>
      <c r="L146" s="4" t="str">
        <f t="shared" si="47"/>
        <v/>
      </c>
      <c r="M146" s="4" t="str">
        <f t="shared" si="48"/>
        <v/>
      </c>
      <c r="N146" s="4" t="str">
        <f t="shared" si="49"/>
        <v/>
      </c>
      <c r="O146" s="4" t="str">
        <f t="shared" si="50"/>
        <v/>
      </c>
      <c r="P146" s="4" t="str">
        <f t="shared" si="51"/>
        <v/>
      </c>
      <c r="Q146" s="4" t="str">
        <f t="shared" si="52"/>
        <v/>
      </c>
      <c r="R146" s="4" t="str">
        <f t="shared" si="53"/>
        <v/>
      </c>
      <c r="S146" s="4" t="str">
        <f t="shared" si="54"/>
        <v/>
      </c>
      <c r="T146" s="4" t="str">
        <f t="shared" si="55"/>
        <v/>
      </c>
      <c r="U146">
        <f>IF(VLOOKUP(C146,'QA Table'!$Y$5:$Y$20,1,TRUE)=C146,1,0)</f>
        <v>0</v>
      </c>
      <c r="V146" t="str">
        <f t="shared" si="56"/>
        <v/>
      </c>
      <c r="W146" t="str">
        <f t="shared" si="57"/>
        <v/>
      </c>
      <c r="X146" t="str">
        <f t="shared" si="58"/>
        <v/>
      </c>
      <c r="Y146">
        <f t="shared" si="59"/>
        <v>0</v>
      </c>
      <c r="AA146" t="str">
        <f t="shared" si="60"/>
        <v/>
      </c>
    </row>
    <row r="147" spans="1:27" x14ac:dyDescent="0.2">
      <c r="A147" t="s">
        <v>27</v>
      </c>
      <c r="B147" t="s">
        <v>31</v>
      </c>
      <c r="C147" t="s">
        <v>1271</v>
      </c>
      <c r="D147" t="s">
        <v>119</v>
      </c>
      <c r="E147" t="s">
        <v>3</v>
      </c>
      <c r="F147" t="s">
        <v>1267</v>
      </c>
      <c r="G147" t="s">
        <v>1130</v>
      </c>
      <c r="H147" s="4">
        <f t="shared" si="44"/>
        <v>1</v>
      </c>
      <c r="I147" s="4">
        <f>IF(RIGHT(B147,1)="M",IF(AND(H147=1,E147="RFS",D147=INDEX('Station Depth Averages'!$A$3:$B$84,MATCH(B147,'Station Depth Averages'!$A$3:$A$84,0),2)),1,""),IF(AND(H147=1,OR(D147="SYN",D147="SRF",D147="MID")),1,IF(AND(H147=1,OR(E148="FDn",E148="LDn")),1,IF(AND(H147=1,OR(E147="FDn",E147="LDn")),1,""))))</f>
        <v>1</v>
      </c>
      <c r="J147" s="4">
        <f t="shared" si="45"/>
        <v>1</v>
      </c>
      <c r="K147" s="4" t="str">
        <f t="shared" si="46"/>
        <v/>
      </c>
      <c r="L147" s="4" t="str">
        <f t="shared" si="47"/>
        <v/>
      </c>
      <c r="M147" s="4" t="str">
        <f t="shared" si="48"/>
        <v/>
      </c>
      <c r="N147" s="4" t="str">
        <f t="shared" si="49"/>
        <v/>
      </c>
      <c r="O147" s="4" t="str">
        <f t="shared" si="50"/>
        <v/>
      </c>
      <c r="P147" s="4" t="str">
        <f t="shared" si="51"/>
        <v/>
      </c>
      <c r="Q147" s="4" t="str">
        <f t="shared" si="52"/>
        <v/>
      </c>
      <c r="R147" s="4" t="str">
        <f t="shared" si="53"/>
        <v/>
      </c>
      <c r="S147" s="4" t="str">
        <f t="shared" si="54"/>
        <v/>
      </c>
      <c r="T147" s="4" t="str">
        <f t="shared" si="55"/>
        <v/>
      </c>
      <c r="U147">
        <f>IF(VLOOKUP(C147,'QA Table'!$Y$5:$Y$20,1,TRUE)=C147,1,0)</f>
        <v>0</v>
      </c>
      <c r="V147" t="str">
        <f t="shared" si="56"/>
        <v/>
      </c>
      <c r="W147" t="str">
        <f t="shared" si="57"/>
        <v/>
      </c>
      <c r="X147">
        <f t="shared" si="58"/>
        <v>4</v>
      </c>
      <c r="Y147">
        <f t="shared" si="59"/>
        <v>0</v>
      </c>
      <c r="AA147">
        <f t="shared" si="60"/>
        <v>1</v>
      </c>
    </row>
    <row r="148" spans="1:27" x14ac:dyDescent="0.2">
      <c r="A148" t="s">
        <v>27</v>
      </c>
      <c r="B148" t="s">
        <v>31</v>
      </c>
      <c r="C148" t="s">
        <v>1107</v>
      </c>
      <c r="D148" t="s">
        <v>5</v>
      </c>
      <c r="E148" t="s">
        <v>3</v>
      </c>
      <c r="F148" t="s">
        <v>1267</v>
      </c>
      <c r="G148" t="s">
        <v>1130</v>
      </c>
      <c r="H148" s="4">
        <f t="shared" si="44"/>
        <v>1</v>
      </c>
      <c r="I148" s="4">
        <f>IF(RIGHT(B148,1)="M",IF(AND(H148=1,E148="RFS",D148=INDEX('Station Depth Averages'!$A$3:$B$84,MATCH(B148,'Station Depth Averages'!$A$3:$A$84,0),2)),1,""),IF(AND(H148=1,OR(D148="SYN",D148="SRF",D148="MID")),1,IF(AND(H148=1,OR(E149="FDn",E149="LDn")),1,IF(AND(H148=1,OR(E148="FDn",E148="LDn")),1,""))))</f>
        <v>1</v>
      </c>
      <c r="J148" s="4">
        <f t="shared" si="45"/>
        <v>1</v>
      </c>
      <c r="K148" s="4" t="str">
        <f t="shared" si="46"/>
        <v/>
      </c>
      <c r="L148" s="4" t="str">
        <f t="shared" si="47"/>
        <v/>
      </c>
      <c r="M148" s="4" t="str">
        <f t="shared" si="48"/>
        <v/>
      </c>
      <c r="N148" s="4" t="str">
        <f t="shared" si="49"/>
        <v/>
      </c>
      <c r="O148" s="4" t="str">
        <f t="shared" si="50"/>
        <v/>
      </c>
      <c r="P148" s="4" t="str">
        <f t="shared" si="51"/>
        <v/>
      </c>
      <c r="Q148" s="4" t="str">
        <f t="shared" si="52"/>
        <v/>
      </c>
      <c r="R148" s="4" t="str">
        <f t="shared" si="53"/>
        <v/>
      </c>
      <c r="S148" s="4" t="str">
        <f t="shared" si="54"/>
        <v/>
      </c>
      <c r="T148" s="4" t="str">
        <f t="shared" si="55"/>
        <v/>
      </c>
      <c r="U148">
        <f>IF(VLOOKUP(C148,'QA Table'!$Y$5:$Y$20,1,TRUE)=C148,1,0)</f>
        <v>0</v>
      </c>
      <c r="V148" t="str">
        <f t="shared" si="56"/>
        <v/>
      </c>
      <c r="W148" t="str">
        <f t="shared" si="57"/>
        <v/>
      </c>
      <c r="X148">
        <f t="shared" si="58"/>
        <v>4</v>
      </c>
      <c r="Y148">
        <f t="shared" si="59"/>
        <v>0</v>
      </c>
      <c r="AA148">
        <f t="shared" si="60"/>
        <v>1</v>
      </c>
    </row>
    <row r="149" spans="1:27" x14ac:dyDescent="0.2">
      <c r="A149" t="s">
        <v>27</v>
      </c>
      <c r="B149" t="s">
        <v>31</v>
      </c>
      <c r="C149" t="s">
        <v>1272</v>
      </c>
      <c r="D149" t="s">
        <v>5</v>
      </c>
      <c r="E149" t="s">
        <v>7</v>
      </c>
      <c r="F149" t="s">
        <v>1267</v>
      </c>
      <c r="G149" t="s">
        <v>1130</v>
      </c>
      <c r="H149" s="4">
        <f t="shared" si="44"/>
        <v>1</v>
      </c>
      <c r="I149" s="4">
        <f>IF(RIGHT(B149,1)="M",IF(AND(H149=1,E149="RFS",D149=INDEX('Station Depth Averages'!$A$3:$B$84,MATCH(B149,'Station Depth Averages'!$A$3:$A$84,0),2)),1,""),IF(AND(H149=1,OR(D149="SYN",D149="SRF",D149="MID")),1,IF(AND(H149=1,OR(E150="FDn",E150="LDn")),1,IF(AND(H149=1,OR(E149="FDn",E149="LDn")),1,""))))</f>
        <v>1</v>
      </c>
      <c r="J149" s="4">
        <f t="shared" si="45"/>
        <v>1</v>
      </c>
      <c r="K149" s="4" t="str">
        <f t="shared" si="46"/>
        <v/>
      </c>
      <c r="L149" s="4" t="str">
        <f t="shared" si="47"/>
        <v/>
      </c>
      <c r="M149" s="4" t="str">
        <f t="shared" si="48"/>
        <v/>
      </c>
      <c r="N149" s="4" t="str">
        <f t="shared" si="49"/>
        <v/>
      </c>
      <c r="O149" s="4" t="str">
        <f t="shared" si="50"/>
        <v/>
      </c>
      <c r="P149" s="4" t="str">
        <f t="shared" si="51"/>
        <v/>
      </c>
      <c r="Q149" s="4" t="str">
        <f t="shared" si="52"/>
        <v/>
      </c>
      <c r="R149" s="4" t="str">
        <f t="shared" si="53"/>
        <v/>
      </c>
      <c r="S149" s="4" t="str">
        <f t="shared" si="54"/>
        <v/>
      </c>
      <c r="T149" s="4" t="str">
        <f t="shared" si="55"/>
        <v/>
      </c>
      <c r="U149">
        <f>IF(VLOOKUP(C149,'QA Table'!$Y$5:$Y$20,1,TRUE)=C149,1,0)</f>
        <v>0</v>
      </c>
      <c r="V149" t="str">
        <f t="shared" si="56"/>
        <v/>
      </c>
      <c r="W149" t="str">
        <f t="shared" si="57"/>
        <v/>
      </c>
      <c r="X149">
        <f t="shared" si="58"/>
        <v>4</v>
      </c>
      <c r="Y149">
        <f t="shared" si="59"/>
        <v>0</v>
      </c>
      <c r="AA149">
        <f t="shared" si="60"/>
        <v>1</v>
      </c>
    </row>
    <row r="150" spans="1:27" x14ac:dyDescent="0.2">
      <c r="A150" t="s">
        <v>27</v>
      </c>
      <c r="B150" t="s">
        <v>31</v>
      </c>
      <c r="C150" t="s">
        <v>1273</v>
      </c>
      <c r="D150" t="s">
        <v>6</v>
      </c>
      <c r="E150" t="s">
        <v>3</v>
      </c>
      <c r="F150" t="s">
        <v>1267</v>
      </c>
      <c r="G150" t="s">
        <v>1130</v>
      </c>
      <c r="H150" s="4">
        <f t="shared" si="44"/>
        <v>1</v>
      </c>
      <c r="I150" s="4" t="str">
        <f>IF(RIGHT(B150,1)="M",IF(AND(H150=1,E150="RFS",D150=INDEX('Station Depth Averages'!$A$3:$B$84,MATCH(B150,'Station Depth Averages'!$A$3:$A$84,0),2)),1,""),IF(AND(H150=1,OR(D150="SYN",D150="SRF",D150="MID")),1,IF(AND(H150=1,OR(E151="FDn",E151="LDn")),1,IF(AND(H150=1,OR(E150="FDn",E150="LDn")),1,""))))</f>
        <v/>
      </c>
      <c r="J150" s="4">
        <f t="shared" si="45"/>
        <v>1</v>
      </c>
      <c r="K150" s="4" t="str">
        <f t="shared" si="46"/>
        <v/>
      </c>
      <c r="L150" s="4" t="str">
        <f t="shared" si="47"/>
        <v/>
      </c>
      <c r="M150" s="4" t="str">
        <f t="shared" si="48"/>
        <v/>
      </c>
      <c r="N150" s="4" t="str">
        <f t="shared" si="49"/>
        <v/>
      </c>
      <c r="O150" s="4" t="str">
        <f t="shared" si="50"/>
        <v/>
      </c>
      <c r="P150" s="4" t="str">
        <f t="shared" si="51"/>
        <v/>
      </c>
      <c r="Q150" s="4" t="str">
        <f t="shared" si="52"/>
        <v/>
      </c>
      <c r="R150" s="4" t="str">
        <f t="shared" si="53"/>
        <v/>
      </c>
      <c r="S150" s="4" t="str">
        <f t="shared" si="54"/>
        <v/>
      </c>
      <c r="T150" s="4" t="str">
        <f t="shared" si="55"/>
        <v/>
      </c>
      <c r="U150">
        <f>IF(VLOOKUP(C150,'QA Table'!$Y$5:$Y$20,1,TRUE)=C150,1,0)</f>
        <v>0</v>
      </c>
      <c r="V150" t="str">
        <f t="shared" si="56"/>
        <v/>
      </c>
      <c r="W150" t="str">
        <f t="shared" si="57"/>
        <v/>
      </c>
      <c r="X150">
        <f t="shared" si="58"/>
        <v>4</v>
      </c>
      <c r="Y150">
        <f t="shared" si="59"/>
        <v>0</v>
      </c>
      <c r="AA150">
        <f t="shared" si="60"/>
        <v>1</v>
      </c>
    </row>
    <row r="151" spans="1:27" x14ac:dyDescent="0.2">
      <c r="A151" t="s">
        <v>27</v>
      </c>
      <c r="B151" t="s">
        <v>31</v>
      </c>
      <c r="C151" t="s">
        <v>1274</v>
      </c>
      <c r="D151" t="s">
        <v>8</v>
      </c>
      <c r="E151" t="s">
        <v>3</v>
      </c>
      <c r="F151" t="s">
        <v>1267</v>
      </c>
      <c r="G151" t="s">
        <v>1130</v>
      </c>
      <c r="H151" s="4">
        <f t="shared" si="44"/>
        <v>1</v>
      </c>
      <c r="I151" s="4" t="str">
        <f>IF(RIGHT(B151,1)="M",IF(AND(H151=1,E151="RFS",D151=INDEX('Station Depth Averages'!$A$3:$B$84,MATCH(B151,'Station Depth Averages'!$A$3:$A$84,0),2)),1,""),IF(AND(H151=1,OR(D151="SYN",D151="SRF",D151="MID")),1,IF(AND(H151=1,OR(E152="FDn",E152="LDn")),1,IF(AND(H151=1,OR(E151="FDn",E151="LDn")),1,""))))</f>
        <v/>
      </c>
      <c r="J151" s="4" t="str">
        <f t="shared" si="45"/>
        <v/>
      </c>
      <c r="K151" s="4">
        <f t="shared" si="46"/>
        <v>1</v>
      </c>
      <c r="L151" s="4" t="str">
        <f t="shared" si="47"/>
        <v/>
      </c>
      <c r="M151" s="4" t="str">
        <f t="shared" si="48"/>
        <v/>
      </c>
      <c r="N151" s="4" t="str">
        <f t="shared" si="49"/>
        <v/>
      </c>
      <c r="O151" s="4" t="str">
        <f t="shared" si="50"/>
        <v/>
      </c>
      <c r="P151" s="4" t="str">
        <f t="shared" si="51"/>
        <v/>
      </c>
      <c r="Q151" s="4">
        <f t="shared" si="52"/>
        <v>2</v>
      </c>
      <c r="R151" s="4" t="str">
        <f t="shared" si="53"/>
        <v/>
      </c>
      <c r="S151" s="4" t="str">
        <f t="shared" si="54"/>
        <v/>
      </c>
      <c r="T151" s="4" t="str">
        <f t="shared" si="55"/>
        <v/>
      </c>
      <c r="U151">
        <f>IF(VLOOKUP(C151,'QA Table'!$Y$5:$Y$20,1,TRUE)=C151,1,0)</f>
        <v>0</v>
      </c>
      <c r="V151" t="str">
        <f t="shared" si="56"/>
        <v/>
      </c>
      <c r="W151" t="str">
        <f t="shared" si="57"/>
        <v/>
      </c>
      <c r="X151">
        <f t="shared" si="58"/>
        <v>4</v>
      </c>
      <c r="Y151">
        <f t="shared" si="59"/>
        <v>0</v>
      </c>
      <c r="AA151">
        <f t="shared" si="60"/>
        <v>1</v>
      </c>
    </row>
    <row r="152" spans="1:27" x14ac:dyDescent="0.2">
      <c r="A152" t="s">
        <v>27</v>
      </c>
      <c r="B152" t="s">
        <v>31</v>
      </c>
      <c r="C152" t="s">
        <v>1275</v>
      </c>
      <c r="D152" t="s">
        <v>9</v>
      </c>
      <c r="E152" t="s">
        <v>3</v>
      </c>
      <c r="F152" t="s">
        <v>1267</v>
      </c>
      <c r="G152" t="s">
        <v>1130</v>
      </c>
      <c r="H152" s="4" t="str">
        <f t="shared" si="44"/>
        <v/>
      </c>
      <c r="I152" s="4" t="str">
        <f>IF(RIGHT(B152,1)="M",IF(AND(H152=1,E152="RFS",D152=INDEX('Station Depth Averages'!$A$3:$B$84,MATCH(B152,'Station Depth Averages'!$A$3:$A$84,0),2)),1,""),IF(AND(H152=1,OR(D152="SYN",D152="SRF",D152="MID")),1,IF(AND(H152=1,OR(E153="FDn",E153="LDn")),1,IF(AND(H152=1,OR(E152="FDn",E152="LDn")),1,""))))</f>
        <v/>
      </c>
      <c r="J152" s="4" t="str">
        <f t="shared" si="45"/>
        <v/>
      </c>
      <c r="K152" s="4" t="str">
        <f t="shared" si="46"/>
        <v/>
      </c>
      <c r="L152" s="4" t="str">
        <f t="shared" si="47"/>
        <v/>
      </c>
      <c r="M152" s="4" t="str">
        <f t="shared" si="48"/>
        <v/>
      </c>
      <c r="N152" s="4" t="str">
        <f t="shared" si="49"/>
        <v/>
      </c>
      <c r="O152" s="4" t="str">
        <f t="shared" si="50"/>
        <v/>
      </c>
      <c r="P152" s="4" t="str">
        <f t="shared" si="51"/>
        <v/>
      </c>
      <c r="Q152" s="4" t="str">
        <f t="shared" si="52"/>
        <v/>
      </c>
      <c r="R152" s="4" t="str">
        <f t="shared" si="53"/>
        <v/>
      </c>
      <c r="S152" s="4" t="str">
        <f t="shared" si="54"/>
        <v/>
      </c>
      <c r="T152" s="4">
        <f t="shared" si="55"/>
        <v>1</v>
      </c>
      <c r="U152">
        <f>IF(VLOOKUP(C152,'QA Table'!$Y$5:$Y$20,1,TRUE)=C152,1,0)</f>
        <v>0</v>
      </c>
      <c r="V152" t="str">
        <f t="shared" si="56"/>
        <v/>
      </c>
      <c r="W152" t="str">
        <f t="shared" si="57"/>
        <v/>
      </c>
      <c r="X152" t="str">
        <f t="shared" si="58"/>
        <v/>
      </c>
      <c r="Y152">
        <f t="shared" si="59"/>
        <v>0</v>
      </c>
      <c r="AA152" t="str">
        <f t="shared" si="60"/>
        <v/>
      </c>
    </row>
    <row r="153" spans="1:27" x14ac:dyDescent="0.2">
      <c r="A153" t="s">
        <v>27</v>
      </c>
      <c r="B153" t="s">
        <v>31</v>
      </c>
      <c r="C153" t="s">
        <v>1276</v>
      </c>
      <c r="D153" t="s">
        <v>10</v>
      </c>
      <c r="E153" t="s">
        <v>3</v>
      </c>
      <c r="F153" t="s">
        <v>1267</v>
      </c>
      <c r="G153" t="s">
        <v>1130</v>
      </c>
      <c r="H153" s="4" t="str">
        <f t="shared" si="44"/>
        <v/>
      </c>
      <c r="I153" s="4" t="str">
        <f>IF(RIGHT(B153,1)="M",IF(AND(H153=1,E153="RFS",D153=INDEX('Station Depth Averages'!$A$3:$B$84,MATCH(B153,'Station Depth Averages'!$A$3:$A$84,0),2)),1,""),IF(AND(H153=1,OR(D153="SYN",D153="SRF",D153="MID")),1,IF(AND(H153=1,OR(E154="FDn",E154="LDn")),1,IF(AND(H153=1,OR(E153="FDn",E153="LDn")),1,""))))</f>
        <v/>
      </c>
      <c r="J153" s="4" t="str">
        <f t="shared" si="45"/>
        <v/>
      </c>
      <c r="K153" s="4" t="str">
        <f t="shared" si="46"/>
        <v/>
      </c>
      <c r="L153" s="4" t="str">
        <f t="shared" si="47"/>
        <v/>
      </c>
      <c r="M153" s="4" t="str">
        <f t="shared" si="48"/>
        <v/>
      </c>
      <c r="N153" s="4" t="str">
        <f t="shared" si="49"/>
        <v/>
      </c>
      <c r="O153" s="4" t="str">
        <f t="shared" si="50"/>
        <v/>
      </c>
      <c r="P153" s="4" t="str">
        <f t="shared" si="51"/>
        <v/>
      </c>
      <c r="Q153" s="4" t="str">
        <f t="shared" si="52"/>
        <v/>
      </c>
      <c r="R153" s="4" t="str">
        <f t="shared" si="53"/>
        <v/>
      </c>
      <c r="S153" s="4" t="str">
        <f t="shared" si="54"/>
        <v/>
      </c>
      <c r="T153" s="4">
        <f t="shared" si="55"/>
        <v>1</v>
      </c>
      <c r="U153">
        <f>IF(VLOOKUP(C153,'QA Table'!$Y$5:$Y$20,1,TRUE)=C153,1,0)</f>
        <v>0</v>
      </c>
      <c r="V153" t="str">
        <f t="shared" si="56"/>
        <v/>
      </c>
      <c r="W153" t="str">
        <f t="shared" si="57"/>
        <v/>
      </c>
      <c r="X153" t="str">
        <f t="shared" si="58"/>
        <v/>
      </c>
      <c r="Y153">
        <f t="shared" si="59"/>
        <v>0</v>
      </c>
      <c r="AA153" t="str">
        <f t="shared" si="60"/>
        <v/>
      </c>
    </row>
    <row r="154" spans="1:27" x14ac:dyDescent="0.2">
      <c r="A154" t="s">
        <v>27</v>
      </c>
      <c r="B154" t="s">
        <v>31</v>
      </c>
      <c r="C154" t="s">
        <v>1277</v>
      </c>
      <c r="D154" t="s">
        <v>1034</v>
      </c>
      <c r="E154" t="s">
        <v>3</v>
      </c>
      <c r="F154" t="s">
        <v>1267</v>
      </c>
      <c r="G154" t="s">
        <v>1130</v>
      </c>
      <c r="H154" s="4" t="str">
        <f t="shared" si="44"/>
        <v/>
      </c>
      <c r="I154" s="4" t="str">
        <f>IF(RIGHT(B154,1)="M",IF(AND(H154=1,E154="RFS",D154=INDEX('Station Depth Averages'!$A$3:$B$84,MATCH(B154,'Station Depth Averages'!$A$3:$A$84,0),2)),1,""),IF(AND(H154=1,OR(D154="SYN",D154="SRF",D154="MID")),1,IF(AND(H154=1,OR(E155="FDn",E155="LDn")),1,IF(AND(H154=1,OR(E154="FDn",E154="LDn")),1,""))))</f>
        <v/>
      </c>
      <c r="J154" s="4" t="str">
        <f t="shared" si="45"/>
        <v/>
      </c>
      <c r="K154" s="4" t="str">
        <f t="shared" si="46"/>
        <v/>
      </c>
      <c r="L154" s="4" t="str">
        <f t="shared" si="47"/>
        <v/>
      </c>
      <c r="M154" s="4" t="str">
        <f t="shared" si="48"/>
        <v/>
      </c>
      <c r="N154" s="4" t="str">
        <f t="shared" si="49"/>
        <v/>
      </c>
      <c r="O154" s="4" t="str">
        <f t="shared" si="50"/>
        <v/>
      </c>
      <c r="P154" s="4" t="str">
        <f t="shared" si="51"/>
        <v/>
      </c>
      <c r="Q154" s="4" t="str">
        <f t="shared" si="52"/>
        <v/>
      </c>
      <c r="R154" s="4" t="str">
        <f t="shared" si="53"/>
        <v/>
      </c>
      <c r="S154" s="4">
        <f t="shared" si="54"/>
        <v>1</v>
      </c>
      <c r="T154" s="4" t="str">
        <f t="shared" si="55"/>
        <v/>
      </c>
      <c r="U154">
        <f>IF(VLOOKUP(C154,'QA Table'!$Y$5:$Y$20,1,TRUE)=C154,1,0)</f>
        <v>0</v>
      </c>
      <c r="V154" t="str">
        <f t="shared" si="56"/>
        <v/>
      </c>
      <c r="W154" t="str">
        <f t="shared" si="57"/>
        <v/>
      </c>
      <c r="X154" t="str">
        <f t="shared" si="58"/>
        <v/>
      </c>
      <c r="Y154">
        <f t="shared" si="59"/>
        <v>0</v>
      </c>
      <c r="AA154" t="str">
        <f t="shared" si="60"/>
        <v/>
      </c>
    </row>
    <row r="155" spans="1:27" x14ac:dyDescent="0.2">
      <c r="A155" t="s">
        <v>27</v>
      </c>
      <c r="B155" t="s">
        <v>31</v>
      </c>
      <c r="C155" t="s">
        <v>1278</v>
      </c>
      <c r="D155" t="s">
        <v>1034</v>
      </c>
      <c r="E155" t="s">
        <v>19</v>
      </c>
      <c r="F155" t="s">
        <v>1267</v>
      </c>
      <c r="G155" t="s">
        <v>1130</v>
      </c>
      <c r="H155" s="4" t="str">
        <f t="shared" si="44"/>
        <v/>
      </c>
      <c r="I155" s="4" t="str">
        <f>IF(RIGHT(B155,1)="M",IF(AND(H155=1,E155="RFS",D155=INDEX('Station Depth Averages'!$A$3:$B$84,MATCH(B155,'Station Depth Averages'!$A$3:$A$84,0),2)),1,""),IF(AND(H155=1,OR(D155="SYN",D155="SRF",D155="MID")),1,IF(AND(H155=1,OR(E156="FDn",E156="LDn")),1,IF(AND(H155=1,OR(E155="FDn",E155="LDn")),1,""))))</f>
        <v/>
      </c>
      <c r="J155" s="4" t="str">
        <f t="shared" si="45"/>
        <v/>
      </c>
      <c r="K155" s="4" t="str">
        <f t="shared" si="46"/>
        <v/>
      </c>
      <c r="L155" s="4" t="str">
        <f t="shared" si="47"/>
        <v/>
      </c>
      <c r="M155" s="4" t="str">
        <f t="shared" si="48"/>
        <v/>
      </c>
      <c r="N155" s="4" t="str">
        <f t="shared" si="49"/>
        <v/>
      </c>
      <c r="O155" s="4" t="str">
        <f t="shared" si="50"/>
        <v/>
      </c>
      <c r="P155" s="4" t="str">
        <f t="shared" si="51"/>
        <v/>
      </c>
      <c r="Q155" s="4" t="str">
        <f t="shared" si="52"/>
        <v/>
      </c>
      <c r="R155" s="4" t="str">
        <f t="shared" si="53"/>
        <v/>
      </c>
      <c r="S155" s="4">
        <f t="shared" si="54"/>
        <v>1</v>
      </c>
      <c r="T155" s="4" t="str">
        <f t="shared" si="55"/>
        <v/>
      </c>
      <c r="U155">
        <f>IF(VLOOKUP(C155,'QA Table'!$Y$5:$Y$20,1,TRUE)=C155,1,0)</f>
        <v>0</v>
      </c>
      <c r="V155" t="str">
        <f t="shared" si="56"/>
        <v/>
      </c>
      <c r="W155" t="str">
        <f t="shared" si="57"/>
        <v/>
      </c>
      <c r="X155" t="str">
        <f t="shared" si="58"/>
        <v/>
      </c>
      <c r="Y155">
        <f t="shared" si="59"/>
        <v>0</v>
      </c>
      <c r="AA155" t="str">
        <f t="shared" si="60"/>
        <v/>
      </c>
    </row>
    <row r="156" spans="1:27" x14ac:dyDescent="0.2">
      <c r="A156" t="s">
        <v>0</v>
      </c>
      <c r="B156" t="s">
        <v>32</v>
      </c>
      <c r="C156" t="s">
        <v>1279</v>
      </c>
      <c r="D156" t="s">
        <v>2</v>
      </c>
      <c r="E156" t="s">
        <v>3</v>
      </c>
      <c r="F156" t="s">
        <v>1280</v>
      </c>
      <c r="G156" t="s">
        <v>1281</v>
      </c>
      <c r="H156" s="4">
        <f t="shared" si="44"/>
        <v>1</v>
      </c>
      <c r="I156" s="4">
        <f>IF(RIGHT(B156,1)="M",IF(AND(H156=1,E156="RFS",D156=INDEX('Station Depth Averages'!$A$3:$B$84,MATCH(B156,'Station Depth Averages'!$A$3:$A$84,0),2)),1,""),IF(AND(H156=1,OR(D156="SYN",D156="SRF",D156="MID")),1,IF(AND(H156=1,OR(E157="FDn",E157="LDn")),1,IF(AND(H156=1,OR(E156="FDn",E156="LDn")),1,""))))</f>
        <v>1</v>
      </c>
      <c r="J156" s="4">
        <f t="shared" si="45"/>
        <v>1</v>
      </c>
      <c r="K156" s="4" t="str">
        <f t="shared" si="46"/>
        <v/>
      </c>
      <c r="L156" s="4" t="str">
        <f t="shared" si="47"/>
        <v/>
      </c>
      <c r="M156" s="4" t="str">
        <f t="shared" si="48"/>
        <v/>
      </c>
      <c r="N156" s="4" t="str">
        <f t="shared" si="49"/>
        <v/>
      </c>
      <c r="O156" s="4" t="str">
        <f t="shared" si="50"/>
        <v/>
      </c>
      <c r="P156" s="4" t="str">
        <f t="shared" si="51"/>
        <v/>
      </c>
      <c r="Q156" s="4" t="str">
        <f t="shared" si="52"/>
        <v/>
      </c>
      <c r="R156" s="4" t="str">
        <f t="shared" si="53"/>
        <v/>
      </c>
      <c r="S156" s="4" t="str">
        <f t="shared" si="54"/>
        <v/>
      </c>
      <c r="T156" s="4" t="str">
        <f t="shared" si="55"/>
        <v/>
      </c>
      <c r="U156">
        <f>IF(VLOOKUP(C156,'QA Table'!$Y$5:$Y$20,1,TRUE)=C156,1,0)</f>
        <v>0</v>
      </c>
      <c r="V156" t="str">
        <f t="shared" si="56"/>
        <v/>
      </c>
      <c r="W156" t="str">
        <f t="shared" si="57"/>
        <v/>
      </c>
      <c r="X156">
        <f t="shared" si="58"/>
        <v>3</v>
      </c>
      <c r="Y156">
        <f t="shared" si="59"/>
        <v>0</v>
      </c>
      <c r="AA156">
        <f t="shared" si="60"/>
        <v>1</v>
      </c>
    </row>
    <row r="157" spans="1:27" x14ac:dyDescent="0.2">
      <c r="A157" t="s">
        <v>0</v>
      </c>
      <c r="B157" t="s">
        <v>32</v>
      </c>
      <c r="C157" t="s">
        <v>1282</v>
      </c>
      <c r="D157" t="s">
        <v>1050</v>
      </c>
      <c r="E157" t="s">
        <v>3</v>
      </c>
      <c r="F157" t="s">
        <v>1280</v>
      </c>
      <c r="G157" t="s">
        <v>1281</v>
      </c>
      <c r="H157" s="4" t="str">
        <f t="shared" si="44"/>
        <v/>
      </c>
      <c r="I157" s="4" t="str">
        <f>IF(RIGHT(B157,1)="M",IF(AND(H157=1,E157="RFS",D157=INDEX('Station Depth Averages'!$A$3:$B$84,MATCH(B157,'Station Depth Averages'!$A$3:$A$84,0),2)),1,""),IF(AND(H157=1,OR(D157="SYN",D157="SRF",D157="MID")),1,IF(AND(H157=1,OR(E158="FDn",E158="LDn")),1,IF(AND(H157=1,OR(E157="FDn",E157="LDn")),1,""))))</f>
        <v/>
      </c>
      <c r="J157" s="4" t="str">
        <f t="shared" si="45"/>
        <v/>
      </c>
      <c r="K157" s="4" t="str">
        <f t="shared" si="46"/>
        <v/>
      </c>
      <c r="L157" s="4" t="str">
        <f t="shared" si="47"/>
        <v/>
      </c>
      <c r="M157" s="4" t="str">
        <f t="shared" si="48"/>
        <v/>
      </c>
      <c r="N157" s="4" t="str">
        <f t="shared" si="49"/>
        <v/>
      </c>
      <c r="O157" s="4" t="str">
        <f t="shared" si="50"/>
        <v/>
      </c>
      <c r="P157" s="4" t="str">
        <f t="shared" si="51"/>
        <v/>
      </c>
      <c r="Q157" s="4" t="str">
        <f t="shared" si="52"/>
        <v/>
      </c>
      <c r="R157" s="4" t="str">
        <f t="shared" si="53"/>
        <v/>
      </c>
      <c r="S157" s="4" t="str">
        <f t="shared" si="54"/>
        <v/>
      </c>
      <c r="T157" s="4" t="str">
        <f t="shared" si="55"/>
        <v/>
      </c>
      <c r="U157">
        <f>IF(VLOOKUP(C157,'QA Table'!$Y$5:$Y$20,1,TRUE)=C157,1,0)</f>
        <v>0</v>
      </c>
      <c r="V157" t="str">
        <f t="shared" si="56"/>
        <v/>
      </c>
      <c r="W157" t="str">
        <f t="shared" si="57"/>
        <v/>
      </c>
      <c r="X157" t="str">
        <f t="shared" si="58"/>
        <v/>
      </c>
      <c r="Y157">
        <f t="shared" si="59"/>
        <v>0</v>
      </c>
      <c r="AA157" t="str">
        <f t="shared" si="60"/>
        <v/>
      </c>
    </row>
    <row r="158" spans="1:27" x14ac:dyDescent="0.2">
      <c r="A158" t="s">
        <v>0</v>
      </c>
      <c r="B158" t="s">
        <v>32</v>
      </c>
      <c r="C158" t="s">
        <v>1283</v>
      </c>
      <c r="D158" t="s">
        <v>4</v>
      </c>
      <c r="E158" t="s">
        <v>3</v>
      </c>
      <c r="F158" t="s">
        <v>1280</v>
      </c>
      <c r="G158" t="s">
        <v>1281</v>
      </c>
      <c r="H158" s="4" t="str">
        <f t="shared" si="44"/>
        <v/>
      </c>
      <c r="I158" s="4" t="str">
        <f>IF(RIGHT(B158,1)="M",IF(AND(H158=1,E158="RFS",D158=INDEX('Station Depth Averages'!$A$3:$B$84,MATCH(B158,'Station Depth Averages'!$A$3:$A$84,0),2)),1,""),IF(AND(H158=1,OR(D158="SYN",D158="SRF",D158="MID")),1,IF(AND(H158=1,OR(E159="FDn",E159="LDn")),1,IF(AND(H158=1,OR(E158="FDn",E158="LDn")),1,""))))</f>
        <v/>
      </c>
      <c r="J158" s="4" t="str">
        <f t="shared" si="45"/>
        <v/>
      </c>
      <c r="K158" s="4" t="str">
        <f t="shared" si="46"/>
        <v/>
      </c>
      <c r="L158" s="4" t="str">
        <f t="shared" si="47"/>
        <v/>
      </c>
      <c r="M158" s="4" t="str">
        <f t="shared" si="48"/>
        <v/>
      </c>
      <c r="N158" s="4" t="str">
        <f t="shared" si="49"/>
        <v/>
      </c>
      <c r="O158" s="4" t="str">
        <f t="shared" si="50"/>
        <v/>
      </c>
      <c r="P158" s="4" t="str">
        <f t="shared" si="51"/>
        <v/>
      </c>
      <c r="Q158" s="4" t="str">
        <f t="shared" si="52"/>
        <v/>
      </c>
      <c r="R158" s="4" t="str">
        <f t="shared" si="53"/>
        <v/>
      </c>
      <c r="S158" s="4" t="str">
        <f t="shared" si="54"/>
        <v/>
      </c>
      <c r="T158" s="4" t="str">
        <f t="shared" si="55"/>
        <v/>
      </c>
      <c r="U158">
        <f>IF(VLOOKUP(C158,'QA Table'!$Y$5:$Y$20,1,TRUE)=C158,1,0)</f>
        <v>0</v>
      </c>
      <c r="V158" t="str">
        <f t="shared" si="56"/>
        <v/>
      </c>
      <c r="W158" t="str">
        <f t="shared" si="57"/>
        <v/>
      </c>
      <c r="X158" t="str">
        <f t="shared" si="58"/>
        <v/>
      </c>
      <c r="Y158">
        <f t="shared" si="59"/>
        <v>0</v>
      </c>
      <c r="AA158" t="str">
        <f t="shared" si="60"/>
        <v/>
      </c>
    </row>
    <row r="159" spans="1:27" x14ac:dyDescent="0.2">
      <c r="A159" t="s">
        <v>0</v>
      </c>
      <c r="B159" t="s">
        <v>32</v>
      </c>
      <c r="C159" t="s">
        <v>1284</v>
      </c>
      <c r="D159" t="s">
        <v>1051</v>
      </c>
      <c r="E159" t="s">
        <v>3</v>
      </c>
      <c r="F159" t="s">
        <v>1280</v>
      </c>
      <c r="G159" t="s">
        <v>1281</v>
      </c>
      <c r="H159" s="4" t="str">
        <f t="shared" si="44"/>
        <v/>
      </c>
      <c r="I159" s="4" t="str">
        <f>IF(RIGHT(B159,1)="M",IF(AND(H159=1,E159="RFS",D159=INDEX('Station Depth Averages'!$A$3:$B$84,MATCH(B159,'Station Depth Averages'!$A$3:$A$84,0),2)),1,""),IF(AND(H159=1,OR(D159="SYN",D159="SRF",D159="MID")),1,IF(AND(H159=1,OR(E160="FDn",E160="LDn")),1,IF(AND(H159=1,OR(E159="FDn",E159="LDn")),1,""))))</f>
        <v/>
      </c>
      <c r="J159" s="4" t="str">
        <f t="shared" si="45"/>
        <v/>
      </c>
      <c r="K159" s="4" t="str">
        <f t="shared" si="46"/>
        <v/>
      </c>
      <c r="L159" s="4" t="str">
        <f t="shared" si="47"/>
        <v/>
      </c>
      <c r="M159" s="4" t="str">
        <f t="shared" si="48"/>
        <v/>
      </c>
      <c r="N159" s="4" t="str">
        <f t="shared" si="49"/>
        <v/>
      </c>
      <c r="O159" s="4" t="str">
        <f t="shared" si="50"/>
        <v/>
      </c>
      <c r="P159" s="4" t="str">
        <f t="shared" si="51"/>
        <v/>
      </c>
      <c r="Q159" s="4" t="str">
        <f t="shared" si="52"/>
        <v/>
      </c>
      <c r="R159" s="4" t="str">
        <f t="shared" si="53"/>
        <v/>
      </c>
      <c r="S159" s="4" t="str">
        <f t="shared" si="54"/>
        <v/>
      </c>
      <c r="T159" s="4" t="str">
        <f t="shared" si="55"/>
        <v/>
      </c>
      <c r="U159">
        <f>IF(VLOOKUP(C159,'QA Table'!$Y$5:$Y$20,1,TRUE)=C159,1,0)</f>
        <v>0</v>
      </c>
      <c r="V159" t="str">
        <f t="shared" si="56"/>
        <v/>
      </c>
      <c r="W159" t="str">
        <f t="shared" si="57"/>
        <v/>
      </c>
      <c r="X159" t="str">
        <f t="shared" si="58"/>
        <v/>
      </c>
      <c r="Y159">
        <f t="shared" si="59"/>
        <v>0</v>
      </c>
      <c r="AA159" t="str">
        <f t="shared" si="60"/>
        <v/>
      </c>
    </row>
    <row r="160" spans="1:27" x14ac:dyDescent="0.2">
      <c r="A160" t="s">
        <v>0</v>
      </c>
      <c r="B160" t="s">
        <v>32</v>
      </c>
      <c r="C160" t="s">
        <v>1086</v>
      </c>
      <c r="D160" t="s">
        <v>119</v>
      </c>
      <c r="E160" t="s">
        <v>3</v>
      </c>
      <c r="F160" t="s">
        <v>1280</v>
      </c>
      <c r="G160" t="s">
        <v>1281</v>
      </c>
      <c r="H160" s="4">
        <f t="shared" si="44"/>
        <v>1</v>
      </c>
      <c r="I160" s="4">
        <f>IF(RIGHT(B160,1)="M",IF(AND(H160=1,E160="RFS",D160=INDEX('Station Depth Averages'!$A$3:$B$84,MATCH(B160,'Station Depth Averages'!$A$3:$A$84,0),2)),1,""),IF(AND(H160=1,OR(D160="SYN",D160="SRF",D160="MID")),1,IF(AND(H160=1,OR(E161="FDn",E161="LDn")),1,IF(AND(H160=1,OR(E160="FDn",E160="LDn")),1,""))))</f>
        <v>1</v>
      </c>
      <c r="J160" s="4">
        <f t="shared" si="45"/>
        <v>1</v>
      </c>
      <c r="K160" s="4" t="str">
        <f t="shared" si="46"/>
        <v/>
      </c>
      <c r="L160" s="4" t="str">
        <f t="shared" si="47"/>
        <v/>
      </c>
      <c r="M160" s="4" t="str">
        <f t="shared" si="48"/>
        <v/>
      </c>
      <c r="N160" s="4" t="str">
        <f t="shared" si="49"/>
        <v/>
      </c>
      <c r="O160" s="4" t="str">
        <f t="shared" si="50"/>
        <v/>
      </c>
      <c r="P160" s="4" t="str">
        <f t="shared" si="51"/>
        <v/>
      </c>
      <c r="Q160" s="4" t="str">
        <f t="shared" si="52"/>
        <v/>
      </c>
      <c r="R160" s="4" t="str">
        <f t="shared" si="53"/>
        <v/>
      </c>
      <c r="S160" s="4" t="str">
        <f t="shared" si="54"/>
        <v/>
      </c>
      <c r="T160" s="4" t="str">
        <f t="shared" si="55"/>
        <v/>
      </c>
      <c r="U160">
        <f>IF(VLOOKUP(C160,'QA Table'!$Y$5:$Y$20,1,TRUE)=C160,1,0)</f>
        <v>0</v>
      </c>
      <c r="V160" t="str">
        <f t="shared" si="56"/>
        <v/>
      </c>
      <c r="W160" t="str">
        <f t="shared" si="57"/>
        <v/>
      </c>
      <c r="X160">
        <f t="shared" si="58"/>
        <v>3</v>
      </c>
      <c r="Y160">
        <f t="shared" si="59"/>
        <v>0</v>
      </c>
      <c r="AA160">
        <f t="shared" si="60"/>
        <v>1</v>
      </c>
    </row>
    <row r="161" spans="1:27" x14ac:dyDescent="0.2">
      <c r="A161" t="s">
        <v>0</v>
      </c>
      <c r="B161" t="s">
        <v>32</v>
      </c>
      <c r="C161" t="s">
        <v>1285</v>
      </c>
      <c r="D161" t="s">
        <v>119</v>
      </c>
      <c r="E161" t="s">
        <v>12</v>
      </c>
      <c r="F161" t="s">
        <v>1280</v>
      </c>
      <c r="G161" t="s">
        <v>1281</v>
      </c>
      <c r="H161" s="4">
        <f t="shared" si="44"/>
        <v>1</v>
      </c>
      <c r="I161" s="4">
        <f>IF(RIGHT(B161,1)="M",IF(AND(H161=1,E161="RFS",D161=INDEX('Station Depth Averages'!$A$3:$B$84,MATCH(B161,'Station Depth Averages'!$A$3:$A$84,0),2)),1,""),IF(AND(H161=1,OR(D161="SYN",D161="SRF",D161="MID")),1,IF(AND(H161=1,OR(E162="FDn",E162="LDn")),1,IF(AND(H161=1,OR(E161="FDn",E161="LDn")),1,""))))</f>
        <v>1</v>
      </c>
      <c r="J161" s="4" t="str">
        <f t="shared" si="45"/>
        <v/>
      </c>
      <c r="K161" s="4" t="str">
        <f t="shared" si="46"/>
        <v/>
      </c>
      <c r="L161" s="4" t="str">
        <f t="shared" si="47"/>
        <v/>
      </c>
      <c r="M161" s="4" t="str">
        <f t="shared" si="48"/>
        <v/>
      </c>
      <c r="N161" s="4" t="str">
        <f t="shared" si="49"/>
        <v/>
      </c>
      <c r="O161" s="4" t="str">
        <f t="shared" si="50"/>
        <v/>
      </c>
      <c r="P161" s="4" t="str">
        <f t="shared" si="51"/>
        <v/>
      </c>
      <c r="Q161" s="4" t="str">
        <f t="shared" si="52"/>
        <v/>
      </c>
      <c r="R161" s="4" t="str">
        <f t="shared" si="53"/>
        <v/>
      </c>
      <c r="S161" s="4" t="str">
        <f t="shared" si="54"/>
        <v/>
      </c>
      <c r="T161" s="4" t="str">
        <f t="shared" si="55"/>
        <v/>
      </c>
      <c r="U161">
        <f>IF(VLOOKUP(C161,'QA Table'!$Y$5:$Y$20,1,TRUE)=C161,1,0)</f>
        <v>0</v>
      </c>
      <c r="V161" t="str">
        <f t="shared" si="56"/>
        <v/>
      </c>
      <c r="W161" t="str">
        <f t="shared" si="57"/>
        <v/>
      </c>
      <c r="X161">
        <f t="shared" si="58"/>
        <v>3</v>
      </c>
      <c r="Y161">
        <f t="shared" si="59"/>
        <v>0</v>
      </c>
      <c r="AA161">
        <f t="shared" si="60"/>
        <v>1</v>
      </c>
    </row>
    <row r="162" spans="1:27" x14ac:dyDescent="0.2">
      <c r="A162" t="s">
        <v>0</v>
      </c>
      <c r="B162" t="s">
        <v>32</v>
      </c>
      <c r="C162" t="s">
        <v>1286</v>
      </c>
      <c r="D162" t="s">
        <v>5</v>
      </c>
      <c r="E162" t="s">
        <v>3</v>
      </c>
      <c r="F162" t="s">
        <v>1280</v>
      </c>
      <c r="G162" t="s">
        <v>1281</v>
      </c>
      <c r="H162" s="4">
        <f t="shared" si="44"/>
        <v>1</v>
      </c>
      <c r="I162" s="4" t="str">
        <f>IF(RIGHT(B162,1)="M",IF(AND(H162=1,E162="RFS",D162=INDEX('Station Depth Averages'!$A$3:$B$84,MATCH(B162,'Station Depth Averages'!$A$3:$A$84,0),2)),1,""),IF(AND(H162=1,OR(D162="SYN",D162="SRF",D162="MID")),1,IF(AND(H162=1,OR(E163="FDn",E163="LDn")),1,IF(AND(H162=1,OR(E162="FDn",E162="LDn")),1,""))))</f>
        <v/>
      </c>
      <c r="J162" s="4">
        <f t="shared" si="45"/>
        <v>1</v>
      </c>
      <c r="K162" s="4" t="str">
        <f t="shared" si="46"/>
        <v/>
      </c>
      <c r="L162" s="4" t="str">
        <f t="shared" si="47"/>
        <v/>
      </c>
      <c r="M162" s="4" t="str">
        <f t="shared" si="48"/>
        <v/>
      </c>
      <c r="N162" s="4" t="str">
        <f t="shared" si="49"/>
        <v/>
      </c>
      <c r="O162" s="4" t="str">
        <f t="shared" si="50"/>
        <v/>
      </c>
      <c r="P162" s="4" t="str">
        <f t="shared" si="51"/>
        <v/>
      </c>
      <c r="Q162" s="4" t="str">
        <f t="shared" si="52"/>
        <v/>
      </c>
      <c r="R162" s="4" t="str">
        <f t="shared" si="53"/>
        <v/>
      </c>
      <c r="S162" s="4" t="str">
        <f t="shared" si="54"/>
        <v/>
      </c>
      <c r="T162" s="4" t="str">
        <f t="shared" si="55"/>
        <v/>
      </c>
      <c r="U162">
        <f>IF(VLOOKUP(C162,'QA Table'!$Y$5:$Y$20,1,TRUE)=C162,1,0)</f>
        <v>0</v>
      </c>
      <c r="V162" t="str">
        <f t="shared" si="56"/>
        <v/>
      </c>
      <c r="W162" t="str">
        <f t="shared" si="57"/>
        <v/>
      </c>
      <c r="X162">
        <f t="shared" si="58"/>
        <v>3</v>
      </c>
      <c r="Y162">
        <f t="shared" si="59"/>
        <v>0</v>
      </c>
      <c r="AA162">
        <f t="shared" si="60"/>
        <v>1</v>
      </c>
    </row>
    <row r="163" spans="1:27" x14ac:dyDescent="0.2">
      <c r="A163" t="s">
        <v>0</v>
      </c>
      <c r="B163" t="s">
        <v>32</v>
      </c>
      <c r="C163" t="s">
        <v>1287</v>
      </c>
      <c r="D163" t="s">
        <v>6</v>
      </c>
      <c r="E163" t="s">
        <v>3</v>
      </c>
      <c r="F163" t="s">
        <v>1280</v>
      </c>
      <c r="G163" t="s">
        <v>1281</v>
      </c>
      <c r="H163" s="4">
        <f t="shared" si="44"/>
        <v>1</v>
      </c>
      <c r="I163" s="4" t="str">
        <f>IF(RIGHT(B163,1)="M",IF(AND(H163=1,E163="RFS",D163=INDEX('Station Depth Averages'!$A$3:$B$84,MATCH(B163,'Station Depth Averages'!$A$3:$A$84,0),2)),1,""),IF(AND(H163=1,OR(D163="SYN",D163="SRF",D163="MID")),1,IF(AND(H163=1,OR(E164="FDn",E164="LDn")),1,IF(AND(H163=1,OR(E163="FDn",E163="LDn")),1,""))))</f>
        <v/>
      </c>
      <c r="J163" s="4">
        <f t="shared" si="45"/>
        <v>1</v>
      </c>
      <c r="K163" s="4" t="str">
        <f t="shared" si="46"/>
        <v/>
      </c>
      <c r="L163" s="4" t="str">
        <f t="shared" si="47"/>
        <v/>
      </c>
      <c r="M163" s="4" t="str">
        <f t="shared" si="48"/>
        <v/>
      </c>
      <c r="N163" s="4" t="str">
        <f t="shared" si="49"/>
        <v/>
      </c>
      <c r="O163" s="4" t="str">
        <f t="shared" si="50"/>
        <v/>
      </c>
      <c r="P163" s="4" t="str">
        <f t="shared" si="51"/>
        <v/>
      </c>
      <c r="Q163" s="4" t="str">
        <f t="shared" si="52"/>
        <v/>
      </c>
      <c r="R163" s="4" t="str">
        <f t="shared" si="53"/>
        <v/>
      </c>
      <c r="S163" s="4" t="str">
        <f t="shared" si="54"/>
        <v/>
      </c>
      <c r="T163" s="4" t="str">
        <f t="shared" si="55"/>
        <v/>
      </c>
      <c r="U163">
        <f>IF(VLOOKUP(C163,'QA Table'!$Y$5:$Y$20,1,TRUE)=C163,1,0)</f>
        <v>0</v>
      </c>
      <c r="V163" t="str">
        <f t="shared" si="56"/>
        <v/>
      </c>
      <c r="W163" t="str">
        <f t="shared" si="57"/>
        <v/>
      </c>
      <c r="X163">
        <f t="shared" si="58"/>
        <v>3</v>
      </c>
      <c r="Y163">
        <f t="shared" si="59"/>
        <v>0</v>
      </c>
      <c r="AA163">
        <f t="shared" si="60"/>
        <v>1</v>
      </c>
    </row>
    <row r="164" spans="1:27" x14ac:dyDescent="0.2">
      <c r="A164" t="s">
        <v>0</v>
      </c>
      <c r="B164" t="s">
        <v>32</v>
      </c>
      <c r="C164" t="s">
        <v>1288</v>
      </c>
      <c r="D164" t="s">
        <v>8</v>
      </c>
      <c r="E164" t="s">
        <v>3</v>
      </c>
      <c r="F164" t="s">
        <v>1280</v>
      </c>
      <c r="G164" t="s">
        <v>1281</v>
      </c>
      <c r="H164" s="4">
        <f t="shared" si="44"/>
        <v>1</v>
      </c>
      <c r="I164" s="4" t="str">
        <f>IF(RIGHT(B164,1)="M",IF(AND(H164=1,E164="RFS",D164=INDEX('Station Depth Averages'!$A$3:$B$84,MATCH(B164,'Station Depth Averages'!$A$3:$A$84,0),2)),1,""),IF(AND(H164=1,OR(D164="SYN",D164="SRF",D164="MID")),1,IF(AND(H164=1,OR(E165="FDn",E165="LDn")),1,IF(AND(H164=1,OR(E164="FDn",E164="LDn")),1,""))))</f>
        <v/>
      </c>
      <c r="J164" s="4" t="str">
        <f t="shared" si="45"/>
        <v/>
      </c>
      <c r="K164" s="4">
        <f t="shared" si="46"/>
        <v>1</v>
      </c>
      <c r="L164" s="4" t="str">
        <f t="shared" si="47"/>
        <v/>
      </c>
      <c r="M164" s="4" t="str">
        <f t="shared" si="48"/>
        <v/>
      </c>
      <c r="N164" s="4" t="str">
        <f t="shared" si="49"/>
        <v/>
      </c>
      <c r="O164" s="4" t="str">
        <f t="shared" si="50"/>
        <v/>
      </c>
      <c r="P164" s="4" t="str">
        <f t="shared" si="51"/>
        <v/>
      </c>
      <c r="Q164" s="4">
        <f t="shared" si="52"/>
        <v>2</v>
      </c>
      <c r="R164" s="4" t="str">
        <f t="shared" si="53"/>
        <v/>
      </c>
      <c r="S164" s="4" t="str">
        <f t="shared" si="54"/>
        <v/>
      </c>
      <c r="T164" s="4" t="str">
        <f t="shared" si="55"/>
        <v/>
      </c>
      <c r="U164">
        <f>IF(VLOOKUP(C164,'QA Table'!$Y$5:$Y$20,1,TRUE)=C164,1,0)</f>
        <v>0</v>
      </c>
      <c r="V164" t="str">
        <f t="shared" si="56"/>
        <v/>
      </c>
      <c r="W164" t="str">
        <f t="shared" si="57"/>
        <v/>
      </c>
      <c r="X164">
        <f t="shared" si="58"/>
        <v>3</v>
      </c>
      <c r="Y164">
        <f t="shared" si="59"/>
        <v>0</v>
      </c>
      <c r="AA164">
        <f t="shared" si="60"/>
        <v>1</v>
      </c>
    </row>
    <row r="165" spans="1:27" x14ac:dyDescent="0.2">
      <c r="A165" t="s">
        <v>0</v>
      </c>
      <c r="B165" t="s">
        <v>32</v>
      </c>
      <c r="C165" t="s">
        <v>1289</v>
      </c>
      <c r="D165" t="s">
        <v>9</v>
      </c>
      <c r="E165" t="s">
        <v>3</v>
      </c>
      <c r="F165" t="s">
        <v>1280</v>
      </c>
      <c r="G165" t="s">
        <v>1281</v>
      </c>
      <c r="H165" s="4" t="str">
        <f t="shared" si="44"/>
        <v/>
      </c>
      <c r="I165" s="4" t="str">
        <f>IF(RIGHT(B165,1)="M",IF(AND(H165=1,E165="RFS",D165=INDEX('Station Depth Averages'!$A$3:$B$84,MATCH(B165,'Station Depth Averages'!$A$3:$A$84,0),2)),1,""),IF(AND(H165=1,OR(D165="SYN",D165="SRF",D165="MID")),1,IF(AND(H165=1,OR(E166="FDn",E166="LDn")),1,IF(AND(H165=1,OR(E165="FDn",E165="LDn")),1,""))))</f>
        <v/>
      </c>
      <c r="J165" s="4" t="str">
        <f t="shared" si="45"/>
        <v/>
      </c>
      <c r="K165" s="4" t="str">
        <f t="shared" si="46"/>
        <v/>
      </c>
      <c r="L165" s="4" t="str">
        <f t="shared" si="47"/>
        <v/>
      </c>
      <c r="M165" s="4" t="str">
        <f t="shared" si="48"/>
        <v/>
      </c>
      <c r="N165" s="4" t="str">
        <f t="shared" si="49"/>
        <v/>
      </c>
      <c r="O165" s="4" t="str">
        <f t="shared" si="50"/>
        <v/>
      </c>
      <c r="P165" s="4" t="str">
        <f t="shared" si="51"/>
        <v/>
      </c>
      <c r="Q165" s="4" t="str">
        <f t="shared" si="52"/>
        <v/>
      </c>
      <c r="R165" s="4" t="str">
        <f t="shared" si="53"/>
        <v/>
      </c>
      <c r="S165" s="4" t="str">
        <f t="shared" si="54"/>
        <v/>
      </c>
      <c r="T165" s="4">
        <f t="shared" si="55"/>
        <v>1</v>
      </c>
      <c r="U165">
        <f>IF(VLOOKUP(C165,'QA Table'!$Y$5:$Y$20,1,TRUE)=C165,1,0)</f>
        <v>0</v>
      </c>
      <c r="V165" t="str">
        <f t="shared" si="56"/>
        <v/>
      </c>
      <c r="W165" t="str">
        <f t="shared" si="57"/>
        <v/>
      </c>
      <c r="X165" t="str">
        <f t="shared" si="58"/>
        <v/>
      </c>
      <c r="Y165">
        <f t="shared" si="59"/>
        <v>0</v>
      </c>
      <c r="AA165" t="str">
        <f t="shared" si="60"/>
        <v/>
      </c>
    </row>
    <row r="166" spans="1:27" x14ac:dyDescent="0.2">
      <c r="A166" t="s">
        <v>0</v>
      </c>
      <c r="B166" t="s">
        <v>32</v>
      </c>
      <c r="C166" t="s">
        <v>1290</v>
      </c>
      <c r="D166" t="s">
        <v>10</v>
      </c>
      <c r="E166" t="s">
        <v>3</v>
      </c>
      <c r="F166" t="s">
        <v>1280</v>
      </c>
      <c r="G166" t="s">
        <v>1281</v>
      </c>
      <c r="H166" s="4" t="str">
        <f t="shared" si="44"/>
        <v/>
      </c>
      <c r="I166" s="4" t="str">
        <f>IF(RIGHT(B166,1)="M",IF(AND(H166=1,E166="RFS",D166=INDEX('Station Depth Averages'!$A$3:$B$84,MATCH(B166,'Station Depth Averages'!$A$3:$A$84,0),2)),1,""),IF(AND(H166=1,OR(D166="SYN",D166="SRF",D166="MID")),1,IF(AND(H166=1,OR(E167="FDn",E167="LDn")),1,IF(AND(H166=1,OR(E166="FDn",E166="LDn")),1,""))))</f>
        <v/>
      </c>
      <c r="J166" s="4" t="str">
        <f t="shared" si="45"/>
        <v/>
      </c>
      <c r="K166" s="4" t="str">
        <f t="shared" si="46"/>
        <v/>
      </c>
      <c r="L166" s="4" t="str">
        <f t="shared" si="47"/>
        <v/>
      </c>
      <c r="M166" s="4" t="str">
        <f t="shared" si="48"/>
        <v/>
      </c>
      <c r="N166" s="4" t="str">
        <f t="shared" si="49"/>
        <v/>
      </c>
      <c r="O166" s="4" t="str">
        <f t="shared" si="50"/>
        <v/>
      </c>
      <c r="P166" s="4" t="str">
        <f t="shared" si="51"/>
        <v/>
      </c>
      <c r="Q166" s="4" t="str">
        <f t="shared" si="52"/>
        <v/>
      </c>
      <c r="R166" s="4" t="str">
        <f t="shared" si="53"/>
        <v/>
      </c>
      <c r="S166" s="4" t="str">
        <f t="shared" si="54"/>
        <v/>
      </c>
      <c r="T166" s="4">
        <f t="shared" si="55"/>
        <v>1</v>
      </c>
      <c r="U166">
        <f>IF(VLOOKUP(C166,'QA Table'!$Y$5:$Y$20,1,TRUE)=C166,1,0)</f>
        <v>0</v>
      </c>
      <c r="V166" t="str">
        <f t="shared" si="56"/>
        <v/>
      </c>
      <c r="W166" t="str">
        <f t="shared" si="57"/>
        <v/>
      </c>
      <c r="X166" t="str">
        <f t="shared" si="58"/>
        <v/>
      </c>
      <c r="Y166">
        <f t="shared" si="59"/>
        <v>0</v>
      </c>
      <c r="AA166" t="str">
        <f t="shared" si="60"/>
        <v/>
      </c>
    </row>
    <row r="167" spans="1:27" x14ac:dyDescent="0.2">
      <c r="A167" t="s">
        <v>0</v>
      </c>
      <c r="B167" t="s">
        <v>32</v>
      </c>
      <c r="C167" t="s">
        <v>1291</v>
      </c>
      <c r="D167" t="s">
        <v>1034</v>
      </c>
      <c r="E167" t="s">
        <v>3</v>
      </c>
      <c r="F167" t="s">
        <v>1280</v>
      </c>
      <c r="G167" t="s">
        <v>1281</v>
      </c>
      <c r="H167" s="4" t="str">
        <f t="shared" si="44"/>
        <v/>
      </c>
      <c r="I167" s="4" t="str">
        <f>IF(RIGHT(B167,1)="M",IF(AND(H167=1,E167="RFS",D167=INDEX('Station Depth Averages'!$A$3:$B$84,MATCH(B167,'Station Depth Averages'!$A$3:$A$84,0),2)),1,""),IF(AND(H167=1,OR(D167="SYN",D167="SRF",D167="MID")),1,IF(AND(H167=1,OR(E168="FDn",E168="LDn")),1,IF(AND(H167=1,OR(E167="FDn",E167="LDn")),1,""))))</f>
        <v/>
      </c>
      <c r="J167" s="4" t="str">
        <f t="shared" si="45"/>
        <v/>
      </c>
      <c r="K167" s="4" t="str">
        <f t="shared" si="46"/>
        <v/>
      </c>
      <c r="L167" s="4" t="str">
        <f t="shared" si="47"/>
        <v/>
      </c>
      <c r="M167" s="4" t="str">
        <f t="shared" si="48"/>
        <v/>
      </c>
      <c r="N167" s="4" t="str">
        <f t="shared" si="49"/>
        <v/>
      </c>
      <c r="O167" s="4" t="str">
        <f t="shared" si="50"/>
        <v/>
      </c>
      <c r="P167" s="4" t="str">
        <f t="shared" si="51"/>
        <v/>
      </c>
      <c r="Q167" s="4" t="str">
        <f t="shared" si="52"/>
        <v/>
      </c>
      <c r="R167" s="4" t="str">
        <f t="shared" si="53"/>
        <v/>
      </c>
      <c r="S167" s="4">
        <f t="shared" si="54"/>
        <v>1</v>
      </c>
      <c r="T167" s="4" t="str">
        <f t="shared" si="55"/>
        <v/>
      </c>
      <c r="U167">
        <f>IF(VLOOKUP(C167,'QA Table'!$Y$5:$Y$20,1,TRUE)=C167,1,0)</f>
        <v>0</v>
      </c>
      <c r="V167" t="str">
        <f t="shared" si="56"/>
        <v/>
      </c>
      <c r="W167" t="str">
        <f t="shared" si="57"/>
        <v/>
      </c>
      <c r="X167" t="str">
        <f t="shared" si="58"/>
        <v/>
      </c>
      <c r="Y167">
        <f t="shared" si="59"/>
        <v>0</v>
      </c>
      <c r="AA167" t="str">
        <f t="shared" si="60"/>
        <v/>
      </c>
    </row>
    <row r="168" spans="1:27" x14ac:dyDescent="0.2">
      <c r="A168" t="s">
        <v>0</v>
      </c>
      <c r="B168" t="s">
        <v>32</v>
      </c>
      <c r="C168" t="s">
        <v>1292</v>
      </c>
      <c r="D168" t="s">
        <v>1034</v>
      </c>
      <c r="E168" t="s">
        <v>19</v>
      </c>
      <c r="F168" t="s">
        <v>1280</v>
      </c>
      <c r="G168" t="s">
        <v>1281</v>
      </c>
      <c r="H168" s="4" t="str">
        <f t="shared" si="44"/>
        <v/>
      </c>
      <c r="I168" s="4" t="str">
        <f>IF(RIGHT(B168,1)="M",IF(AND(H168=1,E168="RFS",D168=INDEX('Station Depth Averages'!$A$3:$B$84,MATCH(B168,'Station Depth Averages'!$A$3:$A$84,0),2)),1,""),IF(AND(H168=1,OR(D168="SYN",D168="SRF",D168="MID")),1,IF(AND(H168=1,OR(E169="FDn",E169="LDn")),1,IF(AND(H168=1,OR(E168="FDn",E168="LDn")),1,""))))</f>
        <v/>
      </c>
      <c r="J168" s="4" t="str">
        <f t="shared" si="45"/>
        <v/>
      </c>
      <c r="K168" s="4" t="str">
        <f t="shared" si="46"/>
        <v/>
      </c>
      <c r="L168" s="4" t="str">
        <f t="shared" si="47"/>
        <v/>
      </c>
      <c r="M168" s="4" t="str">
        <f t="shared" si="48"/>
        <v/>
      </c>
      <c r="N168" s="4" t="str">
        <f t="shared" si="49"/>
        <v/>
      </c>
      <c r="O168" s="4" t="str">
        <f t="shared" si="50"/>
        <v/>
      </c>
      <c r="P168" s="4" t="str">
        <f t="shared" si="51"/>
        <v/>
      </c>
      <c r="Q168" s="4" t="str">
        <f t="shared" si="52"/>
        <v/>
      </c>
      <c r="R168" s="4" t="str">
        <f t="shared" si="53"/>
        <v/>
      </c>
      <c r="S168" s="4">
        <f t="shared" si="54"/>
        <v>1</v>
      </c>
      <c r="T168" s="4" t="str">
        <f t="shared" si="55"/>
        <v/>
      </c>
      <c r="U168">
        <f>IF(VLOOKUP(C168,'QA Table'!$Y$5:$Y$20,1,TRUE)=C168,1,0)</f>
        <v>0</v>
      </c>
      <c r="V168" t="str">
        <f t="shared" si="56"/>
        <v/>
      </c>
      <c r="W168" t="str">
        <f t="shared" si="57"/>
        <v/>
      </c>
      <c r="X168" t="str">
        <f t="shared" si="58"/>
        <v/>
      </c>
      <c r="Y168">
        <f t="shared" si="59"/>
        <v>0</v>
      </c>
      <c r="AA168" t="str">
        <f t="shared" si="60"/>
        <v/>
      </c>
    </row>
    <row r="169" spans="1:27" x14ac:dyDescent="0.2">
      <c r="A169" t="s">
        <v>0</v>
      </c>
      <c r="B169" t="s">
        <v>33</v>
      </c>
      <c r="C169" t="s">
        <v>1293</v>
      </c>
      <c r="D169" t="s">
        <v>14</v>
      </c>
      <c r="E169" t="s">
        <v>15</v>
      </c>
      <c r="F169" t="s">
        <v>1294</v>
      </c>
      <c r="G169" t="s">
        <v>1281</v>
      </c>
      <c r="H169" s="4">
        <f t="shared" si="44"/>
        <v>1</v>
      </c>
      <c r="I169" s="4">
        <f>IF(RIGHT(B169,1)="M",IF(AND(H169=1,E169="RFS",D169=INDEX('Station Depth Averages'!$A$3:$B$84,MATCH(B169,'Station Depth Averages'!$A$3:$A$84,0),2)),1,""),IF(AND(H169=1,OR(D169="SYN",D169="SRF",D169="MID")),1,IF(AND(H169=1,OR(E170="FDn",E170="LDn")),1,IF(AND(H169=1,OR(E169="FDn",E169="LDn")),1,""))))</f>
        <v>1</v>
      </c>
      <c r="J169" s="4">
        <f t="shared" si="45"/>
        <v>1</v>
      </c>
      <c r="K169" s="4" t="str">
        <f t="shared" si="46"/>
        <v/>
      </c>
      <c r="L169" s="4" t="str">
        <f t="shared" si="47"/>
        <v/>
      </c>
      <c r="M169" s="4" t="str">
        <f t="shared" si="48"/>
        <v/>
      </c>
      <c r="N169" s="4" t="str">
        <f t="shared" si="49"/>
        <v/>
      </c>
      <c r="O169" s="4" t="str">
        <f t="shared" si="50"/>
        <v/>
      </c>
      <c r="P169" s="4" t="str">
        <f t="shared" si="51"/>
        <v/>
      </c>
      <c r="Q169" s="4" t="str">
        <f t="shared" si="52"/>
        <v/>
      </c>
      <c r="R169" s="4" t="str">
        <f t="shared" si="53"/>
        <v/>
      </c>
      <c r="S169" s="4" t="str">
        <f t="shared" si="54"/>
        <v/>
      </c>
      <c r="T169" s="4" t="str">
        <f t="shared" si="55"/>
        <v/>
      </c>
      <c r="U169">
        <f>IF(VLOOKUP(C169,'QA Table'!$Y$5:$Y$20,1,TRUE)=C169,1,0)</f>
        <v>0</v>
      </c>
      <c r="V169" t="str">
        <f t="shared" si="56"/>
        <v/>
      </c>
      <c r="W169" t="str">
        <f t="shared" si="57"/>
        <v/>
      </c>
      <c r="X169">
        <f t="shared" si="58"/>
        <v>3</v>
      </c>
      <c r="Y169">
        <f t="shared" si="59"/>
        <v>0</v>
      </c>
      <c r="AA169">
        <f t="shared" si="60"/>
        <v>1</v>
      </c>
    </row>
    <row r="170" spans="1:27" x14ac:dyDescent="0.2">
      <c r="A170" t="s">
        <v>0</v>
      </c>
      <c r="B170" t="s">
        <v>33</v>
      </c>
      <c r="C170" t="s">
        <v>1085</v>
      </c>
      <c r="D170" t="s">
        <v>2</v>
      </c>
      <c r="E170" t="s">
        <v>3</v>
      </c>
      <c r="F170" t="s">
        <v>1294</v>
      </c>
      <c r="G170" t="s">
        <v>1281</v>
      </c>
      <c r="H170" s="4">
        <f t="shared" si="44"/>
        <v>1</v>
      </c>
      <c r="I170" s="4">
        <f>IF(RIGHT(B170,1)="M",IF(AND(H170=1,E170="RFS",D170=INDEX('Station Depth Averages'!$A$3:$B$84,MATCH(B170,'Station Depth Averages'!$A$3:$A$84,0),2)),1,""),IF(AND(H170=1,OR(D170="SYN",D170="SRF",D170="MID")),1,IF(AND(H170=1,OR(E171="FDn",E171="LDn")),1,IF(AND(H170=1,OR(E170="FDn",E170="LDn")),1,""))))</f>
        <v>1</v>
      </c>
      <c r="J170" s="4">
        <f t="shared" si="45"/>
        <v>1</v>
      </c>
      <c r="K170" s="4" t="str">
        <f t="shared" si="46"/>
        <v/>
      </c>
      <c r="L170" s="4" t="str">
        <f t="shared" si="47"/>
        <v/>
      </c>
      <c r="M170" s="4" t="str">
        <f t="shared" si="48"/>
        <v/>
      </c>
      <c r="N170" s="4" t="str">
        <f t="shared" si="49"/>
        <v/>
      </c>
      <c r="O170" s="4" t="str">
        <f t="shared" si="50"/>
        <v/>
      </c>
      <c r="P170" s="4" t="str">
        <f t="shared" si="51"/>
        <v/>
      </c>
      <c r="Q170" s="4" t="str">
        <f t="shared" si="52"/>
        <v/>
      </c>
      <c r="R170" s="4" t="str">
        <f t="shared" si="53"/>
        <v/>
      </c>
      <c r="S170" s="4" t="str">
        <f t="shared" si="54"/>
        <v/>
      </c>
      <c r="T170" s="4" t="str">
        <f t="shared" si="55"/>
        <v/>
      </c>
      <c r="U170">
        <f>IF(VLOOKUP(C170,'QA Table'!$Y$5:$Y$20,1,TRUE)=C170,1,0)</f>
        <v>0</v>
      </c>
      <c r="V170" t="str">
        <f t="shared" si="56"/>
        <v/>
      </c>
      <c r="W170" t="str">
        <f t="shared" si="57"/>
        <v/>
      </c>
      <c r="X170">
        <f t="shared" si="58"/>
        <v>3</v>
      </c>
      <c r="Y170">
        <f t="shared" si="59"/>
        <v>0</v>
      </c>
      <c r="AA170">
        <f t="shared" si="60"/>
        <v>1</v>
      </c>
    </row>
    <row r="171" spans="1:27" x14ac:dyDescent="0.2">
      <c r="A171" t="s">
        <v>0</v>
      </c>
      <c r="B171" t="s">
        <v>33</v>
      </c>
      <c r="C171" t="s">
        <v>1295</v>
      </c>
      <c r="D171" t="s">
        <v>1050</v>
      </c>
      <c r="E171" t="s">
        <v>3</v>
      </c>
      <c r="F171" t="s">
        <v>1294</v>
      </c>
      <c r="G171" t="s">
        <v>1281</v>
      </c>
      <c r="H171" s="4" t="str">
        <f t="shared" si="44"/>
        <v/>
      </c>
      <c r="I171" s="4" t="str">
        <f>IF(RIGHT(B171,1)="M",IF(AND(H171=1,E171="RFS",D171=INDEX('Station Depth Averages'!$A$3:$B$84,MATCH(B171,'Station Depth Averages'!$A$3:$A$84,0),2)),1,""),IF(AND(H171=1,OR(D171="SYN",D171="SRF",D171="MID")),1,IF(AND(H171=1,OR(E172="FDn",E172="LDn")),1,IF(AND(H171=1,OR(E171="FDn",E171="LDn")),1,""))))</f>
        <v/>
      </c>
      <c r="J171" s="4" t="str">
        <f t="shared" si="45"/>
        <v/>
      </c>
      <c r="K171" s="4" t="str">
        <f t="shared" si="46"/>
        <v/>
      </c>
      <c r="L171" s="4" t="str">
        <f t="shared" si="47"/>
        <v/>
      </c>
      <c r="M171" s="4" t="str">
        <f t="shared" si="48"/>
        <v/>
      </c>
      <c r="N171" s="4" t="str">
        <f t="shared" si="49"/>
        <v/>
      </c>
      <c r="O171" s="4" t="str">
        <f t="shared" si="50"/>
        <v/>
      </c>
      <c r="P171" s="4" t="str">
        <f t="shared" si="51"/>
        <v/>
      </c>
      <c r="Q171" s="4" t="str">
        <f t="shared" si="52"/>
        <v/>
      </c>
      <c r="R171" s="4" t="str">
        <f t="shared" si="53"/>
        <v/>
      </c>
      <c r="S171" s="4" t="str">
        <f t="shared" si="54"/>
        <v/>
      </c>
      <c r="T171" s="4" t="str">
        <f t="shared" si="55"/>
        <v/>
      </c>
      <c r="U171">
        <f>IF(VLOOKUP(C171,'QA Table'!$Y$5:$Y$20,1,TRUE)=C171,1,0)</f>
        <v>0</v>
      </c>
      <c r="V171" t="str">
        <f t="shared" si="56"/>
        <v/>
      </c>
      <c r="W171" t="str">
        <f t="shared" si="57"/>
        <v/>
      </c>
      <c r="X171" t="str">
        <f t="shared" si="58"/>
        <v/>
      </c>
      <c r="Y171">
        <f t="shared" si="59"/>
        <v>0</v>
      </c>
      <c r="AA171" t="str">
        <f t="shared" si="60"/>
        <v/>
      </c>
    </row>
    <row r="172" spans="1:27" x14ac:dyDescent="0.2">
      <c r="A172" t="s">
        <v>0</v>
      </c>
      <c r="B172" t="s">
        <v>33</v>
      </c>
      <c r="C172" t="s">
        <v>1296</v>
      </c>
      <c r="D172" t="s">
        <v>4</v>
      </c>
      <c r="E172" t="s">
        <v>3</v>
      </c>
      <c r="F172" t="s">
        <v>1294</v>
      </c>
      <c r="G172" t="s">
        <v>1281</v>
      </c>
      <c r="H172" s="4" t="str">
        <f t="shared" si="44"/>
        <v/>
      </c>
      <c r="I172" s="4" t="str">
        <f>IF(RIGHT(B172,1)="M",IF(AND(H172=1,E172="RFS",D172=INDEX('Station Depth Averages'!$A$3:$B$84,MATCH(B172,'Station Depth Averages'!$A$3:$A$84,0),2)),1,""),IF(AND(H172=1,OR(D172="SYN",D172="SRF",D172="MID")),1,IF(AND(H172=1,OR(E173="FDn",E173="LDn")),1,IF(AND(H172=1,OR(E172="FDn",E172="LDn")),1,""))))</f>
        <v/>
      </c>
      <c r="J172" s="4" t="str">
        <f t="shared" si="45"/>
        <v/>
      </c>
      <c r="K172" s="4" t="str">
        <f t="shared" si="46"/>
        <v/>
      </c>
      <c r="L172" s="4" t="str">
        <f t="shared" si="47"/>
        <v/>
      </c>
      <c r="M172" s="4" t="str">
        <f t="shared" si="48"/>
        <v/>
      </c>
      <c r="N172" s="4" t="str">
        <f t="shared" si="49"/>
        <v/>
      </c>
      <c r="O172" s="4" t="str">
        <f t="shared" si="50"/>
        <v/>
      </c>
      <c r="P172" s="4" t="str">
        <f t="shared" si="51"/>
        <v/>
      </c>
      <c r="Q172" s="4" t="str">
        <f t="shared" si="52"/>
        <v/>
      </c>
      <c r="R172" s="4" t="str">
        <f t="shared" si="53"/>
        <v/>
      </c>
      <c r="S172" s="4" t="str">
        <f t="shared" si="54"/>
        <v/>
      </c>
      <c r="T172" s="4" t="str">
        <f t="shared" si="55"/>
        <v/>
      </c>
      <c r="U172">
        <f>IF(VLOOKUP(C172,'QA Table'!$Y$5:$Y$20,1,TRUE)=C172,1,0)</f>
        <v>0</v>
      </c>
      <c r="V172" t="str">
        <f t="shared" si="56"/>
        <v/>
      </c>
      <c r="W172" t="str">
        <f t="shared" si="57"/>
        <v/>
      </c>
      <c r="X172" t="str">
        <f t="shared" si="58"/>
        <v/>
      </c>
      <c r="Y172">
        <f t="shared" si="59"/>
        <v>0</v>
      </c>
      <c r="AA172" t="str">
        <f t="shared" si="60"/>
        <v/>
      </c>
    </row>
    <row r="173" spans="1:27" x14ac:dyDescent="0.2">
      <c r="A173" t="s">
        <v>0</v>
      </c>
      <c r="B173" t="s">
        <v>33</v>
      </c>
      <c r="C173" t="s">
        <v>1297</v>
      </c>
      <c r="D173" t="s">
        <v>1051</v>
      </c>
      <c r="E173" t="s">
        <v>3</v>
      </c>
      <c r="F173" t="s">
        <v>1294</v>
      </c>
      <c r="G173" t="s">
        <v>1281</v>
      </c>
      <c r="H173" s="4" t="str">
        <f t="shared" si="44"/>
        <v/>
      </c>
      <c r="I173" s="4" t="str">
        <f>IF(RIGHT(B173,1)="M",IF(AND(H173=1,E173="RFS",D173=INDEX('Station Depth Averages'!$A$3:$B$84,MATCH(B173,'Station Depth Averages'!$A$3:$A$84,0),2)),1,""),IF(AND(H173=1,OR(D173="SYN",D173="SRF",D173="MID")),1,IF(AND(H173=1,OR(E174="FDn",E174="LDn")),1,IF(AND(H173=1,OR(E173="FDn",E173="LDn")),1,""))))</f>
        <v/>
      </c>
      <c r="J173" s="4" t="str">
        <f t="shared" si="45"/>
        <v/>
      </c>
      <c r="K173" s="4" t="str">
        <f t="shared" si="46"/>
        <v/>
      </c>
      <c r="L173" s="4" t="str">
        <f t="shared" si="47"/>
        <v/>
      </c>
      <c r="M173" s="4" t="str">
        <f t="shared" si="48"/>
        <v/>
      </c>
      <c r="N173" s="4" t="str">
        <f t="shared" si="49"/>
        <v/>
      </c>
      <c r="O173" s="4" t="str">
        <f t="shared" si="50"/>
        <v/>
      </c>
      <c r="P173" s="4" t="str">
        <f t="shared" si="51"/>
        <v/>
      </c>
      <c r="Q173" s="4" t="str">
        <f t="shared" si="52"/>
        <v/>
      </c>
      <c r="R173" s="4" t="str">
        <f t="shared" si="53"/>
        <v/>
      </c>
      <c r="S173" s="4" t="str">
        <f t="shared" si="54"/>
        <v/>
      </c>
      <c r="T173" s="4" t="str">
        <f t="shared" si="55"/>
        <v/>
      </c>
      <c r="U173">
        <f>IF(VLOOKUP(C173,'QA Table'!$Y$5:$Y$20,1,TRUE)=C173,1,0)</f>
        <v>0</v>
      </c>
      <c r="V173" t="str">
        <f t="shared" si="56"/>
        <v/>
      </c>
      <c r="W173" t="str">
        <f t="shared" si="57"/>
        <v/>
      </c>
      <c r="X173" t="str">
        <f t="shared" si="58"/>
        <v/>
      </c>
      <c r="Y173">
        <f t="shared" si="59"/>
        <v>0</v>
      </c>
      <c r="AA173" t="str">
        <f t="shared" si="60"/>
        <v/>
      </c>
    </row>
    <row r="174" spans="1:27" x14ac:dyDescent="0.2">
      <c r="A174" t="s">
        <v>0</v>
      </c>
      <c r="B174" t="s">
        <v>33</v>
      </c>
      <c r="C174" t="s">
        <v>1298</v>
      </c>
      <c r="D174" t="s">
        <v>119</v>
      </c>
      <c r="E174" t="s">
        <v>3</v>
      </c>
      <c r="F174" t="s">
        <v>1294</v>
      </c>
      <c r="G174" t="s">
        <v>1281</v>
      </c>
      <c r="H174" s="4">
        <f t="shared" si="44"/>
        <v>1</v>
      </c>
      <c r="I174" s="4">
        <f>IF(RIGHT(B174,1)="M",IF(AND(H174=1,E174="RFS",D174=INDEX('Station Depth Averages'!$A$3:$B$84,MATCH(B174,'Station Depth Averages'!$A$3:$A$84,0),2)),1,""),IF(AND(H174=1,OR(D174="SYN",D174="SRF",D174="MID")),1,IF(AND(H174=1,OR(E175="FDn",E175="LDn")),1,IF(AND(H174=1,OR(E174="FDn",E174="LDn")),1,""))))</f>
        <v>1</v>
      </c>
      <c r="J174" s="4">
        <f t="shared" si="45"/>
        <v>1</v>
      </c>
      <c r="K174" s="4" t="str">
        <f t="shared" si="46"/>
        <v/>
      </c>
      <c r="L174" s="4" t="str">
        <f t="shared" si="47"/>
        <v/>
      </c>
      <c r="M174" s="4" t="str">
        <f t="shared" si="48"/>
        <v/>
      </c>
      <c r="N174" s="4" t="str">
        <f t="shared" si="49"/>
        <v/>
      </c>
      <c r="O174" s="4" t="str">
        <f t="shared" si="50"/>
        <v/>
      </c>
      <c r="P174" s="4" t="str">
        <f t="shared" si="51"/>
        <v/>
      </c>
      <c r="Q174" s="4" t="str">
        <f t="shared" si="52"/>
        <v/>
      </c>
      <c r="R174" s="4" t="str">
        <f t="shared" si="53"/>
        <v/>
      </c>
      <c r="S174" s="4" t="str">
        <f t="shared" si="54"/>
        <v/>
      </c>
      <c r="T174" s="4" t="str">
        <f t="shared" si="55"/>
        <v/>
      </c>
      <c r="U174">
        <f>IF(VLOOKUP(C174,'QA Table'!$Y$5:$Y$20,1,TRUE)=C174,1,0)</f>
        <v>0</v>
      </c>
      <c r="V174" t="str">
        <f t="shared" si="56"/>
        <v/>
      </c>
      <c r="W174" t="str">
        <f t="shared" si="57"/>
        <v/>
      </c>
      <c r="X174">
        <f t="shared" si="58"/>
        <v>3</v>
      </c>
      <c r="Y174">
        <f t="shared" si="59"/>
        <v>0</v>
      </c>
      <c r="AA174">
        <f t="shared" si="60"/>
        <v>1</v>
      </c>
    </row>
    <row r="175" spans="1:27" x14ac:dyDescent="0.2">
      <c r="A175" t="s">
        <v>0</v>
      </c>
      <c r="B175" t="s">
        <v>33</v>
      </c>
      <c r="C175" t="s">
        <v>1299</v>
      </c>
      <c r="D175" t="s">
        <v>5</v>
      </c>
      <c r="E175" t="s">
        <v>3</v>
      </c>
      <c r="F175" t="s">
        <v>1294</v>
      </c>
      <c r="G175" t="s">
        <v>1281</v>
      </c>
      <c r="H175" s="4">
        <f t="shared" si="44"/>
        <v>1</v>
      </c>
      <c r="I175" s="4" t="str">
        <f>IF(RIGHT(B175,1)="M",IF(AND(H175=1,E175="RFS",D175=INDEX('Station Depth Averages'!$A$3:$B$84,MATCH(B175,'Station Depth Averages'!$A$3:$A$84,0),2)),1,""),IF(AND(H175=1,OR(D175="SYN",D175="SRF",D175="MID")),1,IF(AND(H175=1,OR(E176="FDn",E176="LDn")),1,IF(AND(H175=1,OR(E175="FDn",E175="LDn")),1,""))))</f>
        <v/>
      </c>
      <c r="J175" s="4">
        <f t="shared" si="45"/>
        <v>1</v>
      </c>
      <c r="K175" s="4" t="str">
        <f t="shared" si="46"/>
        <v/>
      </c>
      <c r="L175" s="4" t="str">
        <f t="shared" si="47"/>
        <v/>
      </c>
      <c r="M175" s="4" t="str">
        <f t="shared" si="48"/>
        <v/>
      </c>
      <c r="N175" s="4" t="str">
        <f t="shared" si="49"/>
        <v/>
      </c>
      <c r="O175" s="4" t="str">
        <f t="shared" si="50"/>
        <v/>
      </c>
      <c r="P175" s="4" t="str">
        <f t="shared" si="51"/>
        <v/>
      </c>
      <c r="Q175" s="4" t="str">
        <f t="shared" si="52"/>
        <v/>
      </c>
      <c r="R175" s="4" t="str">
        <f t="shared" si="53"/>
        <v/>
      </c>
      <c r="S175" s="4" t="str">
        <f t="shared" si="54"/>
        <v/>
      </c>
      <c r="T175" s="4" t="str">
        <f t="shared" si="55"/>
        <v/>
      </c>
      <c r="U175">
        <f>IF(VLOOKUP(C175,'QA Table'!$Y$5:$Y$20,1,TRUE)=C175,1,0)</f>
        <v>0</v>
      </c>
      <c r="V175" t="str">
        <f t="shared" si="56"/>
        <v/>
      </c>
      <c r="W175" t="str">
        <f t="shared" si="57"/>
        <v/>
      </c>
      <c r="X175">
        <f t="shared" si="58"/>
        <v>3</v>
      </c>
      <c r="Y175">
        <f t="shared" si="59"/>
        <v>0</v>
      </c>
      <c r="AA175">
        <f t="shared" si="60"/>
        <v>1</v>
      </c>
    </row>
    <row r="176" spans="1:27" x14ac:dyDescent="0.2">
      <c r="A176" t="s">
        <v>0</v>
      </c>
      <c r="B176" t="s">
        <v>33</v>
      </c>
      <c r="C176" t="s">
        <v>1300</v>
      </c>
      <c r="D176" t="s">
        <v>6</v>
      </c>
      <c r="E176" t="s">
        <v>3</v>
      </c>
      <c r="F176" t="s">
        <v>1294</v>
      </c>
      <c r="G176" t="s">
        <v>1281</v>
      </c>
      <c r="H176" s="4">
        <f t="shared" si="44"/>
        <v>1</v>
      </c>
      <c r="I176" s="4" t="str">
        <f>IF(RIGHT(B176,1)="M",IF(AND(H176=1,E176="RFS",D176=INDEX('Station Depth Averages'!$A$3:$B$84,MATCH(B176,'Station Depth Averages'!$A$3:$A$84,0),2)),1,""),IF(AND(H176=1,OR(D176="SYN",D176="SRF",D176="MID")),1,IF(AND(H176=1,OR(E177="FDn",E177="LDn")),1,IF(AND(H176=1,OR(E176="FDn",E176="LDn")),1,""))))</f>
        <v/>
      </c>
      <c r="J176" s="4">
        <f t="shared" si="45"/>
        <v>1</v>
      </c>
      <c r="K176" s="4" t="str">
        <f t="shared" si="46"/>
        <v/>
      </c>
      <c r="L176" s="4" t="str">
        <f t="shared" si="47"/>
        <v/>
      </c>
      <c r="M176" s="4" t="str">
        <f t="shared" si="48"/>
        <v/>
      </c>
      <c r="N176" s="4" t="str">
        <f t="shared" si="49"/>
        <v/>
      </c>
      <c r="O176" s="4" t="str">
        <f t="shared" si="50"/>
        <v/>
      </c>
      <c r="P176" s="4" t="str">
        <f t="shared" si="51"/>
        <v/>
      </c>
      <c r="Q176" s="4" t="str">
        <f t="shared" si="52"/>
        <v/>
      </c>
      <c r="R176" s="4" t="str">
        <f t="shared" si="53"/>
        <v/>
      </c>
      <c r="S176" s="4" t="str">
        <f t="shared" si="54"/>
        <v/>
      </c>
      <c r="T176" s="4" t="str">
        <f t="shared" si="55"/>
        <v/>
      </c>
      <c r="U176">
        <f>IF(VLOOKUP(C176,'QA Table'!$Y$5:$Y$20,1,TRUE)=C176,1,0)</f>
        <v>0</v>
      </c>
      <c r="V176" t="str">
        <f t="shared" si="56"/>
        <v/>
      </c>
      <c r="W176" t="str">
        <f t="shared" si="57"/>
        <v/>
      </c>
      <c r="X176">
        <f t="shared" si="58"/>
        <v>3</v>
      </c>
      <c r="Y176">
        <f t="shared" si="59"/>
        <v>0</v>
      </c>
      <c r="AA176">
        <f t="shared" si="60"/>
        <v>1</v>
      </c>
    </row>
    <row r="177" spans="1:27" x14ac:dyDescent="0.2">
      <c r="A177" t="s">
        <v>0</v>
      </c>
      <c r="B177" t="s">
        <v>33</v>
      </c>
      <c r="C177" t="s">
        <v>1301</v>
      </c>
      <c r="D177" t="s">
        <v>8</v>
      </c>
      <c r="E177" t="s">
        <v>3</v>
      </c>
      <c r="F177" t="s">
        <v>1294</v>
      </c>
      <c r="G177" t="s">
        <v>1281</v>
      </c>
      <c r="H177" s="4">
        <f t="shared" si="44"/>
        <v>1</v>
      </c>
      <c r="I177" s="4" t="str">
        <f>IF(RIGHT(B177,1)="M",IF(AND(H177=1,E177="RFS",D177=INDEX('Station Depth Averages'!$A$3:$B$84,MATCH(B177,'Station Depth Averages'!$A$3:$A$84,0),2)),1,""),IF(AND(H177=1,OR(D177="SYN",D177="SRF",D177="MID")),1,IF(AND(H177=1,OR(E178="FDn",E178="LDn")),1,IF(AND(H177=1,OR(E177="FDn",E177="LDn")),1,""))))</f>
        <v/>
      </c>
      <c r="J177" s="4" t="str">
        <f t="shared" si="45"/>
        <v/>
      </c>
      <c r="K177" s="4">
        <f t="shared" si="46"/>
        <v>1</v>
      </c>
      <c r="L177" s="4" t="str">
        <f t="shared" si="47"/>
        <v/>
      </c>
      <c r="M177" s="4" t="str">
        <f t="shared" si="48"/>
        <v/>
      </c>
      <c r="N177" s="4" t="str">
        <f t="shared" si="49"/>
        <v/>
      </c>
      <c r="O177" s="4" t="str">
        <f t="shared" si="50"/>
        <v/>
      </c>
      <c r="P177" s="4" t="str">
        <f t="shared" si="51"/>
        <v/>
      </c>
      <c r="Q177" s="4">
        <f t="shared" si="52"/>
        <v>2</v>
      </c>
      <c r="R177" s="4" t="str">
        <f t="shared" si="53"/>
        <v/>
      </c>
      <c r="S177" s="4" t="str">
        <f t="shared" si="54"/>
        <v/>
      </c>
      <c r="T177" s="4" t="str">
        <f t="shared" si="55"/>
        <v/>
      </c>
      <c r="U177">
        <f>IF(VLOOKUP(C177,'QA Table'!$Y$5:$Y$20,1,TRUE)=C177,1,0)</f>
        <v>0</v>
      </c>
      <c r="V177" t="str">
        <f t="shared" si="56"/>
        <v/>
      </c>
      <c r="W177" t="str">
        <f t="shared" si="57"/>
        <v/>
      </c>
      <c r="X177">
        <f t="shared" si="58"/>
        <v>3</v>
      </c>
      <c r="Y177">
        <f t="shared" si="59"/>
        <v>0</v>
      </c>
      <c r="AA177">
        <f t="shared" si="60"/>
        <v>1</v>
      </c>
    </row>
    <row r="178" spans="1:27" x14ac:dyDescent="0.2">
      <c r="A178" t="s">
        <v>0</v>
      </c>
      <c r="B178" t="s">
        <v>33</v>
      </c>
      <c r="C178" t="s">
        <v>1302</v>
      </c>
      <c r="D178" t="s">
        <v>9</v>
      </c>
      <c r="E178" t="s">
        <v>3</v>
      </c>
      <c r="F178" t="s">
        <v>1294</v>
      </c>
      <c r="G178" t="s">
        <v>1281</v>
      </c>
      <c r="H178" s="4" t="str">
        <f t="shared" si="44"/>
        <v/>
      </c>
      <c r="I178" s="4" t="str">
        <f>IF(RIGHT(B178,1)="M",IF(AND(H178=1,E178="RFS",D178=INDEX('Station Depth Averages'!$A$3:$B$84,MATCH(B178,'Station Depth Averages'!$A$3:$A$84,0),2)),1,""),IF(AND(H178=1,OR(D178="SYN",D178="SRF",D178="MID")),1,IF(AND(H178=1,OR(E179="FDn",E179="LDn")),1,IF(AND(H178=1,OR(E178="FDn",E178="LDn")),1,""))))</f>
        <v/>
      </c>
      <c r="J178" s="4" t="str">
        <f t="shared" si="45"/>
        <v/>
      </c>
      <c r="K178" s="4" t="str">
        <f t="shared" si="46"/>
        <v/>
      </c>
      <c r="L178" s="4" t="str">
        <f t="shared" si="47"/>
        <v/>
      </c>
      <c r="M178" s="4" t="str">
        <f t="shared" si="48"/>
        <v/>
      </c>
      <c r="N178" s="4" t="str">
        <f t="shared" si="49"/>
        <v/>
      </c>
      <c r="O178" s="4" t="str">
        <f t="shared" si="50"/>
        <v/>
      </c>
      <c r="P178" s="4" t="str">
        <f t="shared" si="51"/>
        <v/>
      </c>
      <c r="Q178" s="4" t="str">
        <f t="shared" si="52"/>
        <v/>
      </c>
      <c r="R178" s="4" t="str">
        <f t="shared" si="53"/>
        <v/>
      </c>
      <c r="S178" s="4" t="str">
        <f t="shared" si="54"/>
        <v/>
      </c>
      <c r="T178" s="4">
        <f t="shared" si="55"/>
        <v>1</v>
      </c>
      <c r="U178">
        <f>IF(VLOOKUP(C178,'QA Table'!$Y$5:$Y$20,1,TRUE)=C178,1,0)</f>
        <v>0</v>
      </c>
      <c r="V178" t="str">
        <f t="shared" si="56"/>
        <v/>
      </c>
      <c r="W178" t="str">
        <f t="shared" si="57"/>
        <v/>
      </c>
      <c r="X178" t="str">
        <f t="shared" si="58"/>
        <v/>
      </c>
      <c r="Y178">
        <f t="shared" si="59"/>
        <v>0</v>
      </c>
      <c r="AA178" t="str">
        <f t="shared" si="60"/>
        <v/>
      </c>
    </row>
    <row r="179" spans="1:27" x14ac:dyDescent="0.2">
      <c r="A179" t="s">
        <v>0</v>
      </c>
      <c r="B179" t="s">
        <v>33</v>
      </c>
      <c r="C179" t="s">
        <v>1303</v>
      </c>
      <c r="D179" t="s">
        <v>10</v>
      </c>
      <c r="E179" t="s">
        <v>3</v>
      </c>
      <c r="F179" t="s">
        <v>1294</v>
      </c>
      <c r="G179" t="s">
        <v>1281</v>
      </c>
      <c r="H179" s="4" t="str">
        <f t="shared" si="44"/>
        <v/>
      </c>
      <c r="I179" s="4" t="str">
        <f>IF(RIGHT(B179,1)="M",IF(AND(H179=1,E179="RFS",D179=INDEX('Station Depth Averages'!$A$3:$B$84,MATCH(B179,'Station Depth Averages'!$A$3:$A$84,0),2)),1,""),IF(AND(H179=1,OR(D179="SYN",D179="SRF",D179="MID")),1,IF(AND(H179=1,OR(E180="FDn",E180="LDn")),1,IF(AND(H179=1,OR(E179="FDn",E179="LDn")),1,""))))</f>
        <v/>
      </c>
      <c r="J179" s="4" t="str">
        <f t="shared" si="45"/>
        <v/>
      </c>
      <c r="K179" s="4" t="str">
        <f t="shared" si="46"/>
        <v/>
      </c>
      <c r="L179" s="4" t="str">
        <f t="shared" si="47"/>
        <v/>
      </c>
      <c r="M179" s="4" t="str">
        <f t="shared" si="48"/>
        <v/>
      </c>
      <c r="N179" s="4" t="str">
        <f t="shared" si="49"/>
        <v/>
      </c>
      <c r="O179" s="4" t="str">
        <f t="shared" si="50"/>
        <v/>
      </c>
      <c r="P179" s="4" t="str">
        <f t="shared" si="51"/>
        <v/>
      </c>
      <c r="Q179" s="4" t="str">
        <f t="shared" si="52"/>
        <v/>
      </c>
      <c r="R179" s="4" t="str">
        <f t="shared" si="53"/>
        <v/>
      </c>
      <c r="S179" s="4" t="str">
        <f t="shared" si="54"/>
        <v/>
      </c>
      <c r="T179" s="4">
        <f t="shared" si="55"/>
        <v>1</v>
      </c>
      <c r="U179">
        <f>IF(VLOOKUP(C179,'QA Table'!$Y$5:$Y$20,1,TRUE)=C179,1,0)</f>
        <v>0</v>
      </c>
      <c r="V179" t="str">
        <f t="shared" si="56"/>
        <v/>
      </c>
      <c r="W179" t="str">
        <f t="shared" si="57"/>
        <v/>
      </c>
      <c r="X179" t="str">
        <f t="shared" si="58"/>
        <v/>
      </c>
      <c r="Y179">
        <f t="shared" si="59"/>
        <v>0</v>
      </c>
      <c r="AA179" t="str">
        <f t="shared" si="60"/>
        <v/>
      </c>
    </row>
    <row r="180" spans="1:27" x14ac:dyDescent="0.2">
      <c r="A180" t="s">
        <v>0</v>
      </c>
      <c r="B180" t="s">
        <v>33</v>
      </c>
      <c r="C180" t="s">
        <v>1304</v>
      </c>
      <c r="D180" t="s">
        <v>1034</v>
      </c>
      <c r="E180" t="s">
        <v>3</v>
      </c>
      <c r="F180" t="s">
        <v>1294</v>
      </c>
      <c r="G180" t="s">
        <v>1281</v>
      </c>
      <c r="H180" s="4" t="str">
        <f t="shared" si="44"/>
        <v/>
      </c>
      <c r="I180" s="4" t="str">
        <f>IF(RIGHT(B180,1)="M",IF(AND(H180=1,E180="RFS",D180=INDEX('Station Depth Averages'!$A$3:$B$84,MATCH(B180,'Station Depth Averages'!$A$3:$A$84,0),2)),1,""),IF(AND(H180=1,OR(D180="SYN",D180="SRF",D180="MID")),1,IF(AND(H180=1,OR(E181="FDn",E181="LDn")),1,IF(AND(H180=1,OR(E180="FDn",E180="LDn")),1,""))))</f>
        <v/>
      </c>
      <c r="J180" s="4" t="str">
        <f t="shared" si="45"/>
        <v/>
      </c>
      <c r="K180" s="4" t="str">
        <f t="shared" si="46"/>
        <v/>
      </c>
      <c r="L180" s="4" t="str">
        <f t="shared" si="47"/>
        <v/>
      </c>
      <c r="M180" s="4" t="str">
        <f t="shared" si="48"/>
        <v/>
      </c>
      <c r="N180" s="4" t="str">
        <f t="shared" si="49"/>
        <v/>
      </c>
      <c r="O180" s="4" t="str">
        <f t="shared" si="50"/>
        <v/>
      </c>
      <c r="P180" s="4" t="str">
        <f t="shared" si="51"/>
        <v/>
      </c>
      <c r="Q180" s="4" t="str">
        <f t="shared" si="52"/>
        <v/>
      </c>
      <c r="R180" s="4" t="str">
        <f t="shared" si="53"/>
        <v/>
      </c>
      <c r="S180" s="4">
        <f t="shared" si="54"/>
        <v>1</v>
      </c>
      <c r="T180" s="4" t="str">
        <f t="shared" si="55"/>
        <v/>
      </c>
      <c r="U180">
        <f>IF(VLOOKUP(C180,'QA Table'!$Y$5:$Y$20,1,TRUE)=C180,1,0)</f>
        <v>0</v>
      </c>
      <c r="V180" t="str">
        <f t="shared" si="56"/>
        <v/>
      </c>
      <c r="W180" t="str">
        <f t="shared" si="57"/>
        <v/>
      </c>
      <c r="X180" t="str">
        <f t="shared" si="58"/>
        <v/>
      </c>
      <c r="Y180">
        <f t="shared" si="59"/>
        <v>0</v>
      </c>
      <c r="AA180" t="str">
        <f t="shared" si="60"/>
        <v/>
      </c>
    </row>
    <row r="181" spans="1:27" x14ac:dyDescent="0.2">
      <c r="A181" t="s">
        <v>0</v>
      </c>
      <c r="B181" t="s">
        <v>33</v>
      </c>
      <c r="C181" t="s">
        <v>1305</v>
      </c>
      <c r="D181" t="s">
        <v>1034</v>
      </c>
      <c r="E181" t="s">
        <v>19</v>
      </c>
      <c r="F181" t="s">
        <v>1294</v>
      </c>
      <c r="G181" t="s">
        <v>1281</v>
      </c>
      <c r="H181" s="4" t="str">
        <f t="shared" si="44"/>
        <v/>
      </c>
      <c r="I181" s="4" t="str">
        <f>IF(RIGHT(B181,1)="M",IF(AND(H181=1,E181="RFS",D181=INDEX('Station Depth Averages'!$A$3:$B$84,MATCH(B181,'Station Depth Averages'!$A$3:$A$84,0),2)),1,""),IF(AND(H181=1,OR(D181="SYN",D181="SRF",D181="MID")),1,IF(AND(H181=1,OR(E182="FDn",E182="LDn")),1,IF(AND(H181=1,OR(E181="FDn",E181="LDn")),1,""))))</f>
        <v/>
      </c>
      <c r="J181" s="4" t="str">
        <f t="shared" si="45"/>
        <v/>
      </c>
      <c r="K181" s="4" t="str">
        <f t="shared" si="46"/>
        <v/>
      </c>
      <c r="L181" s="4" t="str">
        <f t="shared" si="47"/>
        <v/>
      </c>
      <c r="M181" s="4" t="str">
        <f t="shared" si="48"/>
        <v/>
      </c>
      <c r="N181" s="4" t="str">
        <f t="shared" si="49"/>
        <v/>
      </c>
      <c r="O181" s="4" t="str">
        <f t="shared" si="50"/>
        <v/>
      </c>
      <c r="P181" s="4" t="str">
        <f t="shared" si="51"/>
        <v/>
      </c>
      <c r="Q181" s="4" t="str">
        <f t="shared" si="52"/>
        <v/>
      </c>
      <c r="R181" s="4" t="str">
        <f t="shared" si="53"/>
        <v/>
      </c>
      <c r="S181" s="4">
        <f t="shared" si="54"/>
        <v>1</v>
      </c>
      <c r="T181" s="4" t="str">
        <f t="shared" si="55"/>
        <v/>
      </c>
      <c r="U181">
        <f>IF(VLOOKUP(C181,'QA Table'!$Y$5:$Y$20,1,TRUE)=C181,1,0)</f>
        <v>0</v>
      </c>
      <c r="V181" t="str">
        <f t="shared" si="56"/>
        <v/>
      </c>
      <c r="W181" t="str">
        <f t="shared" si="57"/>
        <v/>
      </c>
      <c r="X181" t="str">
        <f t="shared" si="58"/>
        <v/>
      </c>
      <c r="Y181">
        <f t="shared" si="59"/>
        <v>0</v>
      </c>
      <c r="AA181" t="str">
        <f t="shared" si="60"/>
        <v/>
      </c>
    </row>
    <row r="182" spans="1:27" x14ac:dyDescent="0.2">
      <c r="A182" t="s">
        <v>0</v>
      </c>
      <c r="B182" t="s">
        <v>34</v>
      </c>
      <c r="C182" t="s">
        <v>1306</v>
      </c>
      <c r="D182" t="s">
        <v>2</v>
      </c>
      <c r="E182" t="s">
        <v>3</v>
      </c>
      <c r="F182" t="s">
        <v>1307</v>
      </c>
      <c r="G182" t="s">
        <v>1281</v>
      </c>
      <c r="H182" s="4">
        <f t="shared" si="44"/>
        <v>1</v>
      </c>
      <c r="I182" s="4">
        <f>IF(RIGHT(B182,1)="M",IF(AND(H182=1,E182="RFS",D182=INDEX('Station Depth Averages'!$A$3:$B$84,MATCH(B182,'Station Depth Averages'!$A$3:$A$84,0),2)),1,""),IF(AND(H182=1,OR(D182="SYN",D182="SRF",D182="MID")),1,IF(AND(H182=1,OR(E183="FDn",E183="LDn")),1,IF(AND(H182=1,OR(E182="FDn",E182="LDn")),1,""))))</f>
        <v>1</v>
      </c>
      <c r="J182" s="4">
        <f t="shared" si="45"/>
        <v>1</v>
      </c>
      <c r="K182" s="4" t="str">
        <f t="shared" si="46"/>
        <v/>
      </c>
      <c r="L182" s="4" t="str">
        <f t="shared" si="47"/>
        <v/>
      </c>
      <c r="M182" s="4" t="str">
        <f t="shared" si="48"/>
        <v/>
      </c>
      <c r="N182" s="4" t="str">
        <f t="shared" si="49"/>
        <v/>
      </c>
      <c r="O182" s="4" t="str">
        <f t="shared" si="50"/>
        <v/>
      </c>
      <c r="P182" s="4" t="str">
        <f t="shared" si="51"/>
        <v/>
      </c>
      <c r="Q182" s="4" t="str">
        <f t="shared" si="52"/>
        <v/>
      </c>
      <c r="R182" s="4" t="str">
        <f t="shared" si="53"/>
        <v/>
      </c>
      <c r="S182" s="4" t="str">
        <f t="shared" si="54"/>
        <v/>
      </c>
      <c r="T182" s="4" t="str">
        <f t="shared" si="55"/>
        <v/>
      </c>
      <c r="U182">
        <f>IF(VLOOKUP(C182,'QA Table'!$Y$5:$Y$20,1,TRUE)=C182,1,0)</f>
        <v>0</v>
      </c>
      <c r="V182" t="str">
        <f t="shared" si="56"/>
        <v/>
      </c>
      <c r="W182" t="str">
        <f t="shared" si="57"/>
        <v/>
      </c>
      <c r="X182">
        <f t="shared" si="58"/>
        <v>3</v>
      </c>
      <c r="Y182">
        <f t="shared" si="59"/>
        <v>0</v>
      </c>
      <c r="AA182">
        <f t="shared" si="60"/>
        <v>1</v>
      </c>
    </row>
    <row r="183" spans="1:27" x14ac:dyDescent="0.2">
      <c r="A183" t="s">
        <v>0</v>
      </c>
      <c r="B183" t="s">
        <v>34</v>
      </c>
      <c r="C183" t="s">
        <v>1308</v>
      </c>
      <c r="D183" t="s">
        <v>1050</v>
      </c>
      <c r="E183" t="s">
        <v>3</v>
      </c>
      <c r="F183" t="s">
        <v>1307</v>
      </c>
      <c r="G183" t="s">
        <v>1281</v>
      </c>
      <c r="H183" s="4" t="str">
        <f t="shared" si="44"/>
        <v/>
      </c>
      <c r="I183" s="4" t="str">
        <f>IF(RIGHT(B183,1)="M",IF(AND(H183=1,E183="RFS",D183=INDEX('Station Depth Averages'!$A$3:$B$84,MATCH(B183,'Station Depth Averages'!$A$3:$A$84,0),2)),1,""),IF(AND(H183=1,OR(D183="SYN",D183="SRF",D183="MID")),1,IF(AND(H183=1,OR(E184="FDn",E184="LDn")),1,IF(AND(H183=1,OR(E183="FDn",E183="LDn")),1,""))))</f>
        <v/>
      </c>
      <c r="J183" s="4" t="str">
        <f t="shared" si="45"/>
        <v/>
      </c>
      <c r="K183" s="4" t="str">
        <f t="shared" si="46"/>
        <v/>
      </c>
      <c r="L183" s="4" t="str">
        <f t="shared" si="47"/>
        <v/>
      </c>
      <c r="M183" s="4" t="str">
        <f t="shared" si="48"/>
        <v/>
      </c>
      <c r="N183" s="4" t="str">
        <f t="shared" si="49"/>
        <v/>
      </c>
      <c r="O183" s="4" t="str">
        <f t="shared" si="50"/>
        <v/>
      </c>
      <c r="P183" s="4" t="str">
        <f t="shared" si="51"/>
        <v/>
      </c>
      <c r="Q183" s="4" t="str">
        <f t="shared" si="52"/>
        <v/>
      </c>
      <c r="R183" s="4" t="str">
        <f t="shared" si="53"/>
        <v/>
      </c>
      <c r="S183" s="4" t="str">
        <f t="shared" si="54"/>
        <v/>
      </c>
      <c r="T183" s="4" t="str">
        <f t="shared" si="55"/>
        <v/>
      </c>
      <c r="U183">
        <f>IF(VLOOKUP(C183,'QA Table'!$Y$5:$Y$20,1,TRUE)=C183,1,0)</f>
        <v>0</v>
      </c>
      <c r="V183" t="str">
        <f t="shared" si="56"/>
        <v/>
      </c>
      <c r="W183" t="str">
        <f t="shared" si="57"/>
        <v/>
      </c>
      <c r="X183" t="str">
        <f t="shared" si="58"/>
        <v/>
      </c>
      <c r="Y183">
        <f t="shared" si="59"/>
        <v>0</v>
      </c>
      <c r="AA183" t="str">
        <f t="shared" si="60"/>
        <v/>
      </c>
    </row>
    <row r="184" spans="1:27" x14ac:dyDescent="0.2">
      <c r="A184" t="s">
        <v>0</v>
      </c>
      <c r="B184" t="s">
        <v>34</v>
      </c>
      <c r="C184" t="s">
        <v>1309</v>
      </c>
      <c r="D184" t="s">
        <v>4</v>
      </c>
      <c r="E184" t="s">
        <v>3</v>
      </c>
      <c r="F184" t="s">
        <v>1307</v>
      </c>
      <c r="G184" t="s">
        <v>1281</v>
      </c>
      <c r="H184" s="4" t="str">
        <f t="shared" si="44"/>
        <v/>
      </c>
      <c r="I184" s="4" t="str">
        <f>IF(RIGHT(B184,1)="M",IF(AND(H184=1,E184="RFS",D184=INDEX('Station Depth Averages'!$A$3:$B$84,MATCH(B184,'Station Depth Averages'!$A$3:$A$84,0),2)),1,""),IF(AND(H184=1,OR(D184="SYN",D184="SRF",D184="MID")),1,IF(AND(H184=1,OR(E185="FDn",E185="LDn")),1,IF(AND(H184=1,OR(E184="FDn",E184="LDn")),1,""))))</f>
        <v/>
      </c>
      <c r="J184" s="4" t="str">
        <f t="shared" si="45"/>
        <v/>
      </c>
      <c r="K184" s="4" t="str">
        <f t="shared" si="46"/>
        <v/>
      </c>
      <c r="L184" s="4" t="str">
        <f t="shared" si="47"/>
        <v/>
      </c>
      <c r="M184" s="4" t="str">
        <f t="shared" si="48"/>
        <v/>
      </c>
      <c r="N184" s="4" t="str">
        <f t="shared" si="49"/>
        <v/>
      </c>
      <c r="O184" s="4" t="str">
        <f t="shared" si="50"/>
        <v/>
      </c>
      <c r="P184" s="4" t="str">
        <f t="shared" si="51"/>
        <v/>
      </c>
      <c r="Q184" s="4" t="str">
        <f t="shared" si="52"/>
        <v/>
      </c>
      <c r="R184" s="4" t="str">
        <f t="shared" si="53"/>
        <v/>
      </c>
      <c r="S184" s="4" t="str">
        <f t="shared" si="54"/>
        <v/>
      </c>
      <c r="T184" s="4" t="str">
        <f t="shared" si="55"/>
        <v/>
      </c>
      <c r="U184">
        <f>IF(VLOOKUP(C184,'QA Table'!$Y$5:$Y$20,1,TRUE)=C184,1,0)</f>
        <v>0</v>
      </c>
      <c r="V184" t="str">
        <f t="shared" si="56"/>
        <v/>
      </c>
      <c r="W184" t="str">
        <f t="shared" si="57"/>
        <v/>
      </c>
      <c r="X184" t="str">
        <f t="shared" si="58"/>
        <v/>
      </c>
      <c r="Y184">
        <f t="shared" si="59"/>
        <v>0</v>
      </c>
      <c r="AA184" t="str">
        <f t="shared" si="60"/>
        <v/>
      </c>
    </row>
    <row r="185" spans="1:27" x14ac:dyDescent="0.2">
      <c r="A185" t="s">
        <v>0</v>
      </c>
      <c r="B185" t="s">
        <v>34</v>
      </c>
      <c r="C185" t="s">
        <v>1310</v>
      </c>
      <c r="D185" t="s">
        <v>1051</v>
      </c>
      <c r="E185" t="s">
        <v>3</v>
      </c>
      <c r="F185" t="s">
        <v>1307</v>
      </c>
      <c r="G185" t="s">
        <v>1281</v>
      </c>
      <c r="H185" s="4" t="str">
        <f t="shared" si="44"/>
        <v/>
      </c>
      <c r="I185" s="4" t="str">
        <f>IF(RIGHT(B185,1)="M",IF(AND(H185=1,E185="RFS",D185=INDEX('Station Depth Averages'!$A$3:$B$84,MATCH(B185,'Station Depth Averages'!$A$3:$A$84,0),2)),1,""),IF(AND(H185=1,OR(D185="SYN",D185="SRF",D185="MID")),1,IF(AND(H185=1,OR(E186="FDn",E186="LDn")),1,IF(AND(H185=1,OR(E185="FDn",E185="LDn")),1,""))))</f>
        <v/>
      </c>
      <c r="J185" s="4" t="str">
        <f t="shared" si="45"/>
        <v/>
      </c>
      <c r="K185" s="4" t="str">
        <f t="shared" si="46"/>
        <v/>
      </c>
      <c r="L185" s="4" t="str">
        <f t="shared" si="47"/>
        <v/>
      </c>
      <c r="M185" s="4" t="str">
        <f t="shared" si="48"/>
        <v/>
      </c>
      <c r="N185" s="4" t="str">
        <f t="shared" si="49"/>
        <v/>
      </c>
      <c r="O185" s="4" t="str">
        <f t="shared" si="50"/>
        <v/>
      </c>
      <c r="P185" s="4" t="str">
        <f t="shared" si="51"/>
        <v/>
      </c>
      <c r="Q185" s="4" t="str">
        <f t="shared" si="52"/>
        <v/>
      </c>
      <c r="R185" s="4" t="str">
        <f t="shared" si="53"/>
        <v/>
      </c>
      <c r="S185" s="4" t="str">
        <f t="shared" si="54"/>
        <v/>
      </c>
      <c r="T185" s="4" t="str">
        <f t="shared" si="55"/>
        <v/>
      </c>
      <c r="U185">
        <f>IF(VLOOKUP(C185,'QA Table'!$Y$5:$Y$20,1,TRUE)=C185,1,0)</f>
        <v>0</v>
      </c>
      <c r="V185" t="str">
        <f t="shared" si="56"/>
        <v/>
      </c>
      <c r="W185" t="str">
        <f t="shared" si="57"/>
        <v/>
      </c>
      <c r="X185" t="str">
        <f t="shared" si="58"/>
        <v/>
      </c>
      <c r="Y185">
        <f t="shared" si="59"/>
        <v>0</v>
      </c>
      <c r="AA185" t="str">
        <f t="shared" si="60"/>
        <v/>
      </c>
    </row>
    <row r="186" spans="1:27" x14ac:dyDescent="0.2">
      <c r="A186" t="s">
        <v>0</v>
      </c>
      <c r="B186" t="s">
        <v>34</v>
      </c>
      <c r="C186" t="s">
        <v>1088</v>
      </c>
      <c r="D186" t="s">
        <v>119</v>
      </c>
      <c r="E186" t="s">
        <v>3</v>
      </c>
      <c r="F186" t="s">
        <v>1307</v>
      </c>
      <c r="G186" t="s">
        <v>1281</v>
      </c>
      <c r="H186" s="4">
        <f t="shared" si="44"/>
        <v>1</v>
      </c>
      <c r="I186" s="4">
        <f>IF(RIGHT(B186,1)="M",IF(AND(H186=1,E186="RFS",D186=INDEX('Station Depth Averages'!$A$3:$B$84,MATCH(B186,'Station Depth Averages'!$A$3:$A$84,0),2)),1,""),IF(AND(H186=1,OR(D186="SYN",D186="SRF",D186="MID")),1,IF(AND(H186=1,OR(E187="FDn",E187="LDn")),1,IF(AND(H186=1,OR(E186="FDn",E186="LDn")),1,""))))</f>
        <v>1</v>
      </c>
      <c r="J186" s="4">
        <f t="shared" si="45"/>
        <v>1</v>
      </c>
      <c r="K186" s="4" t="str">
        <f t="shared" si="46"/>
        <v/>
      </c>
      <c r="L186" s="4" t="str">
        <f t="shared" si="47"/>
        <v/>
      </c>
      <c r="M186" s="4" t="str">
        <f t="shared" si="48"/>
        <v/>
      </c>
      <c r="N186" s="4" t="str">
        <f t="shared" si="49"/>
        <v/>
      </c>
      <c r="O186" s="4" t="str">
        <f t="shared" si="50"/>
        <v/>
      </c>
      <c r="P186" s="4" t="str">
        <f t="shared" si="51"/>
        <v/>
      </c>
      <c r="Q186" s="4" t="str">
        <f t="shared" si="52"/>
        <v/>
      </c>
      <c r="R186" s="4" t="str">
        <f t="shared" si="53"/>
        <v/>
      </c>
      <c r="S186" s="4" t="str">
        <f t="shared" si="54"/>
        <v/>
      </c>
      <c r="T186" s="4" t="str">
        <f t="shared" si="55"/>
        <v/>
      </c>
      <c r="U186">
        <f>IF(VLOOKUP(C186,'QA Table'!$Y$5:$Y$20,1,TRUE)=C186,1,0)</f>
        <v>1</v>
      </c>
      <c r="V186" t="str">
        <f t="shared" si="56"/>
        <v/>
      </c>
      <c r="W186" t="str">
        <f t="shared" si="57"/>
        <v/>
      </c>
      <c r="X186">
        <f t="shared" si="58"/>
        <v>3</v>
      </c>
      <c r="Y186">
        <f t="shared" si="59"/>
        <v>1</v>
      </c>
      <c r="AA186">
        <f t="shared" si="60"/>
        <v>1</v>
      </c>
    </row>
    <row r="187" spans="1:27" x14ac:dyDescent="0.2">
      <c r="A187" t="s">
        <v>0</v>
      </c>
      <c r="B187" t="s">
        <v>34</v>
      </c>
      <c r="C187" t="s">
        <v>1311</v>
      </c>
      <c r="D187" t="s">
        <v>5</v>
      </c>
      <c r="E187" t="s">
        <v>3</v>
      </c>
      <c r="F187" t="s">
        <v>1307</v>
      </c>
      <c r="G187" t="s">
        <v>1281</v>
      </c>
      <c r="H187" s="4">
        <f t="shared" si="44"/>
        <v>1</v>
      </c>
      <c r="I187" s="4" t="str">
        <f>IF(RIGHT(B187,1)="M",IF(AND(H187=1,E187="RFS",D187=INDEX('Station Depth Averages'!$A$3:$B$84,MATCH(B187,'Station Depth Averages'!$A$3:$A$84,0),2)),1,""),IF(AND(H187=1,OR(D187="SYN",D187="SRF",D187="MID")),1,IF(AND(H187=1,OR(E188="FDn",E188="LDn")),1,IF(AND(H187=1,OR(E187="FDn",E187="LDn")),1,""))))</f>
        <v/>
      </c>
      <c r="J187" s="4">
        <f t="shared" si="45"/>
        <v>1</v>
      </c>
      <c r="K187" s="4" t="str">
        <f t="shared" si="46"/>
        <v/>
      </c>
      <c r="L187" s="4" t="str">
        <f t="shared" si="47"/>
        <v/>
      </c>
      <c r="M187" s="4" t="str">
        <f t="shared" si="48"/>
        <v/>
      </c>
      <c r="N187" s="4" t="str">
        <f t="shared" si="49"/>
        <v/>
      </c>
      <c r="O187" s="4" t="str">
        <f t="shared" si="50"/>
        <v/>
      </c>
      <c r="P187" s="4" t="str">
        <f t="shared" si="51"/>
        <v/>
      </c>
      <c r="Q187" s="4" t="str">
        <f t="shared" si="52"/>
        <v/>
      </c>
      <c r="R187" s="4" t="str">
        <f t="shared" si="53"/>
        <v/>
      </c>
      <c r="S187" s="4" t="str">
        <f t="shared" si="54"/>
        <v/>
      </c>
      <c r="T187" s="4" t="str">
        <f t="shared" si="55"/>
        <v/>
      </c>
      <c r="U187">
        <f>IF(VLOOKUP(C187,'QA Table'!$Y$5:$Y$20,1,TRUE)=C187,1,0)</f>
        <v>0</v>
      </c>
      <c r="V187" t="str">
        <f t="shared" si="56"/>
        <v/>
      </c>
      <c r="W187" t="str">
        <f t="shared" si="57"/>
        <v/>
      </c>
      <c r="X187">
        <f t="shared" si="58"/>
        <v>3</v>
      </c>
      <c r="Y187">
        <f t="shared" si="59"/>
        <v>0</v>
      </c>
      <c r="AA187">
        <f t="shared" si="60"/>
        <v>1</v>
      </c>
    </row>
    <row r="188" spans="1:27" x14ac:dyDescent="0.2">
      <c r="A188" t="s">
        <v>0</v>
      </c>
      <c r="B188" t="s">
        <v>34</v>
      </c>
      <c r="C188" t="s">
        <v>1312</v>
      </c>
      <c r="D188" t="s">
        <v>6</v>
      </c>
      <c r="E188" t="s">
        <v>3</v>
      </c>
      <c r="F188" t="s">
        <v>1307</v>
      </c>
      <c r="G188" t="s">
        <v>1281</v>
      </c>
      <c r="H188" s="4">
        <f t="shared" si="44"/>
        <v>1</v>
      </c>
      <c r="I188" s="4" t="str">
        <f>IF(RIGHT(B188,1)="M",IF(AND(H188=1,E188="RFS",D188=INDEX('Station Depth Averages'!$A$3:$B$84,MATCH(B188,'Station Depth Averages'!$A$3:$A$84,0),2)),1,""),IF(AND(H188=1,OR(D188="SYN",D188="SRF",D188="MID")),1,IF(AND(H188=1,OR(E189="FDn",E189="LDn")),1,IF(AND(H188=1,OR(E188="FDn",E188="LDn")),1,""))))</f>
        <v/>
      </c>
      <c r="J188" s="4">
        <f t="shared" si="45"/>
        <v>1</v>
      </c>
      <c r="K188" s="4" t="str">
        <f t="shared" si="46"/>
        <v/>
      </c>
      <c r="L188" s="4" t="str">
        <f t="shared" si="47"/>
        <v/>
      </c>
      <c r="M188" s="4" t="str">
        <f t="shared" si="48"/>
        <v/>
      </c>
      <c r="N188" s="4" t="str">
        <f t="shared" si="49"/>
        <v/>
      </c>
      <c r="O188" s="4" t="str">
        <f t="shared" si="50"/>
        <v/>
      </c>
      <c r="P188" s="4" t="str">
        <f t="shared" si="51"/>
        <v/>
      </c>
      <c r="Q188" s="4" t="str">
        <f t="shared" si="52"/>
        <v/>
      </c>
      <c r="R188" s="4" t="str">
        <f t="shared" si="53"/>
        <v/>
      </c>
      <c r="S188" s="4" t="str">
        <f t="shared" si="54"/>
        <v/>
      </c>
      <c r="T188" s="4" t="str">
        <f t="shared" si="55"/>
        <v/>
      </c>
      <c r="U188">
        <f>IF(VLOOKUP(C188,'QA Table'!$Y$5:$Y$20,1,TRUE)=C188,1,0)</f>
        <v>0</v>
      </c>
      <c r="V188" t="str">
        <f t="shared" si="56"/>
        <v/>
      </c>
      <c r="W188" t="str">
        <f t="shared" si="57"/>
        <v/>
      </c>
      <c r="X188">
        <f t="shared" si="58"/>
        <v>3</v>
      </c>
      <c r="Y188">
        <f t="shared" si="59"/>
        <v>0</v>
      </c>
      <c r="AA188">
        <f t="shared" si="60"/>
        <v>1</v>
      </c>
    </row>
    <row r="189" spans="1:27" x14ac:dyDescent="0.2">
      <c r="A189" t="s">
        <v>0</v>
      </c>
      <c r="B189" t="s">
        <v>34</v>
      </c>
      <c r="C189" t="s">
        <v>1313</v>
      </c>
      <c r="D189" t="s">
        <v>8</v>
      </c>
      <c r="E189" t="s">
        <v>3</v>
      </c>
      <c r="F189" t="s">
        <v>1307</v>
      </c>
      <c r="G189" t="s">
        <v>1281</v>
      </c>
      <c r="H189" s="4">
        <f t="shared" si="44"/>
        <v>1</v>
      </c>
      <c r="I189" s="4" t="str">
        <f>IF(RIGHT(B189,1)="M",IF(AND(H189=1,E189="RFS",D189=INDEX('Station Depth Averages'!$A$3:$B$84,MATCH(B189,'Station Depth Averages'!$A$3:$A$84,0),2)),1,""),IF(AND(H189=1,OR(D189="SYN",D189="SRF",D189="MID")),1,IF(AND(H189=1,OR(E190="FDn",E190="LDn")),1,IF(AND(H189=1,OR(E189="FDn",E189="LDn")),1,""))))</f>
        <v/>
      </c>
      <c r="J189" s="4" t="str">
        <f t="shared" si="45"/>
        <v/>
      </c>
      <c r="K189" s="4">
        <f t="shared" si="46"/>
        <v>1</v>
      </c>
      <c r="L189" s="4" t="str">
        <f t="shared" si="47"/>
        <v/>
      </c>
      <c r="M189" s="4" t="str">
        <f t="shared" si="48"/>
        <v/>
      </c>
      <c r="N189" s="4" t="str">
        <f t="shared" si="49"/>
        <v/>
      </c>
      <c r="O189" s="4" t="str">
        <f t="shared" si="50"/>
        <v/>
      </c>
      <c r="P189" s="4" t="str">
        <f t="shared" si="51"/>
        <v/>
      </c>
      <c r="Q189" s="4">
        <f t="shared" si="52"/>
        <v>2</v>
      </c>
      <c r="R189" s="4" t="str">
        <f t="shared" si="53"/>
        <v/>
      </c>
      <c r="S189" s="4" t="str">
        <f t="shared" si="54"/>
        <v/>
      </c>
      <c r="T189" s="4" t="str">
        <f t="shared" si="55"/>
        <v/>
      </c>
      <c r="U189">
        <f>IF(VLOOKUP(C189,'QA Table'!$Y$5:$Y$20,1,TRUE)=C189,1,0)</f>
        <v>0</v>
      </c>
      <c r="V189" t="str">
        <f t="shared" si="56"/>
        <v/>
      </c>
      <c r="W189" t="str">
        <f t="shared" si="57"/>
        <v/>
      </c>
      <c r="X189">
        <f t="shared" si="58"/>
        <v>3</v>
      </c>
      <c r="Y189">
        <f t="shared" si="59"/>
        <v>0</v>
      </c>
      <c r="AA189">
        <f t="shared" si="60"/>
        <v>1</v>
      </c>
    </row>
    <row r="190" spans="1:27" x14ac:dyDescent="0.2">
      <c r="A190" t="s">
        <v>0</v>
      </c>
      <c r="B190" t="s">
        <v>34</v>
      </c>
      <c r="C190" t="s">
        <v>1314</v>
      </c>
      <c r="D190" t="s">
        <v>9</v>
      </c>
      <c r="E190" t="s">
        <v>3</v>
      </c>
      <c r="F190" t="s">
        <v>1307</v>
      </c>
      <c r="G190" t="s">
        <v>1281</v>
      </c>
      <c r="H190" s="4" t="str">
        <f t="shared" si="44"/>
        <v/>
      </c>
      <c r="I190" s="4" t="str">
        <f>IF(RIGHT(B190,1)="M",IF(AND(H190=1,E190="RFS",D190=INDEX('Station Depth Averages'!$A$3:$B$84,MATCH(B190,'Station Depth Averages'!$A$3:$A$84,0),2)),1,""),IF(AND(H190=1,OR(D190="SYN",D190="SRF",D190="MID")),1,IF(AND(H190=1,OR(E191="FDn",E191="LDn")),1,IF(AND(H190=1,OR(E190="FDn",E190="LDn")),1,""))))</f>
        <v/>
      </c>
      <c r="J190" s="4" t="str">
        <f t="shared" si="45"/>
        <v/>
      </c>
      <c r="K190" s="4" t="str">
        <f t="shared" si="46"/>
        <v/>
      </c>
      <c r="L190" s="4" t="str">
        <f t="shared" si="47"/>
        <v/>
      </c>
      <c r="M190" s="4" t="str">
        <f t="shared" si="48"/>
        <v/>
      </c>
      <c r="N190" s="4" t="str">
        <f t="shared" si="49"/>
        <v/>
      </c>
      <c r="O190" s="4" t="str">
        <f t="shared" si="50"/>
        <v/>
      </c>
      <c r="P190" s="4" t="str">
        <f t="shared" si="51"/>
        <v/>
      </c>
      <c r="Q190" s="4" t="str">
        <f t="shared" si="52"/>
        <v/>
      </c>
      <c r="R190" s="4" t="str">
        <f t="shared" si="53"/>
        <v/>
      </c>
      <c r="S190" s="4" t="str">
        <f t="shared" si="54"/>
        <v/>
      </c>
      <c r="T190" s="4">
        <f t="shared" si="55"/>
        <v>1</v>
      </c>
      <c r="U190">
        <f>IF(VLOOKUP(C190,'QA Table'!$Y$5:$Y$20,1,TRUE)=C190,1,0)</f>
        <v>0</v>
      </c>
      <c r="V190" t="str">
        <f t="shared" si="56"/>
        <v/>
      </c>
      <c r="W190" t="str">
        <f t="shared" si="57"/>
        <v/>
      </c>
      <c r="X190" t="str">
        <f t="shared" si="58"/>
        <v/>
      </c>
      <c r="Y190">
        <f t="shared" si="59"/>
        <v>0</v>
      </c>
      <c r="AA190" t="str">
        <f t="shared" si="60"/>
        <v/>
      </c>
    </row>
    <row r="191" spans="1:27" x14ac:dyDescent="0.2">
      <c r="A191" t="s">
        <v>0</v>
      </c>
      <c r="B191" t="s">
        <v>34</v>
      </c>
      <c r="C191" t="s">
        <v>1315</v>
      </c>
      <c r="D191" t="s">
        <v>10</v>
      </c>
      <c r="E191" t="s">
        <v>3</v>
      </c>
      <c r="F191" t="s">
        <v>1307</v>
      </c>
      <c r="G191" t="s">
        <v>1281</v>
      </c>
      <c r="H191" s="4" t="str">
        <f t="shared" si="44"/>
        <v/>
      </c>
      <c r="I191" s="4" t="str">
        <f>IF(RIGHT(B191,1)="M",IF(AND(H191=1,E191="RFS",D191=INDEX('Station Depth Averages'!$A$3:$B$84,MATCH(B191,'Station Depth Averages'!$A$3:$A$84,0),2)),1,""),IF(AND(H191=1,OR(D191="SYN",D191="SRF",D191="MID")),1,IF(AND(H191=1,OR(E192="FDn",E192="LDn")),1,IF(AND(H191=1,OR(E191="FDn",E191="LDn")),1,""))))</f>
        <v/>
      </c>
      <c r="J191" s="4" t="str">
        <f t="shared" si="45"/>
        <v/>
      </c>
      <c r="K191" s="4" t="str">
        <f t="shared" si="46"/>
        <v/>
      </c>
      <c r="L191" s="4" t="str">
        <f t="shared" si="47"/>
        <v/>
      </c>
      <c r="M191" s="4" t="str">
        <f t="shared" si="48"/>
        <v/>
      </c>
      <c r="N191" s="4" t="str">
        <f t="shared" si="49"/>
        <v/>
      </c>
      <c r="O191" s="4" t="str">
        <f t="shared" si="50"/>
        <v/>
      </c>
      <c r="P191" s="4" t="str">
        <f t="shared" si="51"/>
        <v/>
      </c>
      <c r="Q191" s="4" t="str">
        <f t="shared" si="52"/>
        <v/>
      </c>
      <c r="R191" s="4" t="str">
        <f t="shared" si="53"/>
        <v/>
      </c>
      <c r="S191" s="4" t="str">
        <f t="shared" si="54"/>
        <v/>
      </c>
      <c r="T191" s="4">
        <f t="shared" si="55"/>
        <v>1</v>
      </c>
      <c r="U191">
        <f>IF(VLOOKUP(C191,'QA Table'!$Y$5:$Y$20,1,TRUE)=C191,1,0)</f>
        <v>0</v>
      </c>
      <c r="V191" t="str">
        <f t="shared" si="56"/>
        <v/>
      </c>
      <c r="W191" t="str">
        <f t="shared" si="57"/>
        <v/>
      </c>
      <c r="X191" t="str">
        <f t="shared" si="58"/>
        <v/>
      </c>
      <c r="Y191">
        <f t="shared" si="59"/>
        <v>0</v>
      </c>
      <c r="AA191" t="str">
        <f t="shared" si="60"/>
        <v/>
      </c>
    </row>
    <row r="192" spans="1:27" x14ac:dyDescent="0.2">
      <c r="A192" t="s">
        <v>0</v>
      </c>
      <c r="B192" t="s">
        <v>34</v>
      </c>
      <c r="C192" t="s">
        <v>1316</v>
      </c>
      <c r="D192" t="s">
        <v>1034</v>
      </c>
      <c r="E192" t="s">
        <v>3</v>
      </c>
      <c r="F192" t="s">
        <v>1307</v>
      </c>
      <c r="G192" t="s">
        <v>1281</v>
      </c>
      <c r="H192" s="4" t="str">
        <f t="shared" si="44"/>
        <v/>
      </c>
      <c r="I192" s="4" t="str">
        <f>IF(RIGHT(B192,1)="M",IF(AND(H192=1,E192="RFS",D192=INDEX('Station Depth Averages'!$A$3:$B$84,MATCH(B192,'Station Depth Averages'!$A$3:$A$84,0),2)),1,""),IF(AND(H192=1,OR(D192="SYN",D192="SRF",D192="MID")),1,IF(AND(H192=1,OR(E193="FDn",E193="LDn")),1,IF(AND(H192=1,OR(E192="FDn",E192="LDn")),1,""))))</f>
        <v/>
      </c>
      <c r="J192" s="4" t="str">
        <f t="shared" si="45"/>
        <v/>
      </c>
      <c r="K192" s="4" t="str">
        <f t="shared" si="46"/>
        <v/>
      </c>
      <c r="L192" s="4" t="str">
        <f t="shared" si="47"/>
        <v/>
      </c>
      <c r="M192" s="4" t="str">
        <f t="shared" si="48"/>
        <v/>
      </c>
      <c r="N192" s="4" t="str">
        <f t="shared" si="49"/>
        <v/>
      </c>
      <c r="O192" s="4" t="str">
        <f t="shared" si="50"/>
        <v/>
      </c>
      <c r="P192" s="4" t="str">
        <f t="shared" si="51"/>
        <v/>
      </c>
      <c r="Q192" s="4" t="str">
        <f t="shared" si="52"/>
        <v/>
      </c>
      <c r="R192" s="4" t="str">
        <f t="shared" si="53"/>
        <v/>
      </c>
      <c r="S192" s="4">
        <f t="shared" si="54"/>
        <v>1</v>
      </c>
      <c r="T192" s="4" t="str">
        <f t="shared" si="55"/>
        <v/>
      </c>
      <c r="U192">
        <f>IF(VLOOKUP(C192,'QA Table'!$Y$5:$Y$20,1,TRUE)=C192,1,0)</f>
        <v>0</v>
      </c>
      <c r="V192" t="str">
        <f t="shared" si="56"/>
        <v/>
      </c>
      <c r="W192" t="str">
        <f t="shared" si="57"/>
        <v/>
      </c>
      <c r="X192" t="str">
        <f t="shared" si="58"/>
        <v/>
      </c>
      <c r="Y192">
        <f t="shared" si="59"/>
        <v>0</v>
      </c>
      <c r="AA192" t="str">
        <f t="shared" si="60"/>
        <v/>
      </c>
    </row>
    <row r="193" spans="1:27" x14ac:dyDescent="0.2">
      <c r="A193" t="s">
        <v>0</v>
      </c>
      <c r="B193" t="s">
        <v>34</v>
      </c>
      <c r="C193" t="s">
        <v>1317</v>
      </c>
      <c r="D193" t="s">
        <v>1034</v>
      </c>
      <c r="E193" t="s">
        <v>19</v>
      </c>
      <c r="F193" t="s">
        <v>1307</v>
      </c>
      <c r="G193" t="s">
        <v>1281</v>
      </c>
      <c r="H193" s="4" t="str">
        <f t="shared" si="44"/>
        <v/>
      </c>
      <c r="I193" s="4" t="str">
        <f>IF(RIGHT(B193,1)="M",IF(AND(H193=1,E193="RFS",D193=INDEX('Station Depth Averages'!$A$3:$B$84,MATCH(B193,'Station Depth Averages'!$A$3:$A$84,0),2)),1,""),IF(AND(H193=1,OR(D193="SYN",D193="SRF",D193="MID")),1,IF(AND(H193=1,OR(E194="FDn",E194="LDn")),1,IF(AND(H193=1,OR(E193="FDn",E193="LDn")),1,""))))</f>
        <v/>
      </c>
      <c r="J193" s="4" t="str">
        <f t="shared" si="45"/>
        <v/>
      </c>
      <c r="K193" s="4" t="str">
        <f t="shared" si="46"/>
        <v/>
      </c>
      <c r="L193" s="4" t="str">
        <f t="shared" si="47"/>
        <v/>
      </c>
      <c r="M193" s="4" t="str">
        <f t="shared" si="48"/>
        <v/>
      </c>
      <c r="N193" s="4" t="str">
        <f t="shared" si="49"/>
        <v/>
      </c>
      <c r="O193" s="4" t="str">
        <f t="shared" si="50"/>
        <v/>
      </c>
      <c r="P193" s="4" t="str">
        <f t="shared" si="51"/>
        <v/>
      </c>
      <c r="Q193" s="4" t="str">
        <f t="shared" si="52"/>
        <v/>
      </c>
      <c r="R193" s="4" t="str">
        <f t="shared" si="53"/>
        <v/>
      </c>
      <c r="S193" s="4">
        <f t="shared" si="54"/>
        <v>1</v>
      </c>
      <c r="T193" s="4" t="str">
        <f t="shared" si="55"/>
        <v/>
      </c>
      <c r="U193">
        <f>IF(VLOOKUP(C193,'QA Table'!$Y$5:$Y$20,1,TRUE)=C193,1,0)</f>
        <v>0</v>
      </c>
      <c r="V193" t="str">
        <f t="shared" si="56"/>
        <v/>
      </c>
      <c r="W193" t="str">
        <f t="shared" si="57"/>
        <v/>
      </c>
      <c r="X193" t="str">
        <f t="shared" si="58"/>
        <v/>
      </c>
      <c r="Y193">
        <f t="shared" si="59"/>
        <v>0</v>
      </c>
      <c r="AA193" t="str">
        <f t="shared" si="60"/>
        <v/>
      </c>
    </row>
    <row r="194" spans="1:27" x14ac:dyDescent="0.2">
      <c r="A194" t="s">
        <v>0</v>
      </c>
      <c r="B194" t="s">
        <v>35</v>
      </c>
      <c r="C194" t="s">
        <v>1318</v>
      </c>
      <c r="D194" t="s">
        <v>2</v>
      </c>
      <c r="E194" t="s">
        <v>3</v>
      </c>
      <c r="F194" t="s">
        <v>1319</v>
      </c>
      <c r="G194" t="s">
        <v>1281</v>
      </c>
      <c r="H194" s="4">
        <f t="shared" si="44"/>
        <v>1</v>
      </c>
      <c r="I194" s="4" t="str">
        <f>IF(RIGHT(B194,1)="M",IF(AND(H194=1,E194="RFS",D194=INDEX('Station Depth Averages'!$A$3:$B$84,MATCH(B194,'Station Depth Averages'!$A$3:$A$84,0),2)),1,""),IF(AND(H194=1,OR(D194="SYN",D194="SRF",D194="MID")),1,IF(AND(H194=1,OR(E195="FDn",E195="LDn")),1,IF(AND(H194=1,OR(E194="FDn",E194="LDn")),1,""))))</f>
        <v/>
      </c>
      <c r="J194" s="4">
        <f t="shared" si="45"/>
        <v>1</v>
      </c>
      <c r="K194" s="4" t="str">
        <f t="shared" si="46"/>
        <v/>
      </c>
      <c r="L194" s="4" t="str">
        <f t="shared" si="47"/>
        <v/>
      </c>
      <c r="M194" s="4" t="str">
        <f t="shared" si="48"/>
        <v/>
      </c>
      <c r="N194" s="4" t="str">
        <f t="shared" si="49"/>
        <v/>
      </c>
      <c r="O194" s="4" t="str">
        <f t="shared" si="50"/>
        <v/>
      </c>
      <c r="P194" s="4" t="str">
        <f t="shared" si="51"/>
        <v/>
      </c>
      <c r="Q194" s="4" t="str">
        <f t="shared" si="52"/>
        <v/>
      </c>
      <c r="R194" s="4" t="str">
        <f t="shared" si="53"/>
        <v/>
      </c>
      <c r="S194" s="4" t="str">
        <f t="shared" si="54"/>
        <v/>
      </c>
      <c r="T194" s="4" t="str">
        <f t="shared" si="55"/>
        <v/>
      </c>
      <c r="U194">
        <f>IF(VLOOKUP(C194,'QA Table'!$Y$5:$Y$20,1,TRUE)=C194,1,0)</f>
        <v>0</v>
      </c>
      <c r="V194" t="str">
        <f t="shared" si="56"/>
        <v/>
      </c>
      <c r="W194" t="str">
        <f t="shared" si="57"/>
        <v/>
      </c>
      <c r="X194">
        <f t="shared" si="58"/>
        <v>3</v>
      </c>
      <c r="Y194">
        <f t="shared" si="59"/>
        <v>0</v>
      </c>
      <c r="AA194">
        <f t="shared" si="60"/>
        <v>1</v>
      </c>
    </row>
    <row r="195" spans="1:27" x14ac:dyDescent="0.2">
      <c r="A195" t="s">
        <v>0</v>
      </c>
      <c r="B195" t="s">
        <v>35</v>
      </c>
      <c r="C195" t="s">
        <v>1320</v>
      </c>
      <c r="D195" t="s">
        <v>1050</v>
      </c>
      <c r="E195" t="s">
        <v>3</v>
      </c>
      <c r="F195" t="s">
        <v>1319</v>
      </c>
      <c r="G195" t="s">
        <v>1281</v>
      </c>
      <c r="H195" s="4">
        <f t="shared" si="44"/>
        <v>1</v>
      </c>
      <c r="I195" s="4" t="str">
        <f>IF(RIGHT(B195,1)="M",IF(AND(H195=1,E195="RFS",D195=INDEX('Station Depth Averages'!$A$3:$B$84,MATCH(B195,'Station Depth Averages'!$A$3:$A$84,0),2)),1,""),IF(AND(H195=1,OR(D195="SYN",D195="SRF",D195="MID")),1,IF(AND(H195=1,OR(E196="FDn",E196="LDn")),1,IF(AND(H195=1,OR(E195="FDn",E195="LDn")),1,""))))</f>
        <v/>
      </c>
      <c r="J195" s="4">
        <f t="shared" si="45"/>
        <v>1</v>
      </c>
      <c r="K195" s="4" t="str">
        <f t="shared" si="46"/>
        <v/>
      </c>
      <c r="L195" s="4" t="str">
        <f t="shared" si="47"/>
        <v/>
      </c>
      <c r="M195" s="4" t="str">
        <f t="shared" si="48"/>
        <v/>
      </c>
      <c r="N195" s="4" t="str">
        <f t="shared" si="49"/>
        <v/>
      </c>
      <c r="O195" s="4" t="str">
        <f t="shared" si="50"/>
        <v/>
      </c>
      <c r="P195" s="4" t="str">
        <f t="shared" si="51"/>
        <v/>
      </c>
      <c r="Q195" s="4" t="str">
        <f t="shared" si="52"/>
        <v/>
      </c>
      <c r="R195" s="4" t="str">
        <f t="shared" si="53"/>
        <v/>
      </c>
      <c r="S195" s="4" t="str">
        <f t="shared" si="54"/>
        <v/>
      </c>
      <c r="T195" s="4" t="str">
        <f t="shared" si="55"/>
        <v/>
      </c>
      <c r="U195">
        <f>IF(VLOOKUP(C195,'QA Table'!$Y$5:$Y$20,1,TRUE)=C195,1,0)</f>
        <v>0</v>
      </c>
      <c r="V195" t="str">
        <f t="shared" si="56"/>
        <v/>
      </c>
      <c r="W195" t="str">
        <f t="shared" si="57"/>
        <v/>
      </c>
      <c r="X195">
        <f t="shared" si="58"/>
        <v>3</v>
      </c>
      <c r="Y195">
        <f t="shared" si="59"/>
        <v>0</v>
      </c>
      <c r="AA195">
        <f t="shared" si="60"/>
        <v>1</v>
      </c>
    </row>
    <row r="196" spans="1:27" x14ac:dyDescent="0.2">
      <c r="A196" t="s">
        <v>0</v>
      </c>
      <c r="B196" t="s">
        <v>35</v>
      </c>
      <c r="C196" t="s">
        <v>1321</v>
      </c>
      <c r="D196" t="s">
        <v>4</v>
      </c>
      <c r="E196" t="s">
        <v>3</v>
      </c>
      <c r="F196" t="s">
        <v>1319</v>
      </c>
      <c r="G196" t="s">
        <v>1281</v>
      </c>
      <c r="H196" s="4">
        <f t="shared" si="44"/>
        <v>1</v>
      </c>
      <c r="I196" s="4" t="str">
        <f>IF(RIGHT(B196,1)="M",IF(AND(H196=1,E196="RFS",D196=INDEX('Station Depth Averages'!$A$3:$B$84,MATCH(B196,'Station Depth Averages'!$A$3:$A$84,0),2)),1,""),IF(AND(H196=1,OR(D196="SYN",D196="SRF",D196="MID")),1,IF(AND(H196=1,OR(E197="FDn",E197="LDn")),1,IF(AND(H196=1,OR(E196="FDn",E196="LDn")),1,""))))</f>
        <v/>
      </c>
      <c r="J196" s="4">
        <f t="shared" si="45"/>
        <v>1</v>
      </c>
      <c r="K196" s="4" t="str">
        <f t="shared" si="46"/>
        <v/>
      </c>
      <c r="L196" s="4">
        <f t="shared" si="47"/>
        <v>1</v>
      </c>
      <c r="M196" s="4">
        <f t="shared" si="48"/>
        <v>1</v>
      </c>
      <c r="N196" s="4">
        <f t="shared" si="49"/>
        <v>1</v>
      </c>
      <c r="O196" s="4">
        <f t="shared" si="50"/>
        <v>1</v>
      </c>
      <c r="P196" s="4">
        <f t="shared" si="51"/>
        <v>1</v>
      </c>
      <c r="Q196" s="4" t="str">
        <f t="shared" si="52"/>
        <v/>
      </c>
      <c r="R196" s="4" t="str">
        <f t="shared" si="53"/>
        <v/>
      </c>
      <c r="S196" s="4" t="str">
        <f t="shared" si="54"/>
        <v/>
      </c>
      <c r="T196" s="4" t="str">
        <f t="shared" si="55"/>
        <v/>
      </c>
      <c r="U196">
        <f>IF(VLOOKUP(C196,'QA Table'!$Y$5:$Y$20,1,TRUE)=C196,1,0)</f>
        <v>0</v>
      </c>
      <c r="V196" t="str">
        <f t="shared" si="56"/>
        <v/>
      </c>
      <c r="W196" t="str">
        <f t="shared" si="57"/>
        <v/>
      </c>
      <c r="X196">
        <f t="shared" si="58"/>
        <v>3</v>
      </c>
      <c r="Y196">
        <f t="shared" si="59"/>
        <v>0</v>
      </c>
      <c r="AA196">
        <f t="shared" si="60"/>
        <v>1</v>
      </c>
    </row>
    <row r="197" spans="1:27" x14ac:dyDescent="0.2">
      <c r="A197" t="s">
        <v>0</v>
      </c>
      <c r="B197" t="s">
        <v>35</v>
      </c>
      <c r="C197" t="s">
        <v>1322</v>
      </c>
      <c r="D197" t="s">
        <v>1051</v>
      </c>
      <c r="E197" t="s">
        <v>3</v>
      </c>
      <c r="F197" t="s">
        <v>1319</v>
      </c>
      <c r="G197" t="s">
        <v>1281</v>
      </c>
      <c r="H197" s="4">
        <f t="shared" si="44"/>
        <v>1</v>
      </c>
      <c r="I197" s="4" t="str">
        <f>IF(RIGHT(B197,1)="M",IF(AND(H197=1,E197="RFS",D197=INDEX('Station Depth Averages'!$A$3:$B$84,MATCH(B197,'Station Depth Averages'!$A$3:$A$84,0),2)),1,""),IF(AND(H197=1,OR(D197="SYN",D197="SRF",D197="MID")),1,IF(AND(H197=1,OR(E198="FDn",E198="LDn")),1,IF(AND(H197=1,OR(E197="FDn",E197="LDn")),1,""))))</f>
        <v/>
      </c>
      <c r="J197" s="4">
        <f t="shared" si="45"/>
        <v>1</v>
      </c>
      <c r="K197" s="4" t="str">
        <f t="shared" si="46"/>
        <v/>
      </c>
      <c r="L197" s="4" t="str">
        <f t="shared" si="47"/>
        <v/>
      </c>
      <c r="M197" s="4" t="str">
        <f t="shared" si="48"/>
        <v/>
      </c>
      <c r="N197" s="4" t="str">
        <f t="shared" si="49"/>
        <v/>
      </c>
      <c r="O197" s="4" t="str">
        <f t="shared" si="50"/>
        <v/>
      </c>
      <c r="P197" s="4" t="str">
        <f t="shared" si="51"/>
        <v/>
      </c>
      <c r="Q197" s="4" t="str">
        <f t="shared" si="52"/>
        <v/>
      </c>
      <c r="R197" s="4" t="str">
        <f t="shared" si="53"/>
        <v/>
      </c>
      <c r="S197" s="4" t="str">
        <f t="shared" si="54"/>
        <v/>
      </c>
      <c r="T197" s="4" t="str">
        <f t="shared" si="55"/>
        <v/>
      </c>
      <c r="U197">
        <f>IF(VLOOKUP(C197,'QA Table'!$Y$5:$Y$20,1,TRUE)=C197,1,0)</f>
        <v>0</v>
      </c>
      <c r="V197" t="str">
        <f t="shared" si="56"/>
        <v/>
      </c>
      <c r="W197" t="str">
        <f t="shared" si="57"/>
        <v/>
      </c>
      <c r="X197">
        <f t="shared" si="58"/>
        <v>3</v>
      </c>
      <c r="Y197">
        <f t="shared" si="59"/>
        <v>0</v>
      </c>
      <c r="AA197">
        <f t="shared" si="60"/>
        <v>1</v>
      </c>
    </row>
    <row r="198" spans="1:27" x14ac:dyDescent="0.2">
      <c r="A198" t="s">
        <v>0</v>
      </c>
      <c r="B198" t="s">
        <v>35</v>
      </c>
      <c r="C198" t="s">
        <v>1323</v>
      </c>
      <c r="D198" t="s">
        <v>120</v>
      </c>
      <c r="E198" t="s">
        <v>3</v>
      </c>
      <c r="F198" t="s">
        <v>1319</v>
      </c>
      <c r="G198" t="s">
        <v>1281</v>
      </c>
      <c r="H198" s="4">
        <f t="shared" si="44"/>
        <v>1</v>
      </c>
      <c r="I198" s="4">
        <f>IF(RIGHT(B198,1)="M",IF(AND(H198=1,E198="RFS",D198=INDEX('Station Depth Averages'!$A$3:$B$84,MATCH(B198,'Station Depth Averages'!$A$3:$A$84,0),2)),1,""),IF(AND(H198=1,OR(D198="SYN",D198="SRF",D198="MID")),1,IF(AND(H198=1,OR(E199="FDn",E199="LDn")),1,IF(AND(H198=1,OR(E198="FDn",E198="LDn")),1,""))))</f>
        <v>1</v>
      </c>
      <c r="J198" s="4">
        <f t="shared" si="45"/>
        <v>1</v>
      </c>
      <c r="K198" s="4" t="str">
        <f t="shared" si="46"/>
        <v/>
      </c>
      <c r="L198" s="4" t="str">
        <f t="shared" si="47"/>
        <v/>
      </c>
      <c r="M198" s="4" t="str">
        <f t="shared" si="48"/>
        <v/>
      </c>
      <c r="N198" s="4" t="str">
        <f t="shared" si="49"/>
        <v/>
      </c>
      <c r="O198" s="4" t="str">
        <f t="shared" si="50"/>
        <v/>
      </c>
      <c r="P198" s="4" t="str">
        <f t="shared" si="51"/>
        <v/>
      </c>
      <c r="Q198" s="4" t="str">
        <f t="shared" si="52"/>
        <v/>
      </c>
      <c r="R198" s="4" t="str">
        <f t="shared" si="53"/>
        <v/>
      </c>
      <c r="S198" s="4" t="str">
        <f t="shared" si="54"/>
        <v/>
      </c>
      <c r="T198" s="4" t="str">
        <f t="shared" si="55"/>
        <v/>
      </c>
      <c r="U198">
        <f>IF(VLOOKUP(C198,'QA Table'!$Y$5:$Y$20,1,TRUE)=C198,1,0)</f>
        <v>0</v>
      </c>
      <c r="V198" t="str">
        <f t="shared" si="56"/>
        <v/>
      </c>
      <c r="W198" t="str">
        <f t="shared" si="57"/>
        <v/>
      </c>
      <c r="X198">
        <f t="shared" si="58"/>
        <v>3</v>
      </c>
      <c r="Y198">
        <f t="shared" si="59"/>
        <v>0</v>
      </c>
      <c r="AA198">
        <f t="shared" si="60"/>
        <v>1</v>
      </c>
    </row>
    <row r="199" spans="1:27" x14ac:dyDescent="0.2">
      <c r="A199" t="s">
        <v>0</v>
      </c>
      <c r="B199" t="s">
        <v>35</v>
      </c>
      <c r="C199" t="s">
        <v>1324</v>
      </c>
      <c r="D199" t="s">
        <v>16</v>
      </c>
      <c r="E199" t="s">
        <v>3</v>
      </c>
      <c r="F199" t="s">
        <v>1319</v>
      </c>
      <c r="G199" t="s">
        <v>1281</v>
      </c>
      <c r="H199" s="4">
        <f t="shared" ref="H199:H262" si="61">IF(OR(RIGHT(C199,1)="A",RIGHT(C199,1)="B",RIGHT(C199,1)="C",D199="Benthos",D199="Sediment",D199="Sediments",D199="D100",D199="D20",D199="Mysis",E199="FD1",E199="LD1"),"",1)</f>
        <v>1</v>
      </c>
      <c r="I199" s="4" t="str">
        <f>IF(RIGHT(B199,1)="M",IF(AND(H199=1,E199="RFS",D199=INDEX('Station Depth Averages'!$A$3:$B$84,MATCH(B199,'Station Depth Averages'!$A$3:$A$84,0),2)),1,""),IF(AND(H199=1,OR(D199="SYN",D199="SRF",D199="MID")),1,IF(AND(H199=1,OR(E200="FDn",E200="LDn")),1,IF(AND(H199=1,OR(E199="FDn",E199="LDn")),1,""))))</f>
        <v/>
      </c>
      <c r="J199" s="4">
        <f t="shared" ref="J199:J262" si="62">IF(OR(D199="INT",D199="Benthos",D199="D100",D199="D20",E199="LDn",D199="mysis",D199="sediment",D199="sediments",OR(RIGHT(C199,1)="A",RIGHT(C199,1)="B",RIGHT(C199,1)="C",E199="FD1",E199="LD1")),"",1)</f>
        <v>1</v>
      </c>
      <c r="K199" s="4" t="str">
        <f t="shared" ref="K199:K262" si="63">IF(D199="INT",1,"")</f>
        <v/>
      </c>
      <c r="L199" s="4" t="str">
        <f t="shared" ref="L199:L262" si="64">IF(AND(LEFT(B199,1)="E",A199&lt;&gt;"E",RIGHT(B199,1)="M"),IF(AND(A199="w",D199="MID",E199="RFS"),1,IF(AND(A199="C",D199="5M",E199="RFS"),1,"")),IF(AND(RIGHT(B199,1)="M",D199="10M",E199="RFS"),1,""))</f>
        <v/>
      </c>
      <c r="M199" s="4" t="str">
        <f t="shared" ref="M199:M262" si="65">IF(L199=1,1,"")</f>
        <v/>
      </c>
      <c r="N199" s="4" t="str">
        <f t="shared" ref="N199:N262" si="66">IF(M199=1,1,"")</f>
        <v/>
      </c>
      <c r="O199" s="4" t="str">
        <f t="shared" ref="O199:O262" si="67">IF(N199=1,1,"")</f>
        <v/>
      </c>
      <c r="P199" s="4" t="str">
        <f t="shared" ref="P199:P262" si="68">IF(O199=1,1,"")</f>
        <v/>
      </c>
      <c r="Q199" s="4" t="str">
        <f t="shared" ref="Q199:Q262" si="69">IF(AND(OR(D199="INT",D199="DCL"),OR(LEFT(B199,2)="SU",LEFT(B199,2)="HU",LEFT(B199,2)="MI",LEFT(B199,2)="CS",LEFT(B199,2)="ON")),2,IF(AND(OR(D199="INT",D199="DCL"),LEFT(B199,2)="ER"),1,""))</f>
        <v/>
      </c>
      <c r="R199" s="4" t="str">
        <f t="shared" ref="R199:R262" si="70">IF(D199="benthos",1,"")</f>
        <v/>
      </c>
      <c r="S199" s="4" t="str">
        <f t="shared" ref="S199:S262" si="71">IF(D199="mysis",1,"")</f>
        <v/>
      </c>
      <c r="T199" s="4" t="str">
        <f t="shared" ref="T199:T262" si="72">IF(AND(OR(D199="d20",D199="d100"),LEFT(B199,2)="SU"),2,IF(OR(D199="D20",D199="d100"),1,""))</f>
        <v/>
      </c>
      <c r="U199">
        <f>IF(VLOOKUP(C199,'QA Table'!$Y$5:$Y$20,1,TRUE)=C199,1,0)</f>
        <v>0</v>
      </c>
      <c r="V199" t="str">
        <f t="shared" ref="V199:V262" si="73">IF(AND(D199="Sediment",RIGHT(C199,1)="8"),1,"")</f>
        <v/>
      </c>
      <c r="W199" t="str">
        <f t="shared" ref="W199:W262" si="74">IF(AND(D199="Sediment",RIGHT(C199,1)="9"),1,"")</f>
        <v/>
      </c>
      <c r="X199">
        <f t="shared" ref="X199:X262" si="75">IF(AND(H199=1,OR(LEFT(B199,1)="M",LEFT(B199,1)="E",LEFT(B199,1)="O",LEFT(B199,1)="C")),4,IF(AND(H199=1,OR(LEFT(B199,1)="H",LEFT(B199,1)="S")),3,""))</f>
        <v>3</v>
      </c>
      <c r="Y199">
        <f t="shared" ref="Y199:Y262" si="76">IF(U199=1,1,IF(AND(E199="LD1",U198=1),1,IF(AND(E199="FD1",U197=1),1,0)))</f>
        <v>0</v>
      </c>
      <c r="AA199">
        <f t="shared" ref="AA199:AA262" si="77">IF(X199&lt;&gt;"",1,"")</f>
        <v>1</v>
      </c>
    </row>
    <row r="200" spans="1:27" x14ac:dyDescent="0.2">
      <c r="A200" t="s">
        <v>0</v>
      </c>
      <c r="B200" t="s">
        <v>35</v>
      </c>
      <c r="C200" t="s">
        <v>1325</v>
      </c>
      <c r="D200" t="s">
        <v>17</v>
      </c>
      <c r="E200" t="s">
        <v>3</v>
      </c>
      <c r="F200" t="s">
        <v>1319</v>
      </c>
      <c r="G200" t="s">
        <v>1281</v>
      </c>
      <c r="H200" s="4">
        <f t="shared" si="61"/>
        <v>1</v>
      </c>
      <c r="I200" s="4" t="str">
        <f>IF(RIGHT(B200,1)="M",IF(AND(H200=1,E200="RFS",D200=INDEX('Station Depth Averages'!$A$3:$B$84,MATCH(B200,'Station Depth Averages'!$A$3:$A$84,0),2)),1,""),IF(AND(H200=1,OR(D200="SYN",D200="SRF",D200="MID")),1,IF(AND(H200=1,OR(E201="FDn",E201="LDn")),1,IF(AND(H200=1,OR(E200="FDn",E200="LDn")),1,""))))</f>
        <v/>
      </c>
      <c r="J200" s="4">
        <f t="shared" si="62"/>
        <v>1</v>
      </c>
      <c r="K200" s="4" t="str">
        <f t="shared" si="63"/>
        <v/>
      </c>
      <c r="L200" s="4" t="str">
        <f t="shared" si="64"/>
        <v/>
      </c>
      <c r="M200" s="4" t="str">
        <f t="shared" si="65"/>
        <v/>
      </c>
      <c r="N200" s="4" t="str">
        <f t="shared" si="66"/>
        <v/>
      </c>
      <c r="O200" s="4" t="str">
        <f t="shared" si="67"/>
        <v/>
      </c>
      <c r="P200" s="4" t="str">
        <f t="shared" si="68"/>
        <v/>
      </c>
      <c r="Q200" s="4" t="str">
        <f t="shared" si="69"/>
        <v/>
      </c>
      <c r="R200" s="4" t="str">
        <f t="shared" si="70"/>
        <v/>
      </c>
      <c r="S200" s="4" t="str">
        <f t="shared" si="71"/>
        <v/>
      </c>
      <c r="T200" s="4" t="str">
        <f t="shared" si="72"/>
        <v/>
      </c>
      <c r="U200">
        <f>IF(VLOOKUP(C200,'QA Table'!$Y$5:$Y$20,1,TRUE)=C200,1,0)</f>
        <v>0</v>
      </c>
      <c r="V200" t="str">
        <f t="shared" si="73"/>
        <v/>
      </c>
      <c r="W200" t="str">
        <f t="shared" si="74"/>
        <v/>
      </c>
      <c r="X200">
        <f t="shared" si="75"/>
        <v>3</v>
      </c>
      <c r="Y200">
        <f t="shared" si="76"/>
        <v>0</v>
      </c>
      <c r="AA200">
        <f t="shared" si="77"/>
        <v>1</v>
      </c>
    </row>
    <row r="201" spans="1:27" x14ac:dyDescent="0.2">
      <c r="A201" t="s">
        <v>0</v>
      </c>
      <c r="B201" t="s">
        <v>35</v>
      </c>
      <c r="C201" t="s">
        <v>1326</v>
      </c>
      <c r="D201" t="s">
        <v>5</v>
      </c>
      <c r="E201" t="s">
        <v>3</v>
      </c>
      <c r="F201" t="s">
        <v>1319</v>
      </c>
      <c r="G201" t="s">
        <v>1281</v>
      </c>
      <c r="H201" s="4">
        <f t="shared" si="61"/>
        <v>1</v>
      </c>
      <c r="I201" s="4" t="str">
        <f>IF(RIGHT(B201,1)="M",IF(AND(H201=1,E201="RFS",D201=INDEX('Station Depth Averages'!$A$3:$B$84,MATCH(B201,'Station Depth Averages'!$A$3:$A$84,0),2)),1,""),IF(AND(H201=1,OR(D201="SYN",D201="SRF",D201="MID")),1,IF(AND(H201=1,OR(E202="FDn",E202="LDn")),1,IF(AND(H201=1,OR(E201="FDn",E201="LDn")),1,""))))</f>
        <v/>
      </c>
      <c r="J201" s="4">
        <f t="shared" si="62"/>
        <v>1</v>
      </c>
      <c r="K201" s="4" t="str">
        <f t="shared" si="63"/>
        <v/>
      </c>
      <c r="L201" s="4" t="str">
        <f t="shared" si="64"/>
        <v/>
      </c>
      <c r="M201" s="4" t="str">
        <f t="shared" si="65"/>
        <v/>
      </c>
      <c r="N201" s="4" t="str">
        <f t="shared" si="66"/>
        <v/>
      </c>
      <c r="O201" s="4" t="str">
        <f t="shared" si="67"/>
        <v/>
      </c>
      <c r="P201" s="4" t="str">
        <f t="shared" si="68"/>
        <v/>
      </c>
      <c r="Q201" s="4" t="str">
        <f t="shared" si="69"/>
        <v/>
      </c>
      <c r="R201" s="4" t="str">
        <f t="shared" si="70"/>
        <v/>
      </c>
      <c r="S201" s="4" t="str">
        <f t="shared" si="71"/>
        <v/>
      </c>
      <c r="T201" s="4" t="str">
        <f t="shared" si="72"/>
        <v/>
      </c>
      <c r="U201">
        <f>IF(VLOOKUP(C201,'QA Table'!$Y$5:$Y$20,1,TRUE)=C201,1,0)</f>
        <v>0</v>
      </c>
      <c r="V201" t="str">
        <f t="shared" si="73"/>
        <v/>
      </c>
      <c r="W201" t="str">
        <f t="shared" si="74"/>
        <v/>
      </c>
      <c r="X201">
        <f t="shared" si="75"/>
        <v>3</v>
      </c>
      <c r="Y201">
        <f t="shared" si="76"/>
        <v>0</v>
      </c>
      <c r="AA201">
        <f t="shared" si="77"/>
        <v>1</v>
      </c>
    </row>
    <row r="202" spans="1:27" x14ac:dyDescent="0.2">
      <c r="A202" t="s">
        <v>0</v>
      </c>
      <c r="B202" t="s">
        <v>35</v>
      </c>
      <c r="C202" t="s">
        <v>1327</v>
      </c>
      <c r="D202" t="s">
        <v>6</v>
      </c>
      <c r="E202" t="s">
        <v>3</v>
      </c>
      <c r="F202" t="s">
        <v>1319</v>
      </c>
      <c r="G202" t="s">
        <v>1281</v>
      </c>
      <c r="H202" s="4">
        <f t="shared" si="61"/>
        <v>1</v>
      </c>
      <c r="I202" s="4" t="str">
        <f>IF(RIGHT(B202,1)="M",IF(AND(H202=1,E202="RFS",D202=INDEX('Station Depth Averages'!$A$3:$B$84,MATCH(B202,'Station Depth Averages'!$A$3:$A$84,0),2)),1,""),IF(AND(H202=1,OR(D202="SYN",D202="SRF",D202="MID")),1,IF(AND(H202=1,OR(E203="FDn",E203="LDn")),1,IF(AND(H202=1,OR(E202="FDn",E202="LDn")),1,""))))</f>
        <v/>
      </c>
      <c r="J202" s="4">
        <f t="shared" si="62"/>
        <v>1</v>
      </c>
      <c r="K202" s="4" t="str">
        <f t="shared" si="63"/>
        <v/>
      </c>
      <c r="L202" s="4" t="str">
        <f t="shared" si="64"/>
        <v/>
      </c>
      <c r="M202" s="4" t="str">
        <f t="shared" si="65"/>
        <v/>
      </c>
      <c r="N202" s="4" t="str">
        <f t="shared" si="66"/>
        <v/>
      </c>
      <c r="O202" s="4" t="str">
        <f t="shared" si="67"/>
        <v/>
      </c>
      <c r="P202" s="4" t="str">
        <f t="shared" si="68"/>
        <v/>
      </c>
      <c r="Q202" s="4" t="str">
        <f t="shared" si="69"/>
        <v/>
      </c>
      <c r="R202" s="4" t="str">
        <f t="shared" si="70"/>
        <v/>
      </c>
      <c r="S202" s="4" t="str">
        <f t="shared" si="71"/>
        <v/>
      </c>
      <c r="T202" s="4" t="str">
        <f t="shared" si="72"/>
        <v/>
      </c>
      <c r="U202">
        <f>IF(VLOOKUP(C202,'QA Table'!$Y$5:$Y$20,1,TRUE)=C202,1,0)</f>
        <v>0</v>
      </c>
      <c r="V202" t="str">
        <f t="shared" si="73"/>
        <v/>
      </c>
      <c r="W202" t="str">
        <f t="shared" si="74"/>
        <v/>
      </c>
      <c r="X202">
        <f t="shared" si="75"/>
        <v>3</v>
      </c>
      <c r="Y202">
        <f t="shared" si="76"/>
        <v>0</v>
      </c>
      <c r="AA202">
        <f t="shared" si="77"/>
        <v>1</v>
      </c>
    </row>
    <row r="203" spans="1:27" x14ac:dyDescent="0.2">
      <c r="A203" t="s">
        <v>0</v>
      </c>
      <c r="B203" t="s">
        <v>35</v>
      </c>
      <c r="C203" t="s">
        <v>1328</v>
      </c>
      <c r="D203" t="s">
        <v>8</v>
      </c>
      <c r="E203" t="s">
        <v>3</v>
      </c>
      <c r="F203" t="s">
        <v>1319</v>
      </c>
      <c r="G203" t="s">
        <v>1281</v>
      </c>
      <c r="H203" s="4">
        <f t="shared" si="61"/>
        <v>1</v>
      </c>
      <c r="I203" s="4" t="str">
        <f>IF(RIGHT(B203,1)="M",IF(AND(H203=1,E203="RFS",D203=INDEX('Station Depth Averages'!$A$3:$B$84,MATCH(B203,'Station Depth Averages'!$A$3:$A$84,0),2)),1,""),IF(AND(H203=1,OR(D203="SYN",D203="SRF",D203="MID")),1,IF(AND(H203=1,OR(E204="FDn",E204="LDn")),1,IF(AND(H203=1,OR(E203="FDn",E203="LDn")),1,""))))</f>
        <v/>
      </c>
      <c r="J203" s="4" t="str">
        <f t="shared" si="62"/>
        <v/>
      </c>
      <c r="K203" s="4">
        <f t="shared" si="63"/>
        <v>1</v>
      </c>
      <c r="L203" s="4" t="str">
        <f t="shared" si="64"/>
        <v/>
      </c>
      <c r="M203" s="4" t="str">
        <f t="shared" si="65"/>
        <v/>
      </c>
      <c r="N203" s="4" t="str">
        <f t="shared" si="66"/>
        <v/>
      </c>
      <c r="O203" s="4" t="str">
        <f t="shared" si="67"/>
        <v/>
      </c>
      <c r="P203" s="4" t="str">
        <f t="shared" si="68"/>
        <v/>
      </c>
      <c r="Q203" s="4">
        <f t="shared" si="69"/>
        <v>2</v>
      </c>
      <c r="R203" s="4" t="str">
        <f t="shared" si="70"/>
        <v/>
      </c>
      <c r="S203" s="4" t="str">
        <f t="shared" si="71"/>
        <v/>
      </c>
      <c r="T203" s="4" t="str">
        <f t="shared" si="72"/>
        <v/>
      </c>
      <c r="U203">
        <f>IF(VLOOKUP(C203,'QA Table'!$Y$5:$Y$20,1,TRUE)=C203,1,0)</f>
        <v>0</v>
      </c>
      <c r="V203" t="str">
        <f t="shared" si="73"/>
        <v/>
      </c>
      <c r="W203" t="str">
        <f t="shared" si="74"/>
        <v/>
      </c>
      <c r="X203">
        <f t="shared" si="75"/>
        <v>3</v>
      </c>
      <c r="Y203">
        <f t="shared" si="76"/>
        <v>0</v>
      </c>
      <c r="AA203">
        <f t="shared" si="77"/>
        <v>1</v>
      </c>
    </row>
    <row r="204" spans="1:27" x14ac:dyDescent="0.2">
      <c r="A204" t="s">
        <v>0</v>
      </c>
      <c r="B204" t="s">
        <v>35</v>
      </c>
      <c r="C204" t="s">
        <v>1329</v>
      </c>
      <c r="D204" t="s">
        <v>9</v>
      </c>
      <c r="E204" t="s">
        <v>3</v>
      </c>
      <c r="F204" t="s">
        <v>1319</v>
      </c>
      <c r="G204" t="s">
        <v>1281</v>
      </c>
      <c r="H204" s="4" t="str">
        <f t="shared" si="61"/>
        <v/>
      </c>
      <c r="I204" s="4" t="str">
        <f>IF(RIGHT(B204,1)="M",IF(AND(H204=1,E204="RFS",D204=INDEX('Station Depth Averages'!$A$3:$B$84,MATCH(B204,'Station Depth Averages'!$A$3:$A$84,0),2)),1,""),IF(AND(H204=1,OR(D204="SYN",D204="SRF",D204="MID")),1,IF(AND(H204=1,OR(E205="FDn",E205="LDn")),1,IF(AND(H204=1,OR(E204="FDn",E204="LDn")),1,""))))</f>
        <v/>
      </c>
      <c r="J204" s="4" t="str">
        <f t="shared" si="62"/>
        <v/>
      </c>
      <c r="K204" s="4" t="str">
        <f t="shared" si="63"/>
        <v/>
      </c>
      <c r="L204" s="4" t="str">
        <f t="shared" si="64"/>
        <v/>
      </c>
      <c r="M204" s="4" t="str">
        <f t="shared" si="65"/>
        <v/>
      </c>
      <c r="N204" s="4" t="str">
        <f t="shared" si="66"/>
        <v/>
      </c>
      <c r="O204" s="4" t="str">
        <f t="shared" si="67"/>
        <v/>
      </c>
      <c r="P204" s="4" t="str">
        <f t="shared" si="68"/>
        <v/>
      </c>
      <c r="Q204" s="4" t="str">
        <f t="shared" si="69"/>
        <v/>
      </c>
      <c r="R204" s="4" t="str">
        <f t="shared" si="70"/>
        <v/>
      </c>
      <c r="S204" s="4" t="str">
        <f t="shared" si="71"/>
        <v/>
      </c>
      <c r="T204" s="4">
        <f t="shared" si="72"/>
        <v>1</v>
      </c>
      <c r="U204">
        <f>IF(VLOOKUP(C204,'QA Table'!$Y$5:$Y$20,1,TRUE)=C204,1,0)</f>
        <v>0</v>
      </c>
      <c r="V204" t="str">
        <f t="shared" si="73"/>
        <v/>
      </c>
      <c r="W204" t="str">
        <f t="shared" si="74"/>
        <v/>
      </c>
      <c r="X204" t="str">
        <f t="shared" si="75"/>
        <v/>
      </c>
      <c r="Y204">
        <f t="shared" si="76"/>
        <v>0</v>
      </c>
      <c r="AA204" t="str">
        <f t="shared" si="77"/>
        <v/>
      </c>
    </row>
    <row r="205" spans="1:27" x14ac:dyDescent="0.2">
      <c r="A205" t="s">
        <v>0</v>
      </c>
      <c r="B205" t="s">
        <v>35</v>
      </c>
      <c r="C205" t="s">
        <v>1330</v>
      </c>
      <c r="D205" t="s">
        <v>10</v>
      </c>
      <c r="E205" t="s">
        <v>3</v>
      </c>
      <c r="F205" t="s">
        <v>1319</v>
      </c>
      <c r="G205" t="s">
        <v>1281</v>
      </c>
      <c r="H205" s="4" t="str">
        <f t="shared" si="61"/>
        <v/>
      </c>
      <c r="I205" s="4" t="str">
        <f>IF(RIGHT(B205,1)="M",IF(AND(H205=1,E205="RFS",D205=INDEX('Station Depth Averages'!$A$3:$B$84,MATCH(B205,'Station Depth Averages'!$A$3:$A$84,0),2)),1,""),IF(AND(H205=1,OR(D205="SYN",D205="SRF",D205="MID")),1,IF(AND(H205=1,OR(E206="FDn",E206="LDn")),1,IF(AND(H205=1,OR(E205="FDn",E205="LDn")),1,""))))</f>
        <v/>
      </c>
      <c r="J205" s="4" t="str">
        <f t="shared" si="62"/>
        <v/>
      </c>
      <c r="K205" s="4" t="str">
        <f t="shared" si="63"/>
        <v/>
      </c>
      <c r="L205" s="4" t="str">
        <f t="shared" si="64"/>
        <v/>
      </c>
      <c r="M205" s="4" t="str">
        <f t="shared" si="65"/>
        <v/>
      </c>
      <c r="N205" s="4" t="str">
        <f t="shared" si="66"/>
        <v/>
      </c>
      <c r="O205" s="4" t="str">
        <f t="shared" si="67"/>
        <v/>
      </c>
      <c r="P205" s="4" t="str">
        <f t="shared" si="68"/>
        <v/>
      </c>
      <c r="Q205" s="4" t="str">
        <f t="shared" si="69"/>
        <v/>
      </c>
      <c r="R205" s="4" t="str">
        <f t="shared" si="70"/>
        <v/>
      </c>
      <c r="S205" s="4" t="str">
        <f t="shared" si="71"/>
        <v/>
      </c>
      <c r="T205" s="4">
        <f t="shared" si="72"/>
        <v>1</v>
      </c>
      <c r="U205">
        <f>IF(VLOOKUP(C205,'QA Table'!$Y$5:$Y$20,1,TRUE)=C205,1,0)</f>
        <v>0</v>
      </c>
      <c r="V205" t="str">
        <f t="shared" si="73"/>
        <v/>
      </c>
      <c r="W205" t="str">
        <f t="shared" si="74"/>
        <v/>
      </c>
      <c r="X205" t="str">
        <f t="shared" si="75"/>
        <v/>
      </c>
      <c r="Y205">
        <f t="shared" si="76"/>
        <v>0</v>
      </c>
      <c r="AA205" t="str">
        <f t="shared" si="77"/>
        <v/>
      </c>
    </row>
    <row r="206" spans="1:27" x14ac:dyDescent="0.2">
      <c r="A206" t="s">
        <v>0</v>
      </c>
      <c r="B206" t="s">
        <v>35</v>
      </c>
      <c r="C206" t="s">
        <v>1331</v>
      </c>
      <c r="D206" t="s">
        <v>1034</v>
      </c>
      <c r="E206" t="s">
        <v>3</v>
      </c>
      <c r="F206" t="s">
        <v>1319</v>
      </c>
      <c r="G206" t="s">
        <v>1281</v>
      </c>
      <c r="H206" s="4" t="str">
        <f t="shared" si="61"/>
        <v/>
      </c>
      <c r="I206" s="4" t="str">
        <f>IF(RIGHT(B206,1)="M",IF(AND(H206=1,E206="RFS",D206=INDEX('Station Depth Averages'!$A$3:$B$84,MATCH(B206,'Station Depth Averages'!$A$3:$A$84,0),2)),1,""),IF(AND(H206=1,OR(D206="SYN",D206="SRF",D206="MID")),1,IF(AND(H206=1,OR(E207="FDn",E207="LDn")),1,IF(AND(H206=1,OR(E206="FDn",E206="LDn")),1,""))))</f>
        <v/>
      </c>
      <c r="J206" s="4" t="str">
        <f t="shared" si="62"/>
        <v/>
      </c>
      <c r="K206" s="4" t="str">
        <f t="shared" si="63"/>
        <v/>
      </c>
      <c r="L206" s="4" t="str">
        <f t="shared" si="64"/>
        <v/>
      </c>
      <c r="M206" s="4" t="str">
        <f t="shared" si="65"/>
        <v/>
      </c>
      <c r="N206" s="4" t="str">
        <f t="shared" si="66"/>
        <v/>
      </c>
      <c r="O206" s="4" t="str">
        <f t="shared" si="67"/>
        <v/>
      </c>
      <c r="P206" s="4" t="str">
        <f t="shared" si="68"/>
        <v/>
      </c>
      <c r="Q206" s="4" t="str">
        <f t="shared" si="69"/>
        <v/>
      </c>
      <c r="R206" s="4" t="str">
        <f t="shared" si="70"/>
        <v/>
      </c>
      <c r="S206" s="4">
        <f t="shared" si="71"/>
        <v>1</v>
      </c>
      <c r="T206" s="4" t="str">
        <f t="shared" si="72"/>
        <v/>
      </c>
      <c r="U206">
        <f>IF(VLOOKUP(C206,'QA Table'!$Y$5:$Y$20,1,TRUE)=C206,1,0)</f>
        <v>0</v>
      </c>
      <c r="V206" t="str">
        <f t="shared" si="73"/>
        <v/>
      </c>
      <c r="W206" t="str">
        <f t="shared" si="74"/>
        <v/>
      </c>
      <c r="X206" t="str">
        <f t="shared" si="75"/>
        <v/>
      </c>
      <c r="Y206">
        <f t="shared" si="76"/>
        <v>0</v>
      </c>
      <c r="AA206" t="str">
        <f t="shared" si="77"/>
        <v/>
      </c>
    </row>
    <row r="207" spans="1:27" x14ac:dyDescent="0.2">
      <c r="A207" t="s">
        <v>0</v>
      </c>
      <c r="B207" t="s">
        <v>35</v>
      </c>
      <c r="C207" t="s">
        <v>1332</v>
      </c>
      <c r="D207" t="s">
        <v>1034</v>
      </c>
      <c r="E207" t="s">
        <v>19</v>
      </c>
      <c r="F207" t="s">
        <v>1319</v>
      </c>
      <c r="G207" t="s">
        <v>1281</v>
      </c>
      <c r="H207" s="4" t="str">
        <f t="shared" si="61"/>
        <v/>
      </c>
      <c r="I207" s="4" t="str">
        <f>IF(RIGHT(B207,1)="M",IF(AND(H207=1,E207="RFS",D207=INDEX('Station Depth Averages'!$A$3:$B$84,MATCH(B207,'Station Depth Averages'!$A$3:$A$84,0),2)),1,""),IF(AND(H207=1,OR(D207="SYN",D207="SRF",D207="MID")),1,IF(AND(H207=1,OR(E208="FDn",E208="LDn")),1,IF(AND(H207=1,OR(E207="FDn",E207="LDn")),1,""))))</f>
        <v/>
      </c>
      <c r="J207" s="4" t="str">
        <f t="shared" si="62"/>
        <v/>
      </c>
      <c r="K207" s="4" t="str">
        <f t="shared" si="63"/>
        <v/>
      </c>
      <c r="L207" s="4" t="str">
        <f t="shared" si="64"/>
        <v/>
      </c>
      <c r="M207" s="4" t="str">
        <f t="shared" si="65"/>
        <v/>
      </c>
      <c r="N207" s="4" t="str">
        <f t="shared" si="66"/>
        <v/>
      </c>
      <c r="O207" s="4" t="str">
        <f t="shared" si="67"/>
        <v/>
      </c>
      <c r="P207" s="4" t="str">
        <f t="shared" si="68"/>
        <v/>
      </c>
      <c r="Q207" s="4" t="str">
        <f t="shared" si="69"/>
        <v/>
      </c>
      <c r="R207" s="4" t="str">
        <f t="shared" si="70"/>
        <v/>
      </c>
      <c r="S207" s="4">
        <f t="shared" si="71"/>
        <v>1</v>
      </c>
      <c r="T207" s="4" t="str">
        <f t="shared" si="72"/>
        <v/>
      </c>
      <c r="U207">
        <f>IF(VLOOKUP(C207,'QA Table'!$Y$5:$Y$20,1,TRUE)=C207,1,0)</f>
        <v>0</v>
      </c>
      <c r="V207" t="str">
        <f t="shared" si="73"/>
        <v/>
      </c>
      <c r="W207" t="str">
        <f t="shared" si="74"/>
        <v/>
      </c>
      <c r="X207" t="str">
        <f t="shared" si="75"/>
        <v/>
      </c>
      <c r="Y207">
        <f t="shared" si="76"/>
        <v>0</v>
      </c>
      <c r="AA207" t="str">
        <f t="shared" si="77"/>
        <v/>
      </c>
    </row>
    <row r="208" spans="1:27" x14ac:dyDescent="0.2">
      <c r="A208" t="s">
        <v>0</v>
      </c>
      <c r="B208" t="s">
        <v>36</v>
      </c>
      <c r="C208" t="s">
        <v>1333</v>
      </c>
      <c r="D208" t="s">
        <v>2</v>
      </c>
      <c r="E208" t="s">
        <v>3</v>
      </c>
      <c r="F208" t="s">
        <v>1334</v>
      </c>
      <c r="G208" t="s">
        <v>1281</v>
      </c>
      <c r="H208" s="4">
        <f t="shared" si="61"/>
        <v>1</v>
      </c>
      <c r="I208" s="4">
        <f>IF(RIGHT(B208,1)="M",IF(AND(H208=1,E208="RFS",D208=INDEX('Station Depth Averages'!$A$3:$B$84,MATCH(B208,'Station Depth Averages'!$A$3:$A$84,0),2)),1,""),IF(AND(H208=1,OR(D208="SYN",D208="SRF",D208="MID")),1,IF(AND(H208=1,OR(E209="FDn",E209="LDn")),1,IF(AND(H208=1,OR(E208="FDn",E208="LDn")),1,""))))</f>
        <v>1</v>
      </c>
      <c r="J208" s="4">
        <f t="shared" si="62"/>
        <v>1</v>
      </c>
      <c r="K208" s="4" t="str">
        <f t="shared" si="63"/>
        <v/>
      </c>
      <c r="L208" s="4" t="str">
        <f t="shared" si="64"/>
        <v/>
      </c>
      <c r="M208" s="4" t="str">
        <f t="shared" si="65"/>
        <v/>
      </c>
      <c r="N208" s="4" t="str">
        <f t="shared" si="66"/>
        <v/>
      </c>
      <c r="O208" s="4" t="str">
        <f t="shared" si="67"/>
        <v/>
      </c>
      <c r="P208" s="4" t="str">
        <f t="shared" si="68"/>
        <v/>
      </c>
      <c r="Q208" s="4" t="str">
        <f t="shared" si="69"/>
        <v/>
      </c>
      <c r="R208" s="4" t="str">
        <f t="shared" si="70"/>
        <v/>
      </c>
      <c r="S208" s="4" t="str">
        <f t="shared" si="71"/>
        <v/>
      </c>
      <c r="T208" s="4" t="str">
        <f t="shared" si="72"/>
        <v/>
      </c>
      <c r="U208">
        <f>IF(VLOOKUP(C208,'QA Table'!$Y$5:$Y$20,1,TRUE)=C208,1,0)</f>
        <v>0</v>
      </c>
      <c r="V208" t="str">
        <f t="shared" si="73"/>
        <v/>
      </c>
      <c r="W208" t="str">
        <f t="shared" si="74"/>
        <v/>
      </c>
      <c r="X208">
        <f t="shared" si="75"/>
        <v>3</v>
      </c>
      <c r="Y208">
        <f t="shared" si="76"/>
        <v>0</v>
      </c>
      <c r="AA208">
        <f t="shared" si="77"/>
        <v>1</v>
      </c>
    </row>
    <row r="209" spans="1:27" x14ac:dyDescent="0.2">
      <c r="A209" t="s">
        <v>0</v>
      </c>
      <c r="B209" t="s">
        <v>36</v>
      </c>
      <c r="C209" t="s">
        <v>1335</v>
      </c>
      <c r="D209" t="s">
        <v>1050</v>
      </c>
      <c r="E209" t="s">
        <v>3</v>
      </c>
      <c r="F209" t="s">
        <v>1334</v>
      </c>
      <c r="G209" t="s">
        <v>1281</v>
      </c>
      <c r="H209" s="4" t="str">
        <f t="shared" si="61"/>
        <v/>
      </c>
      <c r="I209" s="4" t="str">
        <f>IF(RIGHT(B209,1)="M",IF(AND(H209=1,E209="RFS",D209=INDEX('Station Depth Averages'!$A$3:$B$84,MATCH(B209,'Station Depth Averages'!$A$3:$A$84,0),2)),1,""),IF(AND(H209=1,OR(D209="SYN",D209="SRF",D209="MID")),1,IF(AND(H209=1,OR(E210="FDn",E210="LDn")),1,IF(AND(H209=1,OR(E209="FDn",E209="LDn")),1,""))))</f>
        <v/>
      </c>
      <c r="J209" s="4" t="str">
        <f t="shared" si="62"/>
        <v/>
      </c>
      <c r="K209" s="4" t="str">
        <f t="shared" si="63"/>
        <v/>
      </c>
      <c r="L209" s="4" t="str">
        <f t="shared" si="64"/>
        <v/>
      </c>
      <c r="M209" s="4" t="str">
        <f t="shared" si="65"/>
        <v/>
      </c>
      <c r="N209" s="4" t="str">
        <f t="shared" si="66"/>
        <v/>
      </c>
      <c r="O209" s="4" t="str">
        <f t="shared" si="67"/>
        <v/>
      </c>
      <c r="P209" s="4" t="str">
        <f t="shared" si="68"/>
        <v/>
      </c>
      <c r="Q209" s="4" t="str">
        <f t="shared" si="69"/>
        <v/>
      </c>
      <c r="R209" s="4" t="str">
        <f t="shared" si="70"/>
        <v/>
      </c>
      <c r="S209" s="4" t="str">
        <f t="shared" si="71"/>
        <v/>
      </c>
      <c r="T209" s="4" t="str">
        <f t="shared" si="72"/>
        <v/>
      </c>
      <c r="U209">
        <f>IF(VLOOKUP(C209,'QA Table'!$Y$5:$Y$20,1,TRUE)=C209,1,0)</f>
        <v>0</v>
      </c>
      <c r="V209" t="str">
        <f t="shared" si="73"/>
        <v/>
      </c>
      <c r="W209" t="str">
        <f t="shared" si="74"/>
        <v/>
      </c>
      <c r="X209" t="str">
        <f t="shared" si="75"/>
        <v/>
      </c>
      <c r="Y209">
        <f t="shared" si="76"/>
        <v>0</v>
      </c>
      <c r="AA209" t="str">
        <f t="shared" si="77"/>
        <v/>
      </c>
    </row>
    <row r="210" spans="1:27" x14ac:dyDescent="0.2">
      <c r="A210" t="s">
        <v>0</v>
      </c>
      <c r="B210" t="s">
        <v>36</v>
      </c>
      <c r="C210" t="s">
        <v>1336</v>
      </c>
      <c r="D210" t="s">
        <v>4</v>
      </c>
      <c r="E210" t="s">
        <v>3</v>
      </c>
      <c r="F210" t="s">
        <v>1334</v>
      </c>
      <c r="G210" t="s">
        <v>1281</v>
      </c>
      <c r="H210" s="4" t="str">
        <f t="shared" si="61"/>
        <v/>
      </c>
      <c r="I210" s="4" t="str">
        <f>IF(RIGHT(B210,1)="M",IF(AND(H210=1,E210="RFS",D210=INDEX('Station Depth Averages'!$A$3:$B$84,MATCH(B210,'Station Depth Averages'!$A$3:$A$84,0),2)),1,""),IF(AND(H210=1,OR(D210="SYN",D210="SRF",D210="MID")),1,IF(AND(H210=1,OR(E211="FDn",E211="LDn")),1,IF(AND(H210=1,OR(E210="FDn",E210="LDn")),1,""))))</f>
        <v/>
      </c>
      <c r="J210" s="4" t="str">
        <f t="shared" si="62"/>
        <v/>
      </c>
      <c r="K210" s="4" t="str">
        <f t="shared" si="63"/>
        <v/>
      </c>
      <c r="L210" s="4" t="str">
        <f t="shared" si="64"/>
        <v/>
      </c>
      <c r="M210" s="4" t="str">
        <f t="shared" si="65"/>
        <v/>
      </c>
      <c r="N210" s="4" t="str">
        <f t="shared" si="66"/>
        <v/>
      </c>
      <c r="O210" s="4" t="str">
        <f t="shared" si="67"/>
        <v/>
      </c>
      <c r="P210" s="4" t="str">
        <f t="shared" si="68"/>
        <v/>
      </c>
      <c r="Q210" s="4" t="str">
        <f t="shared" si="69"/>
        <v/>
      </c>
      <c r="R210" s="4" t="str">
        <f t="shared" si="70"/>
        <v/>
      </c>
      <c r="S210" s="4" t="str">
        <f t="shared" si="71"/>
        <v/>
      </c>
      <c r="T210" s="4" t="str">
        <f t="shared" si="72"/>
        <v/>
      </c>
      <c r="U210">
        <f>IF(VLOOKUP(C210,'QA Table'!$Y$5:$Y$20,1,TRUE)=C210,1,0)</f>
        <v>0</v>
      </c>
      <c r="V210" t="str">
        <f t="shared" si="73"/>
        <v/>
      </c>
      <c r="W210" t="str">
        <f t="shared" si="74"/>
        <v/>
      </c>
      <c r="X210" t="str">
        <f t="shared" si="75"/>
        <v/>
      </c>
      <c r="Y210">
        <f t="shared" si="76"/>
        <v>0</v>
      </c>
      <c r="AA210" t="str">
        <f t="shared" si="77"/>
        <v/>
      </c>
    </row>
    <row r="211" spans="1:27" x14ac:dyDescent="0.2">
      <c r="A211" t="s">
        <v>0</v>
      </c>
      <c r="B211" t="s">
        <v>36</v>
      </c>
      <c r="C211" t="s">
        <v>1337</v>
      </c>
      <c r="D211" t="s">
        <v>1051</v>
      </c>
      <c r="E211" t="s">
        <v>3</v>
      </c>
      <c r="F211" t="s">
        <v>1334</v>
      </c>
      <c r="G211" t="s">
        <v>1281</v>
      </c>
      <c r="H211" s="4" t="str">
        <f t="shared" si="61"/>
        <v/>
      </c>
      <c r="I211" s="4" t="str">
        <f>IF(RIGHT(B211,1)="M",IF(AND(H211=1,E211="RFS",D211=INDEX('Station Depth Averages'!$A$3:$B$84,MATCH(B211,'Station Depth Averages'!$A$3:$A$84,0),2)),1,""),IF(AND(H211=1,OR(D211="SYN",D211="SRF",D211="MID")),1,IF(AND(H211=1,OR(E212="FDn",E212="LDn")),1,IF(AND(H211=1,OR(E211="FDn",E211="LDn")),1,""))))</f>
        <v/>
      </c>
      <c r="J211" s="4" t="str">
        <f t="shared" si="62"/>
        <v/>
      </c>
      <c r="K211" s="4" t="str">
        <f t="shared" si="63"/>
        <v/>
      </c>
      <c r="L211" s="4" t="str">
        <f t="shared" si="64"/>
        <v/>
      </c>
      <c r="M211" s="4" t="str">
        <f t="shared" si="65"/>
        <v/>
      </c>
      <c r="N211" s="4" t="str">
        <f t="shared" si="66"/>
        <v/>
      </c>
      <c r="O211" s="4" t="str">
        <f t="shared" si="67"/>
        <v/>
      </c>
      <c r="P211" s="4" t="str">
        <f t="shared" si="68"/>
        <v/>
      </c>
      <c r="Q211" s="4" t="str">
        <f t="shared" si="69"/>
        <v/>
      </c>
      <c r="R211" s="4" t="str">
        <f t="shared" si="70"/>
        <v/>
      </c>
      <c r="S211" s="4" t="str">
        <f t="shared" si="71"/>
        <v/>
      </c>
      <c r="T211" s="4" t="str">
        <f t="shared" si="72"/>
        <v/>
      </c>
      <c r="U211">
        <f>IF(VLOOKUP(C211,'QA Table'!$Y$5:$Y$20,1,TRUE)=C211,1,0)</f>
        <v>0</v>
      </c>
      <c r="V211" t="str">
        <f t="shared" si="73"/>
        <v/>
      </c>
      <c r="W211" t="str">
        <f t="shared" si="74"/>
        <v/>
      </c>
      <c r="X211" t="str">
        <f t="shared" si="75"/>
        <v/>
      </c>
      <c r="Y211">
        <f t="shared" si="76"/>
        <v>0</v>
      </c>
      <c r="AA211" t="str">
        <f t="shared" si="77"/>
        <v/>
      </c>
    </row>
    <row r="212" spans="1:27" x14ac:dyDescent="0.2">
      <c r="A212" t="s">
        <v>0</v>
      </c>
      <c r="B212" t="s">
        <v>36</v>
      </c>
      <c r="C212" t="s">
        <v>1338</v>
      </c>
      <c r="D212" t="s">
        <v>119</v>
      </c>
      <c r="E212" t="s">
        <v>3</v>
      </c>
      <c r="F212" t="s">
        <v>1334</v>
      </c>
      <c r="G212" t="s">
        <v>1281</v>
      </c>
      <c r="H212" s="4">
        <f t="shared" si="61"/>
        <v>1</v>
      </c>
      <c r="I212" s="4">
        <f>IF(RIGHT(B212,1)="M",IF(AND(H212=1,E212="RFS",D212=INDEX('Station Depth Averages'!$A$3:$B$84,MATCH(B212,'Station Depth Averages'!$A$3:$A$84,0),2)),1,""),IF(AND(H212=1,OR(D212="SYN",D212="SRF",D212="MID")),1,IF(AND(H212=1,OR(E213="FDn",E213="LDn")),1,IF(AND(H212=1,OR(E212="FDn",E212="LDn")),1,""))))</f>
        <v>1</v>
      </c>
      <c r="J212" s="4">
        <f t="shared" si="62"/>
        <v>1</v>
      </c>
      <c r="K212" s="4" t="str">
        <f t="shared" si="63"/>
        <v/>
      </c>
      <c r="L212" s="4" t="str">
        <f t="shared" si="64"/>
        <v/>
      </c>
      <c r="M212" s="4" t="str">
        <f t="shared" si="65"/>
        <v/>
      </c>
      <c r="N212" s="4" t="str">
        <f t="shared" si="66"/>
        <v/>
      </c>
      <c r="O212" s="4" t="str">
        <f t="shared" si="67"/>
        <v/>
      </c>
      <c r="P212" s="4" t="str">
        <f t="shared" si="68"/>
        <v/>
      </c>
      <c r="Q212" s="4" t="str">
        <f t="shared" si="69"/>
        <v/>
      </c>
      <c r="R212" s="4" t="str">
        <f t="shared" si="70"/>
        <v/>
      </c>
      <c r="S212" s="4" t="str">
        <f t="shared" si="71"/>
        <v/>
      </c>
      <c r="T212" s="4" t="str">
        <f t="shared" si="72"/>
        <v/>
      </c>
      <c r="U212">
        <f>IF(VLOOKUP(C212,'QA Table'!$Y$5:$Y$20,1,TRUE)=C212,1,0)</f>
        <v>0</v>
      </c>
      <c r="V212" t="str">
        <f t="shared" si="73"/>
        <v/>
      </c>
      <c r="W212" t="str">
        <f t="shared" si="74"/>
        <v/>
      </c>
      <c r="X212">
        <f t="shared" si="75"/>
        <v>3</v>
      </c>
      <c r="Y212">
        <f t="shared" si="76"/>
        <v>0</v>
      </c>
      <c r="AA212">
        <f t="shared" si="77"/>
        <v>1</v>
      </c>
    </row>
    <row r="213" spans="1:27" x14ac:dyDescent="0.2">
      <c r="A213" t="s">
        <v>0</v>
      </c>
      <c r="B213" t="s">
        <v>36</v>
      </c>
      <c r="C213" t="s">
        <v>1087</v>
      </c>
      <c r="D213" t="s">
        <v>5</v>
      </c>
      <c r="E213" t="s">
        <v>3</v>
      </c>
      <c r="F213" t="s">
        <v>1334</v>
      </c>
      <c r="G213" t="s">
        <v>1281</v>
      </c>
      <c r="H213" s="4">
        <f t="shared" si="61"/>
        <v>1</v>
      </c>
      <c r="I213" s="4">
        <f>IF(RIGHT(B213,1)="M",IF(AND(H213=1,E213="RFS",D213=INDEX('Station Depth Averages'!$A$3:$B$84,MATCH(B213,'Station Depth Averages'!$A$3:$A$84,0),2)),1,""),IF(AND(H213=1,OR(D213="SYN",D213="SRF",D213="MID")),1,IF(AND(H213=1,OR(E214="FDn",E214="LDn")),1,IF(AND(H213=1,OR(E213="FDn",E213="LDn")),1,""))))</f>
        <v>1</v>
      </c>
      <c r="J213" s="4">
        <f t="shared" si="62"/>
        <v>1</v>
      </c>
      <c r="K213" s="4" t="str">
        <f t="shared" si="63"/>
        <v/>
      </c>
      <c r="L213" s="4" t="str">
        <f t="shared" si="64"/>
        <v/>
      </c>
      <c r="M213" s="4" t="str">
        <f t="shared" si="65"/>
        <v/>
      </c>
      <c r="N213" s="4" t="str">
        <f t="shared" si="66"/>
        <v/>
      </c>
      <c r="O213" s="4" t="str">
        <f t="shared" si="67"/>
        <v/>
      </c>
      <c r="P213" s="4" t="str">
        <f t="shared" si="68"/>
        <v/>
      </c>
      <c r="Q213" s="4" t="str">
        <f t="shared" si="69"/>
        <v/>
      </c>
      <c r="R213" s="4" t="str">
        <f t="shared" si="70"/>
        <v/>
      </c>
      <c r="S213" s="4" t="str">
        <f t="shared" si="71"/>
        <v/>
      </c>
      <c r="T213" s="4" t="str">
        <f t="shared" si="72"/>
        <v/>
      </c>
      <c r="U213">
        <f>IF(VLOOKUP(C213,'QA Table'!$Y$5:$Y$20,1,TRUE)=C213,1,0)</f>
        <v>0</v>
      </c>
      <c r="V213" t="str">
        <f t="shared" si="73"/>
        <v/>
      </c>
      <c r="W213" t="str">
        <f t="shared" si="74"/>
        <v/>
      </c>
      <c r="X213">
        <f t="shared" si="75"/>
        <v>3</v>
      </c>
      <c r="Y213">
        <f t="shared" si="76"/>
        <v>0</v>
      </c>
      <c r="AA213">
        <f t="shared" si="77"/>
        <v>1</v>
      </c>
    </row>
    <row r="214" spans="1:27" x14ac:dyDescent="0.2">
      <c r="A214" t="s">
        <v>0</v>
      </c>
      <c r="B214" t="s">
        <v>36</v>
      </c>
      <c r="C214" t="s">
        <v>1339</v>
      </c>
      <c r="D214" t="s">
        <v>5</v>
      </c>
      <c r="E214" t="s">
        <v>7</v>
      </c>
      <c r="F214" t="s">
        <v>1334</v>
      </c>
      <c r="G214" t="s">
        <v>1281</v>
      </c>
      <c r="H214" s="4">
        <f t="shared" si="61"/>
        <v>1</v>
      </c>
      <c r="I214" s="4">
        <f>IF(RIGHT(B214,1)="M",IF(AND(H214=1,E214="RFS",D214=INDEX('Station Depth Averages'!$A$3:$B$84,MATCH(B214,'Station Depth Averages'!$A$3:$A$84,0),2)),1,""),IF(AND(H214=1,OR(D214="SYN",D214="SRF",D214="MID")),1,IF(AND(H214=1,OR(E215="FDn",E215="LDn")),1,IF(AND(H214=1,OR(E214="FDn",E214="LDn")),1,""))))</f>
        <v>1</v>
      </c>
      <c r="J214" s="4">
        <f t="shared" si="62"/>
        <v>1</v>
      </c>
      <c r="K214" s="4" t="str">
        <f t="shared" si="63"/>
        <v/>
      </c>
      <c r="L214" s="4" t="str">
        <f t="shared" si="64"/>
        <v/>
      </c>
      <c r="M214" s="4" t="str">
        <f t="shared" si="65"/>
        <v/>
      </c>
      <c r="N214" s="4" t="str">
        <f t="shared" si="66"/>
        <v/>
      </c>
      <c r="O214" s="4" t="str">
        <f t="shared" si="67"/>
        <v/>
      </c>
      <c r="P214" s="4" t="str">
        <f t="shared" si="68"/>
        <v/>
      </c>
      <c r="Q214" s="4" t="str">
        <f t="shared" si="69"/>
        <v/>
      </c>
      <c r="R214" s="4" t="str">
        <f t="shared" si="70"/>
        <v/>
      </c>
      <c r="S214" s="4" t="str">
        <f t="shared" si="71"/>
        <v/>
      </c>
      <c r="T214" s="4" t="str">
        <f t="shared" si="72"/>
        <v/>
      </c>
      <c r="U214">
        <f>IF(VLOOKUP(C214,'QA Table'!$Y$5:$Y$20,1,TRUE)=C214,1,0)</f>
        <v>0</v>
      </c>
      <c r="V214" t="str">
        <f t="shared" si="73"/>
        <v/>
      </c>
      <c r="W214" t="str">
        <f t="shared" si="74"/>
        <v/>
      </c>
      <c r="X214">
        <f t="shared" si="75"/>
        <v>3</v>
      </c>
      <c r="Y214">
        <f t="shared" si="76"/>
        <v>0</v>
      </c>
      <c r="AA214">
        <f t="shared" si="77"/>
        <v>1</v>
      </c>
    </row>
    <row r="215" spans="1:27" x14ac:dyDescent="0.2">
      <c r="A215" t="s">
        <v>0</v>
      </c>
      <c r="B215" t="s">
        <v>36</v>
      </c>
      <c r="C215" t="s">
        <v>1340</v>
      </c>
      <c r="D215" t="s">
        <v>6</v>
      </c>
      <c r="E215" t="s">
        <v>3</v>
      </c>
      <c r="F215" t="s">
        <v>1334</v>
      </c>
      <c r="G215" t="s">
        <v>1281</v>
      </c>
      <c r="H215" s="4">
        <f t="shared" si="61"/>
        <v>1</v>
      </c>
      <c r="I215" s="4" t="str">
        <f>IF(RIGHT(B215,1)="M",IF(AND(H215=1,E215="RFS",D215=INDEX('Station Depth Averages'!$A$3:$B$84,MATCH(B215,'Station Depth Averages'!$A$3:$A$84,0),2)),1,""),IF(AND(H215=1,OR(D215="SYN",D215="SRF",D215="MID")),1,IF(AND(H215=1,OR(E216="FDn",E216="LDn")),1,IF(AND(H215=1,OR(E215="FDn",E215="LDn")),1,""))))</f>
        <v/>
      </c>
      <c r="J215" s="4">
        <f t="shared" si="62"/>
        <v>1</v>
      </c>
      <c r="K215" s="4" t="str">
        <f t="shared" si="63"/>
        <v/>
      </c>
      <c r="L215" s="4" t="str">
        <f t="shared" si="64"/>
        <v/>
      </c>
      <c r="M215" s="4" t="str">
        <f t="shared" si="65"/>
        <v/>
      </c>
      <c r="N215" s="4" t="str">
        <f t="shared" si="66"/>
        <v/>
      </c>
      <c r="O215" s="4" t="str">
        <f t="shared" si="67"/>
        <v/>
      </c>
      <c r="P215" s="4" t="str">
        <f t="shared" si="68"/>
        <v/>
      </c>
      <c r="Q215" s="4" t="str">
        <f t="shared" si="69"/>
        <v/>
      </c>
      <c r="R215" s="4" t="str">
        <f t="shared" si="70"/>
        <v/>
      </c>
      <c r="S215" s="4" t="str">
        <f t="shared" si="71"/>
        <v/>
      </c>
      <c r="T215" s="4" t="str">
        <f t="shared" si="72"/>
        <v/>
      </c>
      <c r="U215">
        <f>IF(VLOOKUP(C215,'QA Table'!$Y$5:$Y$20,1,TRUE)=C215,1,0)</f>
        <v>0</v>
      </c>
      <c r="V215" t="str">
        <f t="shared" si="73"/>
        <v/>
      </c>
      <c r="W215" t="str">
        <f t="shared" si="74"/>
        <v/>
      </c>
      <c r="X215">
        <f t="shared" si="75"/>
        <v>3</v>
      </c>
      <c r="Y215">
        <f t="shared" si="76"/>
        <v>0</v>
      </c>
      <c r="AA215">
        <f t="shared" si="77"/>
        <v>1</v>
      </c>
    </row>
    <row r="216" spans="1:27" x14ac:dyDescent="0.2">
      <c r="A216" t="s">
        <v>0</v>
      </c>
      <c r="B216" t="s">
        <v>36</v>
      </c>
      <c r="C216" t="s">
        <v>1341</v>
      </c>
      <c r="D216" t="s">
        <v>8</v>
      </c>
      <c r="E216" t="s">
        <v>3</v>
      </c>
      <c r="F216" t="s">
        <v>1334</v>
      </c>
      <c r="G216" t="s">
        <v>1281</v>
      </c>
      <c r="H216" s="4">
        <f t="shared" si="61"/>
        <v>1</v>
      </c>
      <c r="I216" s="4" t="str">
        <f>IF(RIGHT(B216,1)="M",IF(AND(H216=1,E216="RFS",D216=INDEX('Station Depth Averages'!$A$3:$B$84,MATCH(B216,'Station Depth Averages'!$A$3:$A$84,0),2)),1,""),IF(AND(H216=1,OR(D216="SYN",D216="SRF",D216="MID")),1,IF(AND(H216=1,OR(E217="FDn",E217="LDn")),1,IF(AND(H216=1,OR(E216="FDn",E216="LDn")),1,""))))</f>
        <v/>
      </c>
      <c r="J216" s="4" t="str">
        <f t="shared" si="62"/>
        <v/>
      </c>
      <c r="K216" s="4">
        <f t="shared" si="63"/>
        <v>1</v>
      </c>
      <c r="L216" s="4" t="str">
        <f t="shared" si="64"/>
        <v/>
      </c>
      <c r="M216" s="4" t="str">
        <f t="shared" si="65"/>
        <v/>
      </c>
      <c r="N216" s="4" t="str">
        <f t="shared" si="66"/>
        <v/>
      </c>
      <c r="O216" s="4" t="str">
        <f t="shared" si="67"/>
        <v/>
      </c>
      <c r="P216" s="4" t="str">
        <f t="shared" si="68"/>
        <v/>
      </c>
      <c r="Q216" s="4">
        <f t="shared" si="69"/>
        <v>2</v>
      </c>
      <c r="R216" s="4" t="str">
        <f t="shared" si="70"/>
        <v/>
      </c>
      <c r="S216" s="4" t="str">
        <f t="shared" si="71"/>
        <v/>
      </c>
      <c r="T216" s="4" t="str">
        <f t="shared" si="72"/>
        <v/>
      </c>
      <c r="U216">
        <f>IF(VLOOKUP(C216,'QA Table'!$Y$5:$Y$20,1,TRUE)=C216,1,0)</f>
        <v>0</v>
      </c>
      <c r="V216" t="str">
        <f t="shared" si="73"/>
        <v/>
      </c>
      <c r="W216" t="str">
        <f t="shared" si="74"/>
        <v/>
      </c>
      <c r="X216">
        <f t="shared" si="75"/>
        <v>3</v>
      </c>
      <c r="Y216">
        <f t="shared" si="76"/>
        <v>0</v>
      </c>
      <c r="AA216">
        <f t="shared" si="77"/>
        <v>1</v>
      </c>
    </row>
    <row r="217" spans="1:27" x14ac:dyDescent="0.2">
      <c r="A217" t="s">
        <v>0</v>
      </c>
      <c r="B217" t="s">
        <v>36</v>
      </c>
      <c r="C217" t="s">
        <v>1342</v>
      </c>
      <c r="D217" t="s">
        <v>9</v>
      </c>
      <c r="E217" t="s">
        <v>3</v>
      </c>
      <c r="F217" t="s">
        <v>1334</v>
      </c>
      <c r="G217" t="s">
        <v>1281</v>
      </c>
      <c r="H217" s="4" t="str">
        <f t="shared" si="61"/>
        <v/>
      </c>
      <c r="I217" s="4" t="str">
        <f>IF(RIGHT(B217,1)="M",IF(AND(H217=1,E217="RFS",D217=INDEX('Station Depth Averages'!$A$3:$B$84,MATCH(B217,'Station Depth Averages'!$A$3:$A$84,0),2)),1,""),IF(AND(H217=1,OR(D217="SYN",D217="SRF",D217="MID")),1,IF(AND(H217=1,OR(E218="FDn",E218="LDn")),1,IF(AND(H217=1,OR(E217="FDn",E217="LDn")),1,""))))</f>
        <v/>
      </c>
      <c r="J217" s="4" t="str">
        <f t="shared" si="62"/>
        <v/>
      </c>
      <c r="K217" s="4" t="str">
        <f t="shared" si="63"/>
        <v/>
      </c>
      <c r="L217" s="4" t="str">
        <f t="shared" si="64"/>
        <v/>
      </c>
      <c r="M217" s="4" t="str">
        <f t="shared" si="65"/>
        <v/>
      </c>
      <c r="N217" s="4" t="str">
        <f t="shared" si="66"/>
        <v/>
      </c>
      <c r="O217" s="4" t="str">
        <f t="shared" si="67"/>
        <v/>
      </c>
      <c r="P217" s="4" t="str">
        <f t="shared" si="68"/>
        <v/>
      </c>
      <c r="Q217" s="4" t="str">
        <f t="shared" si="69"/>
        <v/>
      </c>
      <c r="R217" s="4" t="str">
        <f t="shared" si="70"/>
        <v/>
      </c>
      <c r="S217" s="4" t="str">
        <f t="shared" si="71"/>
        <v/>
      </c>
      <c r="T217" s="4">
        <f t="shared" si="72"/>
        <v>1</v>
      </c>
      <c r="U217">
        <f>IF(VLOOKUP(C217,'QA Table'!$Y$5:$Y$20,1,TRUE)=C217,1,0)</f>
        <v>0</v>
      </c>
      <c r="V217" t="str">
        <f t="shared" si="73"/>
        <v/>
      </c>
      <c r="W217" t="str">
        <f t="shared" si="74"/>
        <v/>
      </c>
      <c r="X217" t="str">
        <f t="shared" si="75"/>
        <v/>
      </c>
      <c r="Y217">
        <f t="shared" si="76"/>
        <v>0</v>
      </c>
      <c r="AA217" t="str">
        <f t="shared" si="77"/>
        <v/>
      </c>
    </row>
    <row r="218" spans="1:27" x14ac:dyDescent="0.2">
      <c r="A218" t="s">
        <v>0</v>
      </c>
      <c r="B218" t="s">
        <v>36</v>
      </c>
      <c r="C218" t="s">
        <v>1343</v>
      </c>
      <c r="D218" t="s">
        <v>10</v>
      </c>
      <c r="E218" t="s">
        <v>3</v>
      </c>
      <c r="F218" t="s">
        <v>1334</v>
      </c>
      <c r="G218" t="s">
        <v>1281</v>
      </c>
      <c r="H218" s="4" t="str">
        <f t="shared" si="61"/>
        <v/>
      </c>
      <c r="I218" s="4" t="str">
        <f>IF(RIGHT(B218,1)="M",IF(AND(H218=1,E218="RFS",D218=INDEX('Station Depth Averages'!$A$3:$B$84,MATCH(B218,'Station Depth Averages'!$A$3:$A$84,0),2)),1,""),IF(AND(H218=1,OR(D218="SYN",D218="SRF",D218="MID")),1,IF(AND(H218=1,OR(E219="FDn",E219="LDn")),1,IF(AND(H218=1,OR(E218="FDn",E218="LDn")),1,""))))</f>
        <v/>
      </c>
      <c r="J218" s="4" t="str">
        <f t="shared" si="62"/>
        <v/>
      </c>
      <c r="K218" s="4" t="str">
        <f t="shared" si="63"/>
        <v/>
      </c>
      <c r="L218" s="4" t="str">
        <f t="shared" si="64"/>
        <v/>
      </c>
      <c r="M218" s="4" t="str">
        <f t="shared" si="65"/>
        <v/>
      </c>
      <c r="N218" s="4" t="str">
        <f t="shared" si="66"/>
        <v/>
      </c>
      <c r="O218" s="4" t="str">
        <f t="shared" si="67"/>
        <v/>
      </c>
      <c r="P218" s="4" t="str">
        <f t="shared" si="68"/>
        <v/>
      </c>
      <c r="Q218" s="4" t="str">
        <f t="shared" si="69"/>
        <v/>
      </c>
      <c r="R218" s="4" t="str">
        <f t="shared" si="70"/>
        <v/>
      </c>
      <c r="S218" s="4" t="str">
        <f t="shared" si="71"/>
        <v/>
      </c>
      <c r="T218" s="4">
        <f t="shared" si="72"/>
        <v>1</v>
      </c>
      <c r="U218">
        <f>IF(VLOOKUP(C218,'QA Table'!$Y$5:$Y$20,1,TRUE)=C218,1,0)</f>
        <v>0</v>
      </c>
      <c r="V218" t="str">
        <f t="shared" si="73"/>
        <v/>
      </c>
      <c r="W218" t="str">
        <f t="shared" si="74"/>
        <v/>
      </c>
      <c r="X218" t="str">
        <f t="shared" si="75"/>
        <v/>
      </c>
      <c r="Y218">
        <f t="shared" si="76"/>
        <v>0</v>
      </c>
      <c r="AA218" t="str">
        <f t="shared" si="77"/>
        <v/>
      </c>
    </row>
    <row r="219" spans="1:27" x14ac:dyDescent="0.2">
      <c r="A219" t="s">
        <v>0</v>
      </c>
      <c r="B219" t="s">
        <v>36</v>
      </c>
      <c r="C219" t="s">
        <v>1344</v>
      </c>
      <c r="D219" t="s">
        <v>1034</v>
      </c>
      <c r="E219" t="s">
        <v>3</v>
      </c>
      <c r="F219" t="s">
        <v>1334</v>
      </c>
      <c r="G219" t="s">
        <v>1281</v>
      </c>
      <c r="H219" s="4" t="str">
        <f t="shared" si="61"/>
        <v/>
      </c>
      <c r="I219" s="4" t="str">
        <f>IF(RIGHT(B219,1)="M",IF(AND(H219=1,E219="RFS",D219=INDEX('Station Depth Averages'!$A$3:$B$84,MATCH(B219,'Station Depth Averages'!$A$3:$A$84,0),2)),1,""),IF(AND(H219=1,OR(D219="SYN",D219="SRF",D219="MID")),1,IF(AND(H219=1,OR(E220="FDn",E220="LDn")),1,IF(AND(H219=1,OR(E219="FDn",E219="LDn")),1,""))))</f>
        <v/>
      </c>
      <c r="J219" s="4" t="str">
        <f t="shared" si="62"/>
        <v/>
      </c>
      <c r="K219" s="4" t="str">
        <f t="shared" si="63"/>
        <v/>
      </c>
      <c r="L219" s="4" t="str">
        <f t="shared" si="64"/>
        <v/>
      </c>
      <c r="M219" s="4" t="str">
        <f t="shared" si="65"/>
        <v/>
      </c>
      <c r="N219" s="4" t="str">
        <f t="shared" si="66"/>
        <v/>
      </c>
      <c r="O219" s="4" t="str">
        <f t="shared" si="67"/>
        <v/>
      </c>
      <c r="P219" s="4" t="str">
        <f t="shared" si="68"/>
        <v/>
      </c>
      <c r="Q219" s="4" t="str">
        <f t="shared" si="69"/>
        <v/>
      </c>
      <c r="R219" s="4" t="str">
        <f t="shared" si="70"/>
        <v/>
      </c>
      <c r="S219" s="4">
        <f t="shared" si="71"/>
        <v>1</v>
      </c>
      <c r="T219" s="4" t="str">
        <f t="shared" si="72"/>
        <v/>
      </c>
      <c r="U219">
        <f>IF(VLOOKUP(C219,'QA Table'!$Y$5:$Y$20,1,TRUE)=C219,1,0)</f>
        <v>0</v>
      </c>
      <c r="V219" t="str">
        <f t="shared" si="73"/>
        <v/>
      </c>
      <c r="W219" t="str">
        <f t="shared" si="74"/>
        <v/>
      </c>
      <c r="X219" t="str">
        <f t="shared" si="75"/>
        <v/>
      </c>
      <c r="Y219">
        <f t="shared" si="76"/>
        <v>0</v>
      </c>
      <c r="AA219" t="str">
        <f t="shared" si="77"/>
        <v/>
      </c>
    </row>
    <row r="220" spans="1:27" x14ac:dyDescent="0.2">
      <c r="A220" t="s">
        <v>0</v>
      </c>
      <c r="B220" t="s">
        <v>36</v>
      </c>
      <c r="C220" t="s">
        <v>1345</v>
      </c>
      <c r="D220" t="s">
        <v>1034</v>
      </c>
      <c r="E220" t="s">
        <v>19</v>
      </c>
      <c r="F220" t="s">
        <v>1334</v>
      </c>
      <c r="G220" t="s">
        <v>1281</v>
      </c>
      <c r="H220" s="4" t="str">
        <f t="shared" si="61"/>
        <v/>
      </c>
      <c r="I220" s="4" t="str">
        <f>IF(RIGHT(B220,1)="M",IF(AND(H220=1,E220="RFS",D220=INDEX('Station Depth Averages'!$A$3:$B$84,MATCH(B220,'Station Depth Averages'!$A$3:$A$84,0),2)),1,""),IF(AND(H220=1,OR(D220="SYN",D220="SRF",D220="MID")),1,IF(AND(H220=1,OR(E221="FDn",E221="LDn")),1,IF(AND(H220=1,OR(E220="FDn",E220="LDn")),1,""))))</f>
        <v/>
      </c>
      <c r="J220" s="4" t="str">
        <f t="shared" si="62"/>
        <v/>
      </c>
      <c r="K220" s="4" t="str">
        <f t="shared" si="63"/>
        <v/>
      </c>
      <c r="L220" s="4" t="str">
        <f t="shared" si="64"/>
        <v/>
      </c>
      <c r="M220" s="4" t="str">
        <f t="shared" si="65"/>
        <v/>
      </c>
      <c r="N220" s="4" t="str">
        <f t="shared" si="66"/>
        <v/>
      </c>
      <c r="O220" s="4" t="str">
        <f t="shared" si="67"/>
        <v/>
      </c>
      <c r="P220" s="4" t="str">
        <f t="shared" si="68"/>
        <v/>
      </c>
      <c r="Q220" s="4" t="str">
        <f t="shared" si="69"/>
        <v/>
      </c>
      <c r="R220" s="4" t="str">
        <f t="shared" si="70"/>
        <v/>
      </c>
      <c r="S220" s="4">
        <f t="shared" si="71"/>
        <v>1</v>
      </c>
      <c r="T220" s="4" t="str">
        <f t="shared" si="72"/>
        <v/>
      </c>
      <c r="U220">
        <f>IF(VLOOKUP(C220,'QA Table'!$Y$5:$Y$20,1,TRUE)=C220,1,0)</f>
        <v>0</v>
      </c>
      <c r="V220" t="str">
        <f t="shared" si="73"/>
        <v/>
      </c>
      <c r="W220" t="str">
        <f t="shared" si="74"/>
        <v/>
      </c>
      <c r="X220" t="str">
        <f t="shared" si="75"/>
        <v/>
      </c>
      <c r="Y220">
        <f t="shared" si="76"/>
        <v>0</v>
      </c>
      <c r="AA220" t="str">
        <f t="shared" si="77"/>
        <v/>
      </c>
    </row>
    <row r="221" spans="1:27" x14ac:dyDescent="0.2">
      <c r="A221" t="s">
        <v>0</v>
      </c>
      <c r="B221" t="s">
        <v>37</v>
      </c>
      <c r="C221" t="s">
        <v>1346</v>
      </c>
      <c r="D221" t="s">
        <v>2</v>
      </c>
      <c r="E221" t="s">
        <v>3</v>
      </c>
      <c r="F221" t="s">
        <v>1347</v>
      </c>
      <c r="G221" t="s">
        <v>1281</v>
      </c>
      <c r="H221" s="4">
        <f t="shared" si="61"/>
        <v>1</v>
      </c>
      <c r="I221" s="4">
        <f>IF(RIGHT(B221,1)="M",IF(AND(H221=1,E221="RFS",D221=INDEX('Station Depth Averages'!$A$3:$B$84,MATCH(B221,'Station Depth Averages'!$A$3:$A$84,0),2)),1,""),IF(AND(H221=1,OR(D221="SYN",D221="SRF",D221="MID")),1,IF(AND(H221=1,OR(E222="FDn",E222="LDn")),1,IF(AND(H221=1,OR(E221="FDn",E221="LDn")),1,""))))</f>
        <v>1</v>
      </c>
      <c r="J221" s="4">
        <f t="shared" si="62"/>
        <v>1</v>
      </c>
      <c r="K221" s="4" t="str">
        <f t="shared" si="63"/>
        <v/>
      </c>
      <c r="L221" s="4" t="str">
        <f t="shared" si="64"/>
        <v/>
      </c>
      <c r="M221" s="4" t="str">
        <f t="shared" si="65"/>
        <v/>
      </c>
      <c r="N221" s="4" t="str">
        <f t="shared" si="66"/>
        <v/>
      </c>
      <c r="O221" s="4" t="str">
        <f t="shared" si="67"/>
        <v/>
      </c>
      <c r="P221" s="4" t="str">
        <f t="shared" si="68"/>
        <v/>
      </c>
      <c r="Q221" s="4" t="str">
        <f t="shared" si="69"/>
        <v/>
      </c>
      <c r="R221" s="4" t="str">
        <f t="shared" si="70"/>
        <v/>
      </c>
      <c r="S221" s="4" t="str">
        <f t="shared" si="71"/>
        <v/>
      </c>
      <c r="T221" s="4" t="str">
        <f t="shared" si="72"/>
        <v/>
      </c>
      <c r="U221">
        <f>IF(VLOOKUP(C221,'QA Table'!$Y$5:$Y$20,1,TRUE)=C221,1,0)</f>
        <v>0</v>
      </c>
      <c r="V221" t="str">
        <f t="shared" si="73"/>
        <v/>
      </c>
      <c r="W221" t="str">
        <f t="shared" si="74"/>
        <v/>
      </c>
      <c r="X221">
        <f t="shared" si="75"/>
        <v>3</v>
      </c>
      <c r="Y221">
        <f t="shared" si="76"/>
        <v>0</v>
      </c>
      <c r="AA221">
        <f t="shared" si="77"/>
        <v>1</v>
      </c>
    </row>
    <row r="222" spans="1:27" x14ac:dyDescent="0.2">
      <c r="A222" t="s">
        <v>0</v>
      </c>
      <c r="B222" t="s">
        <v>37</v>
      </c>
      <c r="C222" t="s">
        <v>1348</v>
      </c>
      <c r="D222" t="s">
        <v>1050</v>
      </c>
      <c r="E222" t="s">
        <v>3</v>
      </c>
      <c r="F222" t="s">
        <v>1347</v>
      </c>
      <c r="G222" t="s">
        <v>1281</v>
      </c>
      <c r="H222" s="4" t="str">
        <f t="shared" si="61"/>
        <v/>
      </c>
      <c r="I222" s="4" t="str">
        <f>IF(RIGHT(B222,1)="M",IF(AND(H222=1,E222="RFS",D222=INDEX('Station Depth Averages'!$A$3:$B$84,MATCH(B222,'Station Depth Averages'!$A$3:$A$84,0),2)),1,""),IF(AND(H222=1,OR(D222="SYN",D222="SRF",D222="MID")),1,IF(AND(H222=1,OR(E223="FDn",E223="LDn")),1,IF(AND(H222=1,OR(E222="FDn",E222="LDn")),1,""))))</f>
        <v/>
      </c>
      <c r="J222" s="4" t="str">
        <f t="shared" si="62"/>
        <v/>
      </c>
      <c r="K222" s="4" t="str">
        <f t="shared" si="63"/>
        <v/>
      </c>
      <c r="L222" s="4" t="str">
        <f t="shared" si="64"/>
        <v/>
      </c>
      <c r="M222" s="4" t="str">
        <f t="shared" si="65"/>
        <v/>
      </c>
      <c r="N222" s="4" t="str">
        <f t="shared" si="66"/>
        <v/>
      </c>
      <c r="O222" s="4" t="str">
        <f t="shared" si="67"/>
        <v/>
      </c>
      <c r="P222" s="4" t="str">
        <f t="shared" si="68"/>
        <v/>
      </c>
      <c r="Q222" s="4" t="str">
        <f t="shared" si="69"/>
        <v/>
      </c>
      <c r="R222" s="4" t="str">
        <f t="shared" si="70"/>
        <v/>
      </c>
      <c r="S222" s="4" t="str">
        <f t="shared" si="71"/>
        <v/>
      </c>
      <c r="T222" s="4" t="str">
        <f t="shared" si="72"/>
        <v/>
      </c>
      <c r="U222">
        <f>IF(VLOOKUP(C222,'QA Table'!$Y$5:$Y$20,1,TRUE)=C222,1,0)</f>
        <v>0</v>
      </c>
      <c r="V222" t="str">
        <f t="shared" si="73"/>
        <v/>
      </c>
      <c r="W222" t="str">
        <f t="shared" si="74"/>
        <v/>
      </c>
      <c r="X222" t="str">
        <f t="shared" si="75"/>
        <v/>
      </c>
      <c r="Y222">
        <f t="shared" si="76"/>
        <v>0</v>
      </c>
      <c r="AA222" t="str">
        <f t="shared" si="77"/>
        <v/>
      </c>
    </row>
    <row r="223" spans="1:27" x14ac:dyDescent="0.2">
      <c r="A223" t="s">
        <v>0</v>
      </c>
      <c r="B223" t="s">
        <v>37</v>
      </c>
      <c r="C223" t="s">
        <v>1349</v>
      </c>
      <c r="D223" t="s">
        <v>4</v>
      </c>
      <c r="E223" t="s">
        <v>3</v>
      </c>
      <c r="F223" t="s">
        <v>1347</v>
      </c>
      <c r="G223" t="s">
        <v>1281</v>
      </c>
      <c r="H223" s="4" t="str">
        <f t="shared" si="61"/>
        <v/>
      </c>
      <c r="I223" s="4" t="str">
        <f>IF(RIGHT(B223,1)="M",IF(AND(H223=1,E223="RFS",D223=INDEX('Station Depth Averages'!$A$3:$B$84,MATCH(B223,'Station Depth Averages'!$A$3:$A$84,0),2)),1,""),IF(AND(H223=1,OR(D223="SYN",D223="SRF",D223="MID")),1,IF(AND(H223=1,OR(E224="FDn",E224="LDn")),1,IF(AND(H223=1,OR(E223="FDn",E223="LDn")),1,""))))</f>
        <v/>
      </c>
      <c r="J223" s="4" t="str">
        <f t="shared" si="62"/>
        <v/>
      </c>
      <c r="K223" s="4" t="str">
        <f t="shared" si="63"/>
        <v/>
      </c>
      <c r="L223" s="4" t="str">
        <f t="shared" si="64"/>
        <v/>
      </c>
      <c r="M223" s="4" t="str">
        <f t="shared" si="65"/>
        <v/>
      </c>
      <c r="N223" s="4" t="str">
        <f t="shared" si="66"/>
        <v/>
      </c>
      <c r="O223" s="4" t="str">
        <f t="shared" si="67"/>
        <v/>
      </c>
      <c r="P223" s="4" t="str">
        <f t="shared" si="68"/>
        <v/>
      </c>
      <c r="Q223" s="4" t="str">
        <f t="shared" si="69"/>
        <v/>
      </c>
      <c r="R223" s="4" t="str">
        <f t="shared" si="70"/>
        <v/>
      </c>
      <c r="S223" s="4" t="str">
        <f t="shared" si="71"/>
        <v/>
      </c>
      <c r="T223" s="4" t="str">
        <f t="shared" si="72"/>
        <v/>
      </c>
      <c r="U223">
        <f>IF(VLOOKUP(C223,'QA Table'!$Y$5:$Y$20,1,TRUE)=C223,1,0)</f>
        <v>0</v>
      </c>
      <c r="V223" t="str">
        <f t="shared" si="73"/>
        <v/>
      </c>
      <c r="W223" t="str">
        <f t="shared" si="74"/>
        <v/>
      </c>
      <c r="X223" t="str">
        <f t="shared" si="75"/>
        <v/>
      </c>
      <c r="Y223">
        <f t="shared" si="76"/>
        <v>0</v>
      </c>
      <c r="AA223" t="str">
        <f t="shared" si="77"/>
        <v/>
      </c>
    </row>
    <row r="224" spans="1:27" x14ac:dyDescent="0.2">
      <c r="A224" t="s">
        <v>0</v>
      </c>
      <c r="B224" t="s">
        <v>37</v>
      </c>
      <c r="C224" t="s">
        <v>1350</v>
      </c>
      <c r="D224" t="s">
        <v>1051</v>
      </c>
      <c r="E224" t="s">
        <v>3</v>
      </c>
      <c r="F224" t="s">
        <v>1347</v>
      </c>
      <c r="G224" t="s">
        <v>1281</v>
      </c>
      <c r="H224" s="4" t="str">
        <f t="shared" si="61"/>
        <v/>
      </c>
      <c r="I224" s="4" t="str">
        <f>IF(RIGHT(B224,1)="M",IF(AND(H224=1,E224="RFS",D224=INDEX('Station Depth Averages'!$A$3:$B$84,MATCH(B224,'Station Depth Averages'!$A$3:$A$84,0),2)),1,""),IF(AND(H224=1,OR(D224="SYN",D224="SRF",D224="MID")),1,IF(AND(H224=1,OR(E225="FDn",E225="LDn")),1,IF(AND(H224=1,OR(E224="FDn",E224="LDn")),1,""))))</f>
        <v/>
      </c>
      <c r="J224" s="4" t="str">
        <f t="shared" si="62"/>
        <v/>
      </c>
      <c r="K224" s="4" t="str">
        <f t="shared" si="63"/>
        <v/>
      </c>
      <c r="L224" s="4" t="str">
        <f t="shared" si="64"/>
        <v/>
      </c>
      <c r="M224" s="4" t="str">
        <f t="shared" si="65"/>
        <v/>
      </c>
      <c r="N224" s="4" t="str">
        <f t="shared" si="66"/>
        <v/>
      </c>
      <c r="O224" s="4" t="str">
        <f t="shared" si="67"/>
        <v/>
      </c>
      <c r="P224" s="4" t="str">
        <f t="shared" si="68"/>
        <v/>
      </c>
      <c r="Q224" s="4" t="str">
        <f t="shared" si="69"/>
        <v/>
      </c>
      <c r="R224" s="4" t="str">
        <f t="shared" si="70"/>
        <v/>
      </c>
      <c r="S224" s="4" t="str">
        <f t="shared" si="71"/>
        <v/>
      </c>
      <c r="T224" s="4" t="str">
        <f t="shared" si="72"/>
        <v/>
      </c>
      <c r="U224">
        <f>IF(VLOOKUP(C224,'QA Table'!$Y$5:$Y$20,1,TRUE)=C224,1,0)</f>
        <v>0</v>
      </c>
      <c r="V224" t="str">
        <f t="shared" si="73"/>
        <v/>
      </c>
      <c r="W224" t="str">
        <f t="shared" si="74"/>
        <v/>
      </c>
      <c r="X224" t="str">
        <f t="shared" si="75"/>
        <v/>
      </c>
      <c r="Y224">
        <f t="shared" si="76"/>
        <v>0</v>
      </c>
      <c r="AA224" t="str">
        <f t="shared" si="77"/>
        <v/>
      </c>
    </row>
    <row r="225" spans="1:27" x14ac:dyDescent="0.2">
      <c r="A225" t="s">
        <v>0</v>
      </c>
      <c r="B225" t="s">
        <v>37</v>
      </c>
      <c r="C225" t="s">
        <v>1351</v>
      </c>
      <c r="D225" t="s">
        <v>119</v>
      </c>
      <c r="E225" t="s">
        <v>3</v>
      </c>
      <c r="F225" t="s">
        <v>1347</v>
      </c>
      <c r="G225" t="s">
        <v>1281</v>
      </c>
      <c r="H225" s="4">
        <f t="shared" si="61"/>
        <v>1</v>
      </c>
      <c r="I225" s="4">
        <f>IF(RIGHT(B225,1)="M",IF(AND(H225=1,E225="RFS",D225=INDEX('Station Depth Averages'!$A$3:$B$84,MATCH(B225,'Station Depth Averages'!$A$3:$A$84,0),2)),1,""),IF(AND(H225=1,OR(D225="SYN",D225="SRF",D225="MID")),1,IF(AND(H225=1,OR(E226="FDn",E226="LDn")),1,IF(AND(H225=1,OR(E225="FDn",E225="LDn")),1,""))))</f>
        <v>1</v>
      </c>
      <c r="J225" s="4">
        <f t="shared" si="62"/>
        <v>1</v>
      </c>
      <c r="K225" s="4" t="str">
        <f t="shared" si="63"/>
        <v/>
      </c>
      <c r="L225" s="4" t="str">
        <f t="shared" si="64"/>
        <v/>
      </c>
      <c r="M225" s="4" t="str">
        <f t="shared" si="65"/>
        <v/>
      </c>
      <c r="N225" s="4" t="str">
        <f t="shared" si="66"/>
        <v/>
      </c>
      <c r="O225" s="4" t="str">
        <f t="shared" si="67"/>
        <v/>
      </c>
      <c r="P225" s="4" t="str">
        <f t="shared" si="68"/>
        <v/>
      </c>
      <c r="Q225" s="4" t="str">
        <f t="shared" si="69"/>
        <v/>
      </c>
      <c r="R225" s="4" t="str">
        <f t="shared" si="70"/>
        <v/>
      </c>
      <c r="S225" s="4" t="str">
        <f t="shared" si="71"/>
        <v/>
      </c>
      <c r="T225" s="4" t="str">
        <f t="shared" si="72"/>
        <v/>
      </c>
      <c r="U225">
        <f>IF(VLOOKUP(C225,'QA Table'!$Y$5:$Y$20,1,TRUE)=C225,1,0)</f>
        <v>0</v>
      </c>
      <c r="V225" t="str">
        <f t="shared" si="73"/>
        <v/>
      </c>
      <c r="W225" t="str">
        <f t="shared" si="74"/>
        <v/>
      </c>
      <c r="X225">
        <f t="shared" si="75"/>
        <v>3</v>
      </c>
      <c r="Y225">
        <f t="shared" si="76"/>
        <v>0</v>
      </c>
      <c r="AA225">
        <f t="shared" si="77"/>
        <v>1</v>
      </c>
    </row>
    <row r="226" spans="1:27" x14ac:dyDescent="0.2">
      <c r="A226" t="s">
        <v>0</v>
      </c>
      <c r="B226" t="s">
        <v>37</v>
      </c>
      <c r="C226" t="s">
        <v>1352</v>
      </c>
      <c r="D226" t="s">
        <v>5</v>
      </c>
      <c r="E226" t="s">
        <v>3</v>
      </c>
      <c r="F226" t="s">
        <v>1347</v>
      </c>
      <c r="G226" t="s">
        <v>1281</v>
      </c>
      <c r="H226" s="4">
        <f t="shared" si="61"/>
        <v>1</v>
      </c>
      <c r="I226" s="4" t="str">
        <f>IF(RIGHT(B226,1)="M",IF(AND(H226=1,E226="RFS",D226=INDEX('Station Depth Averages'!$A$3:$B$84,MATCH(B226,'Station Depth Averages'!$A$3:$A$84,0),2)),1,""),IF(AND(H226=1,OR(D226="SYN",D226="SRF",D226="MID")),1,IF(AND(H226=1,OR(E227="FDn",E227="LDn")),1,IF(AND(H226=1,OR(E226="FDn",E226="LDn")),1,""))))</f>
        <v/>
      </c>
      <c r="J226" s="4">
        <f t="shared" si="62"/>
        <v>1</v>
      </c>
      <c r="K226" s="4" t="str">
        <f t="shared" si="63"/>
        <v/>
      </c>
      <c r="L226" s="4" t="str">
        <f t="shared" si="64"/>
        <v/>
      </c>
      <c r="M226" s="4" t="str">
        <f t="shared" si="65"/>
        <v/>
      </c>
      <c r="N226" s="4" t="str">
        <f t="shared" si="66"/>
        <v/>
      </c>
      <c r="O226" s="4" t="str">
        <f t="shared" si="67"/>
        <v/>
      </c>
      <c r="P226" s="4" t="str">
        <f t="shared" si="68"/>
        <v/>
      </c>
      <c r="Q226" s="4" t="str">
        <f t="shared" si="69"/>
        <v/>
      </c>
      <c r="R226" s="4" t="str">
        <f t="shared" si="70"/>
        <v/>
      </c>
      <c r="S226" s="4" t="str">
        <f t="shared" si="71"/>
        <v/>
      </c>
      <c r="T226" s="4" t="str">
        <f t="shared" si="72"/>
        <v/>
      </c>
      <c r="U226">
        <f>IF(VLOOKUP(C226,'QA Table'!$Y$5:$Y$20,1,TRUE)=C226,1,0)</f>
        <v>0</v>
      </c>
      <c r="V226" t="str">
        <f t="shared" si="73"/>
        <v/>
      </c>
      <c r="W226" t="str">
        <f t="shared" si="74"/>
        <v/>
      </c>
      <c r="X226">
        <f t="shared" si="75"/>
        <v>3</v>
      </c>
      <c r="Y226">
        <f t="shared" si="76"/>
        <v>0</v>
      </c>
      <c r="AA226">
        <f t="shared" si="77"/>
        <v>1</v>
      </c>
    </row>
    <row r="227" spans="1:27" x14ac:dyDescent="0.2">
      <c r="A227" t="s">
        <v>0</v>
      </c>
      <c r="B227" t="s">
        <v>37</v>
      </c>
      <c r="C227" t="s">
        <v>1353</v>
      </c>
      <c r="D227" t="s">
        <v>6</v>
      </c>
      <c r="E227" t="s">
        <v>3</v>
      </c>
      <c r="F227" t="s">
        <v>1347</v>
      </c>
      <c r="G227" t="s">
        <v>1281</v>
      </c>
      <c r="H227" s="4">
        <f t="shared" si="61"/>
        <v>1</v>
      </c>
      <c r="I227" s="4" t="str">
        <f>IF(RIGHT(B227,1)="M",IF(AND(H227=1,E227="RFS",D227=INDEX('Station Depth Averages'!$A$3:$B$84,MATCH(B227,'Station Depth Averages'!$A$3:$A$84,0),2)),1,""),IF(AND(H227=1,OR(D227="SYN",D227="SRF",D227="MID")),1,IF(AND(H227=1,OR(E228="FDn",E228="LDn")),1,IF(AND(H227=1,OR(E227="FDn",E227="LDn")),1,""))))</f>
        <v/>
      </c>
      <c r="J227" s="4">
        <f t="shared" si="62"/>
        <v>1</v>
      </c>
      <c r="K227" s="4" t="str">
        <f t="shared" si="63"/>
        <v/>
      </c>
      <c r="L227" s="4" t="str">
        <f t="shared" si="64"/>
        <v/>
      </c>
      <c r="M227" s="4" t="str">
        <f t="shared" si="65"/>
        <v/>
      </c>
      <c r="N227" s="4" t="str">
        <f t="shared" si="66"/>
        <v/>
      </c>
      <c r="O227" s="4" t="str">
        <f t="shared" si="67"/>
        <v/>
      </c>
      <c r="P227" s="4" t="str">
        <f t="shared" si="68"/>
        <v/>
      </c>
      <c r="Q227" s="4" t="str">
        <f t="shared" si="69"/>
        <v/>
      </c>
      <c r="R227" s="4" t="str">
        <f t="shared" si="70"/>
        <v/>
      </c>
      <c r="S227" s="4" t="str">
        <f t="shared" si="71"/>
        <v/>
      </c>
      <c r="T227" s="4" t="str">
        <f t="shared" si="72"/>
        <v/>
      </c>
      <c r="U227">
        <f>IF(VLOOKUP(C227,'QA Table'!$Y$5:$Y$20,1,TRUE)=C227,1,0)</f>
        <v>0</v>
      </c>
      <c r="V227" t="str">
        <f t="shared" si="73"/>
        <v/>
      </c>
      <c r="W227" t="str">
        <f t="shared" si="74"/>
        <v/>
      </c>
      <c r="X227">
        <f t="shared" si="75"/>
        <v>3</v>
      </c>
      <c r="Y227">
        <f t="shared" si="76"/>
        <v>0</v>
      </c>
      <c r="AA227">
        <f t="shared" si="77"/>
        <v>1</v>
      </c>
    </row>
    <row r="228" spans="1:27" x14ac:dyDescent="0.2">
      <c r="A228" t="s">
        <v>0</v>
      </c>
      <c r="B228" t="s">
        <v>37</v>
      </c>
      <c r="C228" t="s">
        <v>1354</v>
      </c>
      <c r="D228" t="s">
        <v>8</v>
      </c>
      <c r="E228" t="s">
        <v>3</v>
      </c>
      <c r="F228" t="s">
        <v>1347</v>
      </c>
      <c r="G228" t="s">
        <v>1281</v>
      </c>
      <c r="H228" s="4">
        <f t="shared" si="61"/>
        <v>1</v>
      </c>
      <c r="I228" s="4" t="str">
        <f>IF(RIGHT(B228,1)="M",IF(AND(H228=1,E228="RFS",D228=INDEX('Station Depth Averages'!$A$3:$B$84,MATCH(B228,'Station Depth Averages'!$A$3:$A$84,0),2)),1,""),IF(AND(H228=1,OR(D228="SYN",D228="SRF",D228="MID")),1,IF(AND(H228=1,OR(E229="FDn",E229="LDn")),1,IF(AND(H228=1,OR(E228="FDn",E228="LDn")),1,""))))</f>
        <v/>
      </c>
      <c r="J228" s="4" t="str">
        <f t="shared" si="62"/>
        <v/>
      </c>
      <c r="K228" s="4">
        <f t="shared" si="63"/>
        <v>1</v>
      </c>
      <c r="L228" s="4" t="str">
        <f t="shared" si="64"/>
        <v/>
      </c>
      <c r="M228" s="4" t="str">
        <f t="shared" si="65"/>
        <v/>
      </c>
      <c r="N228" s="4" t="str">
        <f t="shared" si="66"/>
        <v/>
      </c>
      <c r="O228" s="4" t="str">
        <f t="shared" si="67"/>
        <v/>
      </c>
      <c r="P228" s="4" t="str">
        <f t="shared" si="68"/>
        <v/>
      </c>
      <c r="Q228" s="4">
        <f t="shared" si="69"/>
        <v>2</v>
      </c>
      <c r="R228" s="4" t="str">
        <f t="shared" si="70"/>
        <v/>
      </c>
      <c r="S228" s="4" t="str">
        <f t="shared" si="71"/>
        <v/>
      </c>
      <c r="T228" s="4" t="str">
        <f t="shared" si="72"/>
        <v/>
      </c>
      <c r="U228">
        <f>IF(VLOOKUP(C228,'QA Table'!$Y$5:$Y$20,1,TRUE)=C228,1,0)</f>
        <v>0</v>
      </c>
      <c r="V228" t="str">
        <f t="shared" si="73"/>
        <v/>
      </c>
      <c r="W228" t="str">
        <f t="shared" si="74"/>
        <v/>
      </c>
      <c r="X228">
        <f t="shared" si="75"/>
        <v>3</v>
      </c>
      <c r="Y228">
        <f t="shared" si="76"/>
        <v>0</v>
      </c>
      <c r="AA228">
        <f t="shared" si="77"/>
        <v>1</v>
      </c>
    </row>
    <row r="229" spans="1:27" x14ac:dyDescent="0.2">
      <c r="A229" t="s">
        <v>0</v>
      </c>
      <c r="B229" t="s">
        <v>37</v>
      </c>
      <c r="C229" t="s">
        <v>1355</v>
      </c>
      <c r="D229" t="s">
        <v>9</v>
      </c>
      <c r="E229" t="s">
        <v>3</v>
      </c>
      <c r="F229" t="s">
        <v>1347</v>
      </c>
      <c r="G229" t="s">
        <v>1281</v>
      </c>
      <c r="H229" s="4" t="str">
        <f t="shared" si="61"/>
        <v/>
      </c>
      <c r="I229" s="4" t="str">
        <f>IF(RIGHT(B229,1)="M",IF(AND(H229=1,E229="RFS",D229=INDEX('Station Depth Averages'!$A$3:$B$84,MATCH(B229,'Station Depth Averages'!$A$3:$A$84,0),2)),1,""),IF(AND(H229=1,OR(D229="SYN",D229="SRF",D229="MID")),1,IF(AND(H229=1,OR(E230="FDn",E230="LDn")),1,IF(AND(H229=1,OR(E229="FDn",E229="LDn")),1,""))))</f>
        <v/>
      </c>
      <c r="J229" s="4" t="str">
        <f t="shared" si="62"/>
        <v/>
      </c>
      <c r="K229" s="4" t="str">
        <f t="shared" si="63"/>
        <v/>
      </c>
      <c r="L229" s="4" t="str">
        <f t="shared" si="64"/>
        <v/>
      </c>
      <c r="M229" s="4" t="str">
        <f t="shared" si="65"/>
        <v/>
      </c>
      <c r="N229" s="4" t="str">
        <f t="shared" si="66"/>
        <v/>
      </c>
      <c r="O229" s="4" t="str">
        <f t="shared" si="67"/>
        <v/>
      </c>
      <c r="P229" s="4" t="str">
        <f t="shared" si="68"/>
        <v/>
      </c>
      <c r="Q229" s="4" t="str">
        <f t="shared" si="69"/>
        <v/>
      </c>
      <c r="R229" s="4" t="str">
        <f t="shared" si="70"/>
        <v/>
      </c>
      <c r="S229" s="4" t="str">
        <f t="shared" si="71"/>
        <v/>
      </c>
      <c r="T229" s="4">
        <f t="shared" si="72"/>
        <v>1</v>
      </c>
      <c r="U229">
        <f>IF(VLOOKUP(C229,'QA Table'!$Y$5:$Y$20,1,TRUE)=C229,1,0)</f>
        <v>0</v>
      </c>
      <c r="V229" t="str">
        <f t="shared" si="73"/>
        <v/>
      </c>
      <c r="W229" t="str">
        <f t="shared" si="74"/>
        <v/>
      </c>
      <c r="X229" t="str">
        <f t="shared" si="75"/>
        <v/>
      </c>
      <c r="Y229">
        <f t="shared" si="76"/>
        <v>0</v>
      </c>
      <c r="AA229" t="str">
        <f t="shared" si="77"/>
        <v/>
      </c>
    </row>
    <row r="230" spans="1:27" x14ac:dyDescent="0.2">
      <c r="A230" t="s">
        <v>0</v>
      </c>
      <c r="B230" t="s">
        <v>37</v>
      </c>
      <c r="C230" t="s">
        <v>1356</v>
      </c>
      <c r="D230" t="s">
        <v>10</v>
      </c>
      <c r="E230" t="s">
        <v>3</v>
      </c>
      <c r="F230" t="s">
        <v>1347</v>
      </c>
      <c r="G230" t="s">
        <v>1281</v>
      </c>
      <c r="H230" s="4" t="str">
        <f t="shared" si="61"/>
        <v/>
      </c>
      <c r="I230" s="4" t="str">
        <f>IF(RIGHT(B230,1)="M",IF(AND(H230=1,E230="RFS",D230=INDEX('Station Depth Averages'!$A$3:$B$84,MATCH(B230,'Station Depth Averages'!$A$3:$A$84,0),2)),1,""),IF(AND(H230=1,OR(D230="SYN",D230="SRF",D230="MID")),1,IF(AND(H230=1,OR(E231="FDn",E231="LDn")),1,IF(AND(H230=1,OR(E230="FDn",E230="LDn")),1,""))))</f>
        <v/>
      </c>
      <c r="J230" s="4" t="str">
        <f t="shared" si="62"/>
        <v/>
      </c>
      <c r="K230" s="4" t="str">
        <f t="shared" si="63"/>
        <v/>
      </c>
      <c r="L230" s="4" t="str">
        <f t="shared" si="64"/>
        <v/>
      </c>
      <c r="M230" s="4" t="str">
        <f t="shared" si="65"/>
        <v/>
      </c>
      <c r="N230" s="4" t="str">
        <f t="shared" si="66"/>
        <v/>
      </c>
      <c r="O230" s="4" t="str">
        <f t="shared" si="67"/>
        <v/>
      </c>
      <c r="P230" s="4" t="str">
        <f t="shared" si="68"/>
        <v/>
      </c>
      <c r="Q230" s="4" t="str">
        <f t="shared" si="69"/>
        <v/>
      </c>
      <c r="R230" s="4" t="str">
        <f t="shared" si="70"/>
        <v/>
      </c>
      <c r="S230" s="4" t="str">
        <f t="shared" si="71"/>
        <v/>
      </c>
      <c r="T230" s="4">
        <f t="shared" si="72"/>
        <v>1</v>
      </c>
      <c r="U230">
        <f>IF(VLOOKUP(C230,'QA Table'!$Y$5:$Y$20,1,TRUE)=C230,1,0)</f>
        <v>0</v>
      </c>
      <c r="V230" t="str">
        <f t="shared" si="73"/>
        <v/>
      </c>
      <c r="W230" t="str">
        <f t="shared" si="74"/>
        <v/>
      </c>
      <c r="X230" t="str">
        <f t="shared" si="75"/>
        <v/>
      </c>
      <c r="Y230">
        <f t="shared" si="76"/>
        <v>0</v>
      </c>
      <c r="AA230" t="str">
        <f t="shared" si="77"/>
        <v/>
      </c>
    </row>
    <row r="231" spans="1:27" x14ac:dyDescent="0.2">
      <c r="A231" t="s">
        <v>0</v>
      </c>
      <c r="B231" t="s">
        <v>37</v>
      </c>
      <c r="C231" t="s">
        <v>1357</v>
      </c>
      <c r="D231" t="s">
        <v>1034</v>
      </c>
      <c r="E231" t="s">
        <v>3</v>
      </c>
      <c r="F231" t="s">
        <v>1347</v>
      </c>
      <c r="G231" t="s">
        <v>1281</v>
      </c>
      <c r="H231" s="4" t="str">
        <f t="shared" si="61"/>
        <v/>
      </c>
      <c r="I231" s="4" t="str">
        <f>IF(RIGHT(B231,1)="M",IF(AND(H231=1,E231="RFS",D231=INDEX('Station Depth Averages'!$A$3:$B$84,MATCH(B231,'Station Depth Averages'!$A$3:$A$84,0),2)),1,""),IF(AND(H231=1,OR(D231="SYN",D231="SRF",D231="MID")),1,IF(AND(H231=1,OR(E232="FDn",E232="LDn")),1,IF(AND(H231=1,OR(E231="FDn",E231="LDn")),1,""))))</f>
        <v/>
      </c>
      <c r="J231" s="4" t="str">
        <f t="shared" si="62"/>
        <v/>
      </c>
      <c r="K231" s="4" t="str">
        <f t="shared" si="63"/>
        <v/>
      </c>
      <c r="L231" s="4" t="str">
        <f t="shared" si="64"/>
        <v/>
      </c>
      <c r="M231" s="4" t="str">
        <f t="shared" si="65"/>
        <v/>
      </c>
      <c r="N231" s="4" t="str">
        <f t="shared" si="66"/>
        <v/>
      </c>
      <c r="O231" s="4" t="str">
        <f t="shared" si="67"/>
        <v/>
      </c>
      <c r="P231" s="4" t="str">
        <f t="shared" si="68"/>
        <v/>
      </c>
      <c r="Q231" s="4" t="str">
        <f t="shared" si="69"/>
        <v/>
      </c>
      <c r="R231" s="4" t="str">
        <f t="shared" si="70"/>
        <v/>
      </c>
      <c r="S231" s="4">
        <f t="shared" si="71"/>
        <v>1</v>
      </c>
      <c r="T231" s="4" t="str">
        <f t="shared" si="72"/>
        <v/>
      </c>
      <c r="U231">
        <f>IF(VLOOKUP(C231,'QA Table'!$Y$5:$Y$20,1,TRUE)=C231,1,0)</f>
        <v>0</v>
      </c>
      <c r="V231" t="str">
        <f t="shared" si="73"/>
        <v/>
      </c>
      <c r="W231" t="str">
        <f t="shared" si="74"/>
        <v/>
      </c>
      <c r="X231" t="str">
        <f t="shared" si="75"/>
        <v/>
      </c>
      <c r="Y231">
        <f t="shared" si="76"/>
        <v>0</v>
      </c>
      <c r="AA231" t="str">
        <f t="shared" si="77"/>
        <v/>
      </c>
    </row>
    <row r="232" spans="1:27" x14ac:dyDescent="0.2">
      <c r="A232" t="s">
        <v>0</v>
      </c>
      <c r="B232" t="s">
        <v>37</v>
      </c>
      <c r="C232" t="s">
        <v>1358</v>
      </c>
      <c r="D232" t="s">
        <v>1034</v>
      </c>
      <c r="E232" t="s">
        <v>19</v>
      </c>
      <c r="F232" t="s">
        <v>1347</v>
      </c>
      <c r="G232" t="s">
        <v>1281</v>
      </c>
      <c r="H232" s="4" t="str">
        <f t="shared" si="61"/>
        <v/>
      </c>
      <c r="I232" s="4" t="str">
        <f>IF(RIGHT(B232,1)="M",IF(AND(H232=1,E232="RFS",D232=INDEX('Station Depth Averages'!$A$3:$B$84,MATCH(B232,'Station Depth Averages'!$A$3:$A$84,0),2)),1,""),IF(AND(H232=1,OR(D232="SYN",D232="SRF",D232="MID")),1,IF(AND(H232=1,OR(E233="FDn",E233="LDn")),1,IF(AND(H232=1,OR(E232="FDn",E232="LDn")),1,""))))</f>
        <v/>
      </c>
      <c r="J232" s="4" t="str">
        <f t="shared" si="62"/>
        <v/>
      </c>
      <c r="K232" s="4" t="str">
        <f t="shared" si="63"/>
        <v/>
      </c>
      <c r="L232" s="4" t="str">
        <f t="shared" si="64"/>
        <v/>
      </c>
      <c r="M232" s="4" t="str">
        <f t="shared" si="65"/>
        <v/>
      </c>
      <c r="N232" s="4" t="str">
        <f t="shared" si="66"/>
        <v/>
      </c>
      <c r="O232" s="4" t="str">
        <f t="shared" si="67"/>
        <v/>
      </c>
      <c r="P232" s="4" t="str">
        <f t="shared" si="68"/>
        <v/>
      </c>
      <c r="Q232" s="4" t="str">
        <f t="shared" si="69"/>
        <v/>
      </c>
      <c r="R232" s="4" t="str">
        <f t="shared" si="70"/>
        <v/>
      </c>
      <c r="S232" s="4">
        <f t="shared" si="71"/>
        <v>1</v>
      </c>
      <c r="T232" s="4" t="str">
        <f t="shared" si="72"/>
        <v/>
      </c>
      <c r="U232">
        <f>IF(VLOOKUP(C232,'QA Table'!$Y$5:$Y$20,1,TRUE)=C232,1,0)</f>
        <v>0</v>
      </c>
      <c r="V232" t="str">
        <f t="shared" si="73"/>
        <v/>
      </c>
      <c r="W232" t="str">
        <f t="shared" si="74"/>
        <v/>
      </c>
      <c r="X232" t="str">
        <f t="shared" si="75"/>
        <v/>
      </c>
      <c r="Y232">
        <f t="shared" si="76"/>
        <v>0</v>
      </c>
      <c r="AA232" t="str">
        <f t="shared" si="77"/>
        <v/>
      </c>
    </row>
    <row r="233" spans="1:27" x14ac:dyDescent="0.2">
      <c r="A233" t="s">
        <v>23</v>
      </c>
      <c r="B233" t="s">
        <v>38</v>
      </c>
      <c r="C233" t="s">
        <v>1359</v>
      </c>
      <c r="D233" t="s">
        <v>2</v>
      </c>
      <c r="E233" t="s">
        <v>3</v>
      </c>
      <c r="F233" t="s">
        <v>1360</v>
      </c>
      <c r="G233" t="s">
        <v>1281</v>
      </c>
      <c r="H233" s="4">
        <f t="shared" si="61"/>
        <v>1</v>
      </c>
      <c r="I233" s="4">
        <f>IF(RIGHT(B233,1)="M",IF(AND(H233=1,E233="RFS",D233=INDEX('Station Depth Averages'!$A$3:$B$84,MATCH(B233,'Station Depth Averages'!$A$3:$A$84,0),2)),1,""),IF(AND(H233=1,OR(D233="SYN",D233="SRF",D233="MID")),1,IF(AND(H233=1,OR(E234="FDn",E234="LDn")),1,IF(AND(H233=1,OR(E233="FDn",E233="LDn")),1,""))))</f>
        <v>1</v>
      </c>
      <c r="J233" s="4">
        <f t="shared" si="62"/>
        <v>1</v>
      </c>
      <c r="K233" s="4" t="str">
        <f t="shared" si="63"/>
        <v/>
      </c>
      <c r="L233" s="4" t="str">
        <f t="shared" si="64"/>
        <v/>
      </c>
      <c r="M233" s="4" t="str">
        <f t="shared" si="65"/>
        <v/>
      </c>
      <c r="N233" s="4" t="str">
        <f t="shared" si="66"/>
        <v/>
      </c>
      <c r="O233" s="4" t="str">
        <f t="shared" si="67"/>
        <v/>
      </c>
      <c r="P233" s="4" t="str">
        <f t="shared" si="68"/>
        <v/>
      </c>
      <c r="Q233" s="4" t="str">
        <f t="shared" si="69"/>
        <v/>
      </c>
      <c r="R233" s="4" t="str">
        <f t="shared" si="70"/>
        <v/>
      </c>
      <c r="S233" s="4" t="str">
        <f t="shared" si="71"/>
        <v/>
      </c>
      <c r="T233" s="4" t="str">
        <f t="shared" si="72"/>
        <v/>
      </c>
      <c r="U233">
        <f>IF(VLOOKUP(C233,'QA Table'!$Y$5:$Y$20,1,TRUE)=C233,1,0)</f>
        <v>0</v>
      </c>
      <c r="V233" t="str">
        <f t="shared" si="73"/>
        <v/>
      </c>
      <c r="W233" t="str">
        <f t="shared" si="74"/>
        <v/>
      </c>
      <c r="X233">
        <f t="shared" si="75"/>
        <v>3</v>
      </c>
      <c r="Y233">
        <f t="shared" si="76"/>
        <v>0</v>
      </c>
      <c r="AA233">
        <f t="shared" si="77"/>
        <v>1</v>
      </c>
    </row>
    <row r="234" spans="1:27" x14ac:dyDescent="0.2">
      <c r="A234" t="s">
        <v>23</v>
      </c>
      <c r="B234" t="s">
        <v>38</v>
      </c>
      <c r="C234" t="s">
        <v>1361</v>
      </c>
      <c r="D234" t="s">
        <v>1050</v>
      </c>
      <c r="E234" t="s">
        <v>3</v>
      </c>
      <c r="F234" t="s">
        <v>1360</v>
      </c>
      <c r="G234" t="s">
        <v>1281</v>
      </c>
      <c r="H234" s="4" t="str">
        <f t="shared" si="61"/>
        <v/>
      </c>
      <c r="I234" s="4" t="str">
        <f>IF(RIGHT(B234,1)="M",IF(AND(H234=1,E234="RFS",D234=INDEX('Station Depth Averages'!$A$3:$B$84,MATCH(B234,'Station Depth Averages'!$A$3:$A$84,0),2)),1,""),IF(AND(H234=1,OR(D234="SYN",D234="SRF",D234="MID")),1,IF(AND(H234=1,OR(E235="FDn",E235="LDn")),1,IF(AND(H234=1,OR(E234="FDn",E234="LDn")),1,""))))</f>
        <v/>
      </c>
      <c r="J234" s="4" t="str">
        <f t="shared" si="62"/>
        <v/>
      </c>
      <c r="K234" s="4" t="str">
        <f t="shared" si="63"/>
        <v/>
      </c>
      <c r="L234" s="4" t="str">
        <f t="shared" si="64"/>
        <v/>
      </c>
      <c r="M234" s="4" t="str">
        <f t="shared" si="65"/>
        <v/>
      </c>
      <c r="N234" s="4" t="str">
        <f t="shared" si="66"/>
        <v/>
      </c>
      <c r="O234" s="4" t="str">
        <f t="shared" si="67"/>
        <v/>
      </c>
      <c r="P234" s="4" t="str">
        <f t="shared" si="68"/>
        <v/>
      </c>
      <c r="Q234" s="4" t="str">
        <f t="shared" si="69"/>
        <v/>
      </c>
      <c r="R234" s="4" t="str">
        <f t="shared" si="70"/>
        <v/>
      </c>
      <c r="S234" s="4" t="str">
        <f t="shared" si="71"/>
        <v/>
      </c>
      <c r="T234" s="4" t="str">
        <f t="shared" si="72"/>
        <v/>
      </c>
      <c r="U234">
        <f>IF(VLOOKUP(C234,'QA Table'!$Y$5:$Y$20,1,TRUE)=C234,1,0)</f>
        <v>0</v>
      </c>
      <c r="V234" t="str">
        <f t="shared" si="73"/>
        <v/>
      </c>
      <c r="W234" t="str">
        <f t="shared" si="74"/>
        <v/>
      </c>
      <c r="X234" t="str">
        <f t="shared" si="75"/>
        <v/>
      </c>
      <c r="Y234">
        <f t="shared" si="76"/>
        <v>0</v>
      </c>
      <c r="AA234" t="str">
        <f t="shared" si="77"/>
        <v/>
      </c>
    </row>
    <row r="235" spans="1:27" x14ac:dyDescent="0.2">
      <c r="A235" t="s">
        <v>23</v>
      </c>
      <c r="B235" t="s">
        <v>38</v>
      </c>
      <c r="C235" t="s">
        <v>1362</v>
      </c>
      <c r="D235" t="s">
        <v>4</v>
      </c>
      <c r="E235" t="s">
        <v>3</v>
      </c>
      <c r="F235" t="s">
        <v>1360</v>
      </c>
      <c r="G235" t="s">
        <v>1281</v>
      </c>
      <c r="H235" s="4" t="str">
        <f t="shared" si="61"/>
        <v/>
      </c>
      <c r="I235" s="4" t="str">
        <f>IF(RIGHT(B235,1)="M",IF(AND(H235=1,E235="RFS",D235=INDEX('Station Depth Averages'!$A$3:$B$84,MATCH(B235,'Station Depth Averages'!$A$3:$A$84,0),2)),1,""),IF(AND(H235=1,OR(D235="SYN",D235="SRF",D235="MID")),1,IF(AND(H235=1,OR(E236="FDn",E236="LDn")),1,IF(AND(H235=1,OR(E235="FDn",E235="LDn")),1,""))))</f>
        <v/>
      </c>
      <c r="J235" s="4" t="str">
        <f t="shared" si="62"/>
        <v/>
      </c>
      <c r="K235" s="4" t="str">
        <f t="shared" si="63"/>
        <v/>
      </c>
      <c r="L235" s="4" t="str">
        <f t="shared" si="64"/>
        <v/>
      </c>
      <c r="M235" s="4" t="str">
        <f t="shared" si="65"/>
        <v/>
      </c>
      <c r="N235" s="4" t="str">
        <f t="shared" si="66"/>
        <v/>
      </c>
      <c r="O235" s="4" t="str">
        <f t="shared" si="67"/>
        <v/>
      </c>
      <c r="P235" s="4" t="str">
        <f t="shared" si="68"/>
        <v/>
      </c>
      <c r="Q235" s="4" t="str">
        <f t="shared" si="69"/>
        <v/>
      </c>
      <c r="R235" s="4" t="str">
        <f t="shared" si="70"/>
        <v/>
      </c>
      <c r="S235" s="4" t="str">
        <f t="shared" si="71"/>
        <v/>
      </c>
      <c r="T235" s="4" t="str">
        <f t="shared" si="72"/>
        <v/>
      </c>
      <c r="U235">
        <f>IF(VLOOKUP(C235,'QA Table'!$Y$5:$Y$20,1,TRUE)=C235,1,0)</f>
        <v>0</v>
      </c>
      <c r="V235" t="str">
        <f t="shared" si="73"/>
        <v/>
      </c>
      <c r="W235" t="str">
        <f t="shared" si="74"/>
        <v/>
      </c>
      <c r="X235" t="str">
        <f t="shared" si="75"/>
        <v/>
      </c>
      <c r="Y235">
        <f t="shared" si="76"/>
        <v>0</v>
      </c>
      <c r="AA235" t="str">
        <f t="shared" si="77"/>
        <v/>
      </c>
    </row>
    <row r="236" spans="1:27" x14ac:dyDescent="0.2">
      <c r="A236" t="s">
        <v>23</v>
      </c>
      <c r="B236" t="s">
        <v>38</v>
      </c>
      <c r="C236" t="s">
        <v>1363</v>
      </c>
      <c r="D236" t="s">
        <v>1051</v>
      </c>
      <c r="E236" t="s">
        <v>3</v>
      </c>
      <c r="F236" t="s">
        <v>1360</v>
      </c>
      <c r="G236" t="s">
        <v>1281</v>
      </c>
      <c r="H236" s="4" t="str">
        <f t="shared" si="61"/>
        <v/>
      </c>
      <c r="I236" s="4" t="str">
        <f>IF(RIGHT(B236,1)="M",IF(AND(H236=1,E236="RFS",D236=INDEX('Station Depth Averages'!$A$3:$B$84,MATCH(B236,'Station Depth Averages'!$A$3:$A$84,0),2)),1,""),IF(AND(H236=1,OR(D236="SYN",D236="SRF",D236="MID")),1,IF(AND(H236=1,OR(E237="FDn",E237="LDn")),1,IF(AND(H236=1,OR(E236="FDn",E236="LDn")),1,""))))</f>
        <v/>
      </c>
      <c r="J236" s="4" t="str">
        <f t="shared" si="62"/>
        <v/>
      </c>
      <c r="K236" s="4" t="str">
        <f t="shared" si="63"/>
        <v/>
      </c>
      <c r="L236" s="4" t="str">
        <f t="shared" si="64"/>
        <v/>
      </c>
      <c r="M236" s="4" t="str">
        <f t="shared" si="65"/>
        <v/>
      </c>
      <c r="N236" s="4" t="str">
        <f t="shared" si="66"/>
        <v/>
      </c>
      <c r="O236" s="4" t="str">
        <f t="shared" si="67"/>
        <v/>
      </c>
      <c r="P236" s="4" t="str">
        <f t="shared" si="68"/>
        <v/>
      </c>
      <c r="Q236" s="4" t="str">
        <f t="shared" si="69"/>
        <v/>
      </c>
      <c r="R236" s="4" t="str">
        <f t="shared" si="70"/>
        <v/>
      </c>
      <c r="S236" s="4" t="str">
        <f t="shared" si="71"/>
        <v/>
      </c>
      <c r="T236" s="4" t="str">
        <f t="shared" si="72"/>
        <v/>
      </c>
      <c r="U236">
        <f>IF(VLOOKUP(C236,'QA Table'!$Y$5:$Y$20,1,TRUE)=C236,1,0)</f>
        <v>0</v>
      </c>
      <c r="V236" t="str">
        <f t="shared" si="73"/>
        <v/>
      </c>
      <c r="W236" t="str">
        <f t="shared" si="74"/>
        <v/>
      </c>
      <c r="X236" t="str">
        <f t="shared" si="75"/>
        <v/>
      </c>
      <c r="Y236">
        <f t="shared" si="76"/>
        <v>0</v>
      </c>
      <c r="AA236" t="str">
        <f t="shared" si="77"/>
        <v/>
      </c>
    </row>
    <row r="237" spans="1:27" x14ac:dyDescent="0.2">
      <c r="A237" t="s">
        <v>23</v>
      </c>
      <c r="B237" t="s">
        <v>38</v>
      </c>
      <c r="C237" t="s">
        <v>1364</v>
      </c>
      <c r="D237" t="s">
        <v>119</v>
      </c>
      <c r="E237" t="s">
        <v>3</v>
      </c>
      <c r="F237" t="s">
        <v>1360</v>
      </c>
      <c r="G237" t="s">
        <v>1281</v>
      </c>
      <c r="H237" s="4">
        <f t="shared" si="61"/>
        <v>1</v>
      </c>
      <c r="I237" s="4">
        <f>IF(RIGHT(B237,1)="M",IF(AND(H237=1,E237="RFS",D237=INDEX('Station Depth Averages'!$A$3:$B$84,MATCH(B237,'Station Depth Averages'!$A$3:$A$84,0),2)),1,""),IF(AND(H237=1,OR(D237="SYN",D237="SRF",D237="MID")),1,IF(AND(H237=1,OR(E238="FDn",E238="LDn")),1,IF(AND(H237=1,OR(E237="FDn",E237="LDn")),1,""))))</f>
        <v>1</v>
      </c>
      <c r="J237" s="4">
        <f t="shared" si="62"/>
        <v>1</v>
      </c>
      <c r="K237" s="4" t="str">
        <f t="shared" si="63"/>
        <v/>
      </c>
      <c r="L237" s="4" t="str">
        <f t="shared" si="64"/>
        <v/>
      </c>
      <c r="M237" s="4" t="str">
        <f t="shared" si="65"/>
        <v/>
      </c>
      <c r="N237" s="4" t="str">
        <f t="shared" si="66"/>
        <v/>
      </c>
      <c r="O237" s="4" t="str">
        <f t="shared" si="67"/>
        <v/>
      </c>
      <c r="P237" s="4" t="str">
        <f t="shared" si="68"/>
        <v/>
      </c>
      <c r="Q237" s="4" t="str">
        <f t="shared" si="69"/>
        <v/>
      </c>
      <c r="R237" s="4" t="str">
        <f t="shared" si="70"/>
        <v/>
      </c>
      <c r="S237" s="4" t="str">
        <f t="shared" si="71"/>
        <v/>
      </c>
      <c r="T237" s="4" t="str">
        <f t="shared" si="72"/>
        <v/>
      </c>
      <c r="U237">
        <f>IF(VLOOKUP(C237,'QA Table'!$Y$5:$Y$20,1,TRUE)=C237,1,0)</f>
        <v>0</v>
      </c>
      <c r="V237" t="str">
        <f t="shared" si="73"/>
        <v/>
      </c>
      <c r="W237" t="str">
        <f t="shared" si="74"/>
        <v/>
      </c>
      <c r="X237">
        <f t="shared" si="75"/>
        <v>3</v>
      </c>
      <c r="Y237">
        <f t="shared" si="76"/>
        <v>0</v>
      </c>
      <c r="AA237">
        <f t="shared" si="77"/>
        <v>1</v>
      </c>
    </row>
    <row r="238" spans="1:27" x14ac:dyDescent="0.2">
      <c r="A238" t="s">
        <v>23</v>
      </c>
      <c r="B238" t="s">
        <v>38</v>
      </c>
      <c r="C238" t="s">
        <v>1365</v>
      </c>
      <c r="D238" t="s">
        <v>5</v>
      </c>
      <c r="E238" t="s">
        <v>3</v>
      </c>
      <c r="F238" t="s">
        <v>1360</v>
      </c>
      <c r="G238" t="s">
        <v>1281</v>
      </c>
      <c r="H238" s="4">
        <f t="shared" si="61"/>
        <v>1</v>
      </c>
      <c r="I238" s="4" t="str">
        <f>IF(RIGHT(B238,1)="M",IF(AND(H238=1,E238="RFS",D238=INDEX('Station Depth Averages'!$A$3:$B$84,MATCH(B238,'Station Depth Averages'!$A$3:$A$84,0),2)),1,""),IF(AND(H238=1,OR(D238="SYN",D238="SRF",D238="MID")),1,IF(AND(H238=1,OR(E239="FDn",E239="LDn")),1,IF(AND(H238=1,OR(E238="FDn",E238="LDn")),1,""))))</f>
        <v/>
      </c>
      <c r="J238" s="4">
        <f t="shared" si="62"/>
        <v>1</v>
      </c>
      <c r="K238" s="4" t="str">
        <f t="shared" si="63"/>
        <v/>
      </c>
      <c r="L238" s="4" t="str">
        <f t="shared" si="64"/>
        <v/>
      </c>
      <c r="M238" s="4" t="str">
        <f t="shared" si="65"/>
        <v/>
      </c>
      <c r="N238" s="4" t="str">
        <f t="shared" si="66"/>
        <v/>
      </c>
      <c r="O238" s="4" t="str">
        <f t="shared" si="67"/>
        <v/>
      </c>
      <c r="P238" s="4" t="str">
        <f t="shared" si="68"/>
        <v/>
      </c>
      <c r="Q238" s="4" t="str">
        <f t="shared" si="69"/>
        <v/>
      </c>
      <c r="R238" s="4" t="str">
        <f t="shared" si="70"/>
        <v/>
      </c>
      <c r="S238" s="4" t="str">
        <f t="shared" si="71"/>
        <v/>
      </c>
      <c r="T238" s="4" t="str">
        <f t="shared" si="72"/>
        <v/>
      </c>
      <c r="U238">
        <f>IF(VLOOKUP(C238,'QA Table'!$Y$5:$Y$20,1,TRUE)=C238,1,0)</f>
        <v>0</v>
      </c>
      <c r="V238" t="str">
        <f t="shared" si="73"/>
        <v/>
      </c>
      <c r="W238" t="str">
        <f t="shared" si="74"/>
        <v/>
      </c>
      <c r="X238">
        <f t="shared" si="75"/>
        <v>3</v>
      </c>
      <c r="Y238">
        <f t="shared" si="76"/>
        <v>0</v>
      </c>
      <c r="AA238">
        <f t="shared" si="77"/>
        <v>1</v>
      </c>
    </row>
    <row r="239" spans="1:27" x14ac:dyDescent="0.2">
      <c r="A239" t="s">
        <v>23</v>
      </c>
      <c r="B239" t="s">
        <v>38</v>
      </c>
      <c r="C239" t="s">
        <v>1366</v>
      </c>
      <c r="D239" t="s">
        <v>6</v>
      </c>
      <c r="E239" t="s">
        <v>3</v>
      </c>
      <c r="F239" t="s">
        <v>1360</v>
      </c>
      <c r="G239" t="s">
        <v>1281</v>
      </c>
      <c r="H239" s="4">
        <f t="shared" si="61"/>
        <v>1</v>
      </c>
      <c r="I239" s="4" t="str">
        <f>IF(RIGHT(B239,1)="M",IF(AND(H239=1,E239="RFS",D239=INDEX('Station Depth Averages'!$A$3:$B$84,MATCH(B239,'Station Depth Averages'!$A$3:$A$84,0),2)),1,""),IF(AND(H239=1,OR(D239="SYN",D239="SRF",D239="MID")),1,IF(AND(H239=1,OR(E240="FDn",E240="LDn")),1,IF(AND(H239=1,OR(E239="FDn",E239="LDn")),1,""))))</f>
        <v/>
      </c>
      <c r="J239" s="4">
        <f t="shared" si="62"/>
        <v>1</v>
      </c>
      <c r="K239" s="4" t="str">
        <f t="shared" si="63"/>
        <v/>
      </c>
      <c r="L239" s="4" t="str">
        <f t="shared" si="64"/>
        <v/>
      </c>
      <c r="M239" s="4" t="str">
        <f t="shared" si="65"/>
        <v/>
      </c>
      <c r="N239" s="4" t="str">
        <f t="shared" si="66"/>
        <v/>
      </c>
      <c r="O239" s="4" t="str">
        <f t="shared" si="67"/>
        <v/>
      </c>
      <c r="P239" s="4" t="str">
        <f t="shared" si="68"/>
        <v/>
      </c>
      <c r="Q239" s="4" t="str">
        <f t="shared" si="69"/>
        <v/>
      </c>
      <c r="R239" s="4" t="str">
        <f t="shared" si="70"/>
        <v/>
      </c>
      <c r="S239" s="4" t="str">
        <f t="shared" si="71"/>
        <v/>
      </c>
      <c r="T239" s="4" t="str">
        <f t="shared" si="72"/>
        <v/>
      </c>
      <c r="U239">
        <f>IF(VLOOKUP(C239,'QA Table'!$Y$5:$Y$20,1,TRUE)=C239,1,0)</f>
        <v>0</v>
      </c>
      <c r="V239" t="str">
        <f t="shared" si="73"/>
        <v/>
      </c>
      <c r="W239" t="str">
        <f t="shared" si="74"/>
        <v/>
      </c>
      <c r="X239">
        <f t="shared" si="75"/>
        <v>3</v>
      </c>
      <c r="Y239">
        <f t="shared" si="76"/>
        <v>0</v>
      </c>
      <c r="AA239">
        <f t="shared" si="77"/>
        <v>1</v>
      </c>
    </row>
    <row r="240" spans="1:27" x14ac:dyDescent="0.2">
      <c r="A240" t="s">
        <v>23</v>
      </c>
      <c r="B240" t="s">
        <v>38</v>
      </c>
      <c r="C240" t="s">
        <v>1367</v>
      </c>
      <c r="D240" t="s">
        <v>8</v>
      </c>
      <c r="E240" t="s">
        <v>3</v>
      </c>
      <c r="F240" t="s">
        <v>1360</v>
      </c>
      <c r="G240" t="s">
        <v>1281</v>
      </c>
      <c r="H240" s="4">
        <f t="shared" si="61"/>
        <v>1</v>
      </c>
      <c r="I240" s="4" t="str">
        <f>IF(RIGHT(B240,1)="M",IF(AND(H240=1,E240="RFS",D240=INDEX('Station Depth Averages'!$A$3:$B$84,MATCH(B240,'Station Depth Averages'!$A$3:$A$84,0),2)),1,""),IF(AND(H240=1,OR(D240="SYN",D240="SRF",D240="MID")),1,IF(AND(H240=1,OR(E241="FDn",E241="LDn")),1,IF(AND(H240=1,OR(E240="FDn",E240="LDn")),1,""))))</f>
        <v/>
      </c>
      <c r="J240" s="4" t="str">
        <f t="shared" si="62"/>
        <v/>
      </c>
      <c r="K240" s="4">
        <f t="shared" si="63"/>
        <v>1</v>
      </c>
      <c r="L240" s="4" t="str">
        <f t="shared" si="64"/>
        <v/>
      </c>
      <c r="M240" s="4" t="str">
        <f t="shared" si="65"/>
        <v/>
      </c>
      <c r="N240" s="4" t="str">
        <f t="shared" si="66"/>
        <v/>
      </c>
      <c r="O240" s="4" t="str">
        <f t="shared" si="67"/>
        <v/>
      </c>
      <c r="P240" s="4" t="str">
        <f t="shared" si="68"/>
        <v/>
      </c>
      <c r="Q240" s="4">
        <f t="shared" si="69"/>
        <v>2</v>
      </c>
      <c r="R240" s="4" t="str">
        <f t="shared" si="70"/>
        <v/>
      </c>
      <c r="S240" s="4" t="str">
        <f t="shared" si="71"/>
        <v/>
      </c>
      <c r="T240" s="4" t="str">
        <f t="shared" si="72"/>
        <v/>
      </c>
      <c r="U240">
        <f>IF(VLOOKUP(C240,'QA Table'!$Y$5:$Y$20,1,TRUE)=C240,1,0)</f>
        <v>0</v>
      </c>
      <c r="V240" t="str">
        <f t="shared" si="73"/>
        <v/>
      </c>
      <c r="W240" t="str">
        <f t="shared" si="74"/>
        <v/>
      </c>
      <c r="X240">
        <f t="shared" si="75"/>
        <v>3</v>
      </c>
      <c r="Y240">
        <f t="shared" si="76"/>
        <v>0</v>
      </c>
      <c r="AA240">
        <f t="shared" si="77"/>
        <v>1</v>
      </c>
    </row>
    <row r="241" spans="1:27" x14ac:dyDescent="0.2">
      <c r="A241" t="s">
        <v>23</v>
      </c>
      <c r="B241" t="s">
        <v>38</v>
      </c>
      <c r="C241" t="s">
        <v>1368</v>
      </c>
      <c r="D241" t="s">
        <v>9</v>
      </c>
      <c r="E241" t="s">
        <v>3</v>
      </c>
      <c r="F241" t="s">
        <v>1360</v>
      </c>
      <c r="G241" t="s">
        <v>1281</v>
      </c>
      <c r="H241" s="4" t="str">
        <f t="shared" si="61"/>
        <v/>
      </c>
      <c r="I241" s="4" t="str">
        <f>IF(RIGHT(B241,1)="M",IF(AND(H241=1,E241="RFS",D241=INDEX('Station Depth Averages'!$A$3:$B$84,MATCH(B241,'Station Depth Averages'!$A$3:$A$84,0),2)),1,""),IF(AND(H241=1,OR(D241="SYN",D241="SRF",D241="MID")),1,IF(AND(H241=1,OR(E242="FDn",E242="LDn")),1,IF(AND(H241=1,OR(E241="FDn",E241="LDn")),1,""))))</f>
        <v/>
      </c>
      <c r="J241" s="4" t="str">
        <f t="shared" si="62"/>
        <v/>
      </c>
      <c r="K241" s="4" t="str">
        <f t="shared" si="63"/>
        <v/>
      </c>
      <c r="L241" s="4" t="str">
        <f t="shared" si="64"/>
        <v/>
      </c>
      <c r="M241" s="4" t="str">
        <f t="shared" si="65"/>
        <v/>
      </c>
      <c r="N241" s="4" t="str">
        <f t="shared" si="66"/>
        <v/>
      </c>
      <c r="O241" s="4" t="str">
        <f t="shared" si="67"/>
        <v/>
      </c>
      <c r="P241" s="4" t="str">
        <f t="shared" si="68"/>
        <v/>
      </c>
      <c r="Q241" s="4" t="str">
        <f t="shared" si="69"/>
        <v/>
      </c>
      <c r="R241" s="4" t="str">
        <f t="shared" si="70"/>
        <v/>
      </c>
      <c r="S241" s="4" t="str">
        <f t="shared" si="71"/>
        <v/>
      </c>
      <c r="T241" s="4">
        <f t="shared" si="72"/>
        <v>1</v>
      </c>
      <c r="U241">
        <f>IF(VLOOKUP(C241,'QA Table'!$Y$5:$Y$20,1,TRUE)=C241,1,0)</f>
        <v>0</v>
      </c>
      <c r="V241" t="str">
        <f t="shared" si="73"/>
        <v/>
      </c>
      <c r="W241" t="str">
        <f t="shared" si="74"/>
        <v/>
      </c>
      <c r="X241" t="str">
        <f t="shared" si="75"/>
        <v/>
      </c>
      <c r="Y241">
        <f t="shared" si="76"/>
        <v>0</v>
      </c>
      <c r="AA241" t="str">
        <f t="shared" si="77"/>
        <v/>
      </c>
    </row>
    <row r="242" spans="1:27" x14ac:dyDescent="0.2">
      <c r="A242" t="s">
        <v>23</v>
      </c>
      <c r="B242" t="s">
        <v>38</v>
      </c>
      <c r="C242" t="s">
        <v>1369</v>
      </c>
      <c r="D242" t="s">
        <v>10</v>
      </c>
      <c r="E242" t="s">
        <v>3</v>
      </c>
      <c r="F242" t="s">
        <v>1360</v>
      </c>
      <c r="G242" t="s">
        <v>1281</v>
      </c>
      <c r="H242" s="4" t="str">
        <f t="shared" si="61"/>
        <v/>
      </c>
      <c r="I242" s="4" t="str">
        <f>IF(RIGHT(B242,1)="M",IF(AND(H242=1,E242="RFS",D242=INDEX('Station Depth Averages'!$A$3:$B$84,MATCH(B242,'Station Depth Averages'!$A$3:$A$84,0),2)),1,""),IF(AND(H242=1,OR(D242="SYN",D242="SRF",D242="MID")),1,IF(AND(H242=1,OR(E243="FDn",E243="LDn")),1,IF(AND(H242=1,OR(E242="FDn",E242="LDn")),1,""))))</f>
        <v/>
      </c>
      <c r="J242" s="4" t="str">
        <f t="shared" si="62"/>
        <v/>
      </c>
      <c r="K242" s="4" t="str">
        <f t="shared" si="63"/>
        <v/>
      </c>
      <c r="L242" s="4" t="str">
        <f t="shared" si="64"/>
        <v/>
      </c>
      <c r="M242" s="4" t="str">
        <f t="shared" si="65"/>
        <v/>
      </c>
      <c r="N242" s="4" t="str">
        <f t="shared" si="66"/>
        <v/>
      </c>
      <c r="O242" s="4" t="str">
        <f t="shared" si="67"/>
        <v/>
      </c>
      <c r="P242" s="4" t="str">
        <f t="shared" si="68"/>
        <v/>
      </c>
      <c r="Q242" s="4" t="str">
        <f t="shared" si="69"/>
        <v/>
      </c>
      <c r="R242" s="4" t="str">
        <f t="shared" si="70"/>
        <v/>
      </c>
      <c r="S242" s="4" t="str">
        <f t="shared" si="71"/>
        <v/>
      </c>
      <c r="T242" s="4">
        <f t="shared" si="72"/>
        <v>1</v>
      </c>
      <c r="U242">
        <f>IF(VLOOKUP(C242,'QA Table'!$Y$5:$Y$20,1,TRUE)=C242,1,0)</f>
        <v>0</v>
      </c>
      <c r="V242" t="str">
        <f t="shared" si="73"/>
        <v/>
      </c>
      <c r="W242" t="str">
        <f t="shared" si="74"/>
        <v/>
      </c>
      <c r="X242" t="str">
        <f t="shared" si="75"/>
        <v/>
      </c>
      <c r="Y242">
        <f t="shared" si="76"/>
        <v>0</v>
      </c>
      <c r="AA242" t="str">
        <f t="shared" si="77"/>
        <v/>
      </c>
    </row>
    <row r="243" spans="1:27" x14ac:dyDescent="0.2">
      <c r="A243" t="s">
        <v>23</v>
      </c>
      <c r="B243" t="s">
        <v>38</v>
      </c>
      <c r="C243" t="s">
        <v>1370</v>
      </c>
      <c r="D243" t="s">
        <v>1034</v>
      </c>
      <c r="E243" t="s">
        <v>3</v>
      </c>
      <c r="F243" t="s">
        <v>1360</v>
      </c>
      <c r="G243" t="s">
        <v>1281</v>
      </c>
      <c r="H243" s="4" t="str">
        <f t="shared" si="61"/>
        <v/>
      </c>
      <c r="I243" s="4" t="str">
        <f>IF(RIGHT(B243,1)="M",IF(AND(H243=1,E243="RFS",D243=INDEX('Station Depth Averages'!$A$3:$B$84,MATCH(B243,'Station Depth Averages'!$A$3:$A$84,0),2)),1,""),IF(AND(H243=1,OR(D243="SYN",D243="SRF",D243="MID")),1,IF(AND(H243=1,OR(E244="FDn",E244="LDn")),1,IF(AND(H243=1,OR(E243="FDn",E243="LDn")),1,""))))</f>
        <v/>
      </c>
      <c r="J243" s="4" t="str">
        <f t="shared" si="62"/>
        <v/>
      </c>
      <c r="K243" s="4" t="str">
        <f t="shared" si="63"/>
        <v/>
      </c>
      <c r="L243" s="4" t="str">
        <f t="shared" si="64"/>
        <v/>
      </c>
      <c r="M243" s="4" t="str">
        <f t="shared" si="65"/>
        <v/>
      </c>
      <c r="N243" s="4" t="str">
        <f t="shared" si="66"/>
        <v/>
      </c>
      <c r="O243" s="4" t="str">
        <f t="shared" si="67"/>
        <v/>
      </c>
      <c r="P243" s="4" t="str">
        <f t="shared" si="68"/>
        <v/>
      </c>
      <c r="Q243" s="4" t="str">
        <f t="shared" si="69"/>
        <v/>
      </c>
      <c r="R243" s="4" t="str">
        <f t="shared" si="70"/>
        <v/>
      </c>
      <c r="S243" s="4">
        <f t="shared" si="71"/>
        <v>1</v>
      </c>
      <c r="T243" s="4" t="str">
        <f t="shared" si="72"/>
        <v/>
      </c>
      <c r="U243">
        <f>IF(VLOOKUP(C243,'QA Table'!$Y$5:$Y$20,1,TRUE)=C243,1,0)</f>
        <v>0</v>
      </c>
      <c r="V243" t="str">
        <f t="shared" si="73"/>
        <v/>
      </c>
      <c r="W243" t="str">
        <f t="shared" si="74"/>
        <v/>
      </c>
      <c r="X243" t="str">
        <f t="shared" si="75"/>
        <v/>
      </c>
      <c r="Y243">
        <f t="shared" si="76"/>
        <v>0</v>
      </c>
      <c r="AA243" t="str">
        <f t="shared" si="77"/>
        <v/>
      </c>
    </row>
    <row r="244" spans="1:27" x14ac:dyDescent="0.2">
      <c r="A244" t="s">
        <v>23</v>
      </c>
      <c r="B244" t="s">
        <v>38</v>
      </c>
      <c r="C244" t="s">
        <v>1371</v>
      </c>
      <c r="D244" t="s">
        <v>1034</v>
      </c>
      <c r="E244" t="s">
        <v>19</v>
      </c>
      <c r="F244" t="s">
        <v>1360</v>
      </c>
      <c r="G244" t="s">
        <v>1281</v>
      </c>
      <c r="H244" s="4" t="str">
        <f t="shared" si="61"/>
        <v/>
      </c>
      <c r="I244" s="4" t="str">
        <f>IF(RIGHT(B244,1)="M",IF(AND(H244=1,E244="RFS",D244=INDEX('Station Depth Averages'!$A$3:$B$84,MATCH(B244,'Station Depth Averages'!$A$3:$A$84,0),2)),1,""),IF(AND(H244=1,OR(D244="SYN",D244="SRF",D244="MID")),1,IF(AND(H244=1,OR(E245="FDn",E245="LDn")),1,IF(AND(H244=1,OR(E244="FDn",E244="LDn")),1,""))))</f>
        <v/>
      </c>
      <c r="J244" s="4" t="str">
        <f t="shared" si="62"/>
        <v/>
      </c>
      <c r="K244" s="4" t="str">
        <f t="shared" si="63"/>
        <v/>
      </c>
      <c r="L244" s="4" t="str">
        <f t="shared" si="64"/>
        <v/>
      </c>
      <c r="M244" s="4" t="str">
        <f t="shared" si="65"/>
        <v/>
      </c>
      <c r="N244" s="4" t="str">
        <f t="shared" si="66"/>
        <v/>
      </c>
      <c r="O244" s="4" t="str">
        <f t="shared" si="67"/>
        <v/>
      </c>
      <c r="P244" s="4" t="str">
        <f t="shared" si="68"/>
        <v/>
      </c>
      <c r="Q244" s="4" t="str">
        <f t="shared" si="69"/>
        <v/>
      </c>
      <c r="R244" s="4" t="str">
        <f t="shared" si="70"/>
        <v/>
      </c>
      <c r="S244" s="4">
        <f t="shared" si="71"/>
        <v>1</v>
      </c>
      <c r="T244" s="4" t="str">
        <f t="shared" si="72"/>
        <v/>
      </c>
      <c r="U244">
        <f>IF(VLOOKUP(C244,'QA Table'!$Y$5:$Y$20,1,TRUE)=C244,1,0)</f>
        <v>0</v>
      </c>
      <c r="V244" t="str">
        <f t="shared" si="73"/>
        <v/>
      </c>
      <c r="W244" t="str">
        <f t="shared" si="74"/>
        <v/>
      </c>
      <c r="X244" t="str">
        <f t="shared" si="75"/>
        <v/>
      </c>
      <c r="Y244">
        <f t="shared" si="76"/>
        <v>0</v>
      </c>
      <c r="AA244" t="str">
        <f t="shared" si="77"/>
        <v/>
      </c>
    </row>
    <row r="245" spans="1:27" x14ac:dyDescent="0.2">
      <c r="A245" t="s">
        <v>23</v>
      </c>
      <c r="B245" t="s">
        <v>39</v>
      </c>
      <c r="C245" t="s">
        <v>1372</v>
      </c>
      <c r="D245" t="s">
        <v>14</v>
      </c>
      <c r="E245" t="s">
        <v>15</v>
      </c>
      <c r="F245" t="s">
        <v>1373</v>
      </c>
      <c r="G245" t="s">
        <v>1281</v>
      </c>
      <c r="H245" s="4">
        <f t="shared" si="61"/>
        <v>1</v>
      </c>
      <c r="I245" s="4">
        <f>IF(RIGHT(B245,1)="M",IF(AND(H245=1,E245="RFS",D245=INDEX('Station Depth Averages'!$A$3:$B$84,MATCH(B245,'Station Depth Averages'!$A$3:$A$84,0),2)),1,""),IF(AND(H245=1,OR(D245="SYN",D245="SRF",D245="MID")),1,IF(AND(H245=1,OR(E246="FDn",E246="LDn")),1,IF(AND(H245=1,OR(E245="FDn",E245="LDn")),1,""))))</f>
        <v>1</v>
      </c>
      <c r="J245" s="4">
        <f t="shared" si="62"/>
        <v>1</v>
      </c>
      <c r="K245" s="4" t="str">
        <f t="shared" si="63"/>
        <v/>
      </c>
      <c r="L245" s="4" t="str">
        <f t="shared" si="64"/>
        <v/>
      </c>
      <c r="M245" s="4" t="str">
        <f t="shared" si="65"/>
        <v/>
      </c>
      <c r="N245" s="4" t="str">
        <f t="shared" si="66"/>
        <v/>
      </c>
      <c r="O245" s="4" t="str">
        <f t="shared" si="67"/>
        <v/>
      </c>
      <c r="P245" s="4" t="str">
        <f t="shared" si="68"/>
        <v/>
      </c>
      <c r="Q245" s="4" t="str">
        <f t="shared" si="69"/>
        <v/>
      </c>
      <c r="R245" s="4" t="str">
        <f t="shared" si="70"/>
        <v/>
      </c>
      <c r="S245" s="4" t="str">
        <f t="shared" si="71"/>
        <v/>
      </c>
      <c r="T245" s="4" t="str">
        <f t="shared" si="72"/>
        <v/>
      </c>
      <c r="U245">
        <f>IF(VLOOKUP(C245,'QA Table'!$Y$5:$Y$20,1,TRUE)=C245,1,0)</f>
        <v>0</v>
      </c>
      <c r="V245" t="str">
        <f t="shared" si="73"/>
        <v/>
      </c>
      <c r="W245" t="str">
        <f t="shared" si="74"/>
        <v/>
      </c>
      <c r="X245">
        <f t="shared" si="75"/>
        <v>3</v>
      </c>
      <c r="Y245">
        <f t="shared" si="76"/>
        <v>0</v>
      </c>
      <c r="AA245">
        <f t="shared" si="77"/>
        <v>1</v>
      </c>
    </row>
    <row r="246" spans="1:27" x14ac:dyDescent="0.2">
      <c r="A246" t="s">
        <v>23</v>
      </c>
      <c r="B246" t="s">
        <v>39</v>
      </c>
      <c r="C246" t="s">
        <v>1089</v>
      </c>
      <c r="D246" t="s">
        <v>2</v>
      </c>
      <c r="E246" t="s">
        <v>3</v>
      </c>
      <c r="F246" t="s">
        <v>1373</v>
      </c>
      <c r="G246" t="s">
        <v>1281</v>
      </c>
      <c r="H246" s="4">
        <f t="shared" si="61"/>
        <v>1</v>
      </c>
      <c r="I246" s="4">
        <f>IF(RIGHT(B246,1)="M",IF(AND(H246=1,E246="RFS",D246=INDEX('Station Depth Averages'!$A$3:$B$84,MATCH(B246,'Station Depth Averages'!$A$3:$A$84,0),2)),1,""),IF(AND(H246=1,OR(D246="SYN",D246="SRF",D246="MID")),1,IF(AND(H246=1,OR(E247="FDn",E247="LDn")),1,IF(AND(H246=1,OR(E246="FDn",E246="LDn")),1,""))))</f>
        <v>1</v>
      </c>
      <c r="J246" s="4">
        <f t="shared" si="62"/>
        <v>1</v>
      </c>
      <c r="K246" s="4" t="str">
        <f t="shared" si="63"/>
        <v/>
      </c>
      <c r="L246" s="4" t="str">
        <f t="shared" si="64"/>
        <v/>
      </c>
      <c r="M246" s="4" t="str">
        <f t="shared" si="65"/>
        <v/>
      </c>
      <c r="N246" s="4" t="str">
        <f t="shared" si="66"/>
        <v/>
      </c>
      <c r="O246" s="4" t="str">
        <f t="shared" si="67"/>
        <v/>
      </c>
      <c r="P246" s="4" t="str">
        <f t="shared" si="68"/>
        <v/>
      </c>
      <c r="Q246" s="4" t="str">
        <f t="shared" si="69"/>
        <v/>
      </c>
      <c r="R246" s="4" t="str">
        <f t="shared" si="70"/>
        <v/>
      </c>
      <c r="S246" s="4" t="str">
        <f t="shared" si="71"/>
        <v/>
      </c>
      <c r="T246" s="4" t="str">
        <f t="shared" si="72"/>
        <v/>
      </c>
      <c r="U246">
        <f>IF(VLOOKUP(C246,'QA Table'!$Y$5:$Y$20,1,TRUE)=C246,1,0)</f>
        <v>0</v>
      </c>
      <c r="V246" t="str">
        <f t="shared" si="73"/>
        <v/>
      </c>
      <c r="W246" t="str">
        <f t="shared" si="74"/>
        <v/>
      </c>
      <c r="X246">
        <f t="shared" si="75"/>
        <v>3</v>
      </c>
      <c r="Y246">
        <f t="shared" si="76"/>
        <v>0</v>
      </c>
      <c r="AA246">
        <f t="shared" si="77"/>
        <v>1</v>
      </c>
    </row>
    <row r="247" spans="1:27" x14ac:dyDescent="0.2">
      <c r="A247" t="s">
        <v>23</v>
      </c>
      <c r="B247" t="s">
        <v>39</v>
      </c>
      <c r="C247" t="s">
        <v>1374</v>
      </c>
      <c r="D247" t="s">
        <v>1050</v>
      </c>
      <c r="E247" t="s">
        <v>3</v>
      </c>
      <c r="F247" t="s">
        <v>1373</v>
      </c>
      <c r="G247" t="s">
        <v>1281</v>
      </c>
      <c r="H247" s="4" t="str">
        <f t="shared" si="61"/>
        <v/>
      </c>
      <c r="I247" s="4" t="str">
        <f>IF(RIGHT(B247,1)="M",IF(AND(H247=1,E247="RFS",D247=INDEX('Station Depth Averages'!$A$3:$B$84,MATCH(B247,'Station Depth Averages'!$A$3:$A$84,0),2)),1,""),IF(AND(H247=1,OR(D247="SYN",D247="SRF",D247="MID")),1,IF(AND(H247=1,OR(E248="FDn",E248="LDn")),1,IF(AND(H247=1,OR(E247="FDn",E247="LDn")),1,""))))</f>
        <v/>
      </c>
      <c r="J247" s="4" t="str">
        <f t="shared" si="62"/>
        <v/>
      </c>
      <c r="K247" s="4" t="str">
        <f t="shared" si="63"/>
        <v/>
      </c>
      <c r="L247" s="4" t="str">
        <f t="shared" si="64"/>
        <v/>
      </c>
      <c r="M247" s="4" t="str">
        <f t="shared" si="65"/>
        <v/>
      </c>
      <c r="N247" s="4" t="str">
        <f t="shared" si="66"/>
        <v/>
      </c>
      <c r="O247" s="4" t="str">
        <f t="shared" si="67"/>
        <v/>
      </c>
      <c r="P247" s="4" t="str">
        <f t="shared" si="68"/>
        <v/>
      </c>
      <c r="Q247" s="4" t="str">
        <f t="shared" si="69"/>
        <v/>
      </c>
      <c r="R247" s="4" t="str">
        <f t="shared" si="70"/>
        <v/>
      </c>
      <c r="S247" s="4" t="str">
        <f t="shared" si="71"/>
        <v/>
      </c>
      <c r="T247" s="4" t="str">
        <f t="shared" si="72"/>
        <v/>
      </c>
      <c r="U247">
        <f>IF(VLOOKUP(C247,'QA Table'!$Y$5:$Y$20,1,TRUE)=C247,1,0)</f>
        <v>0</v>
      </c>
      <c r="V247" t="str">
        <f t="shared" si="73"/>
        <v/>
      </c>
      <c r="W247" t="str">
        <f t="shared" si="74"/>
        <v/>
      </c>
      <c r="X247" t="str">
        <f t="shared" si="75"/>
        <v/>
      </c>
      <c r="Y247">
        <f t="shared" si="76"/>
        <v>0</v>
      </c>
      <c r="AA247" t="str">
        <f t="shared" si="77"/>
        <v/>
      </c>
    </row>
    <row r="248" spans="1:27" x14ac:dyDescent="0.2">
      <c r="A248" t="s">
        <v>23</v>
      </c>
      <c r="B248" t="s">
        <v>39</v>
      </c>
      <c r="C248" t="s">
        <v>1375</v>
      </c>
      <c r="D248" t="s">
        <v>4</v>
      </c>
      <c r="E248" t="s">
        <v>3</v>
      </c>
      <c r="F248" t="s">
        <v>1373</v>
      </c>
      <c r="G248" t="s">
        <v>1281</v>
      </c>
      <c r="H248" s="4" t="str">
        <f t="shared" si="61"/>
        <v/>
      </c>
      <c r="I248" s="4" t="str">
        <f>IF(RIGHT(B248,1)="M",IF(AND(H248=1,E248="RFS",D248=INDEX('Station Depth Averages'!$A$3:$B$84,MATCH(B248,'Station Depth Averages'!$A$3:$A$84,0),2)),1,""),IF(AND(H248=1,OR(D248="SYN",D248="SRF",D248="MID")),1,IF(AND(H248=1,OR(E249="FDn",E249="LDn")),1,IF(AND(H248=1,OR(E248="FDn",E248="LDn")),1,""))))</f>
        <v/>
      </c>
      <c r="J248" s="4" t="str">
        <f t="shared" si="62"/>
        <v/>
      </c>
      <c r="K248" s="4" t="str">
        <f t="shared" si="63"/>
        <v/>
      </c>
      <c r="L248" s="4" t="str">
        <f t="shared" si="64"/>
        <v/>
      </c>
      <c r="M248" s="4" t="str">
        <f t="shared" si="65"/>
        <v/>
      </c>
      <c r="N248" s="4" t="str">
        <f t="shared" si="66"/>
        <v/>
      </c>
      <c r="O248" s="4" t="str">
        <f t="shared" si="67"/>
        <v/>
      </c>
      <c r="P248" s="4" t="str">
        <f t="shared" si="68"/>
        <v/>
      </c>
      <c r="Q248" s="4" t="str">
        <f t="shared" si="69"/>
        <v/>
      </c>
      <c r="R248" s="4" t="str">
        <f t="shared" si="70"/>
        <v/>
      </c>
      <c r="S248" s="4" t="str">
        <f t="shared" si="71"/>
        <v/>
      </c>
      <c r="T248" s="4" t="str">
        <f t="shared" si="72"/>
        <v/>
      </c>
      <c r="U248">
        <f>IF(VLOOKUP(C248,'QA Table'!$Y$5:$Y$20,1,TRUE)=C248,1,0)</f>
        <v>0</v>
      </c>
      <c r="V248" t="str">
        <f t="shared" si="73"/>
        <v/>
      </c>
      <c r="W248" t="str">
        <f t="shared" si="74"/>
        <v/>
      </c>
      <c r="X248" t="str">
        <f t="shared" si="75"/>
        <v/>
      </c>
      <c r="Y248">
        <f t="shared" si="76"/>
        <v>0</v>
      </c>
      <c r="AA248" t="str">
        <f t="shared" si="77"/>
        <v/>
      </c>
    </row>
    <row r="249" spans="1:27" x14ac:dyDescent="0.2">
      <c r="A249" t="s">
        <v>23</v>
      </c>
      <c r="B249" t="s">
        <v>39</v>
      </c>
      <c r="C249" t="s">
        <v>1376</v>
      </c>
      <c r="D249" t="s">
        <v>1051</v>
      </c>
      <c r="E249" t="s">
        <v>3</v>
      </c>
      <c r="F249" t="s">
        <v>1373</v>
      </c>
      <c r="G249" t="s">
        <v>1281</v>
      </c>
      <c r="H249" s="4" t="str">
        <f t="shared" si="61"/>
        <v/>
      </c>
      <c r="I249" s="4" t="str">
        <f>IF(RIGHT(B249,1)="M",IF(AND(H249=1,E249="RFS",D249=INDEX('Station Depth Averages'!$A$3:$B$84,MATCH(B249,'Station Depth Averages'!$A$3:$A$84,0),2)),1,""),IF(AND(H249=1,OR(D249="SYN",D249="SRF",D249="MID")),1,IF(AND(H249=1,OR(E250="FDn",E250="LDn")),1,IF(AND(H249=1,OR(E249="FDn",E249="LDn")),1,""))))</f>
        <v/>
      </c>
      <c r="J249" s="4" t="str">
        <f t="shared" si="62"/>
        <v/>
      </c>
      <c r="K249" s="4" t="str">
        <f t="shared" si="63"/>
        <v/>
      </c>
      <c r="L249" s="4" t="str">
        <f t="shared" si="64"/>
        <v/>
      </c>
      <c r="M249" s="4" t="str">
        <f t="shared" si="65"/>
        <v/>
      </c>
      <c r="N249" s="4" t="str">
        <f t="shared" si="66"/>
        <v/>
      </c>
      <c r="O249" s="4" t="str">
        <f t="shared" si="67"/>
        <v/>
      </c>
      <c r="P249" s="4" t="str">
        <f t="shared" si="68"/>
        <v/>
      </c>
      <c r="Q249" s="4" t="str">
        <f t="shared" si="69"/>
        <v/>
      </c>
      <c r="R249" s="4" t="str">
        <f t="shared" si="70"/>
        <v/>
      </c>
      <c r="S249" s="4" t="str">
        <f t="shared" si="71"/>
        <v/>
      </c>
      <c r="T249" s="4" t="str">
        <f t="shared" si="72"/>
        <v/>
      </c>
      <c r="U249">
        <f>IF(VLOOKUP(C249,'QA Table'!$Y$5:$Y$20,1,TRUE)=C249,1,0)</f>
        <v>0</v>
      </c>
      <c r="V249" t="str">
        <f t="shared" si="73"/>
        <v/>
      </c>
      <c r="W249" t="str">
        <f t="shared" si="74"/>
        <v/>
      </c>
      <c r="X249" t="str">
        <f t="shared" si="75"/>
        <v/>
      </c>
      <c r="Y249">
        <f t="shared" si="76"/>
        <v>0</v>
      </c>
      <c r="AA249" t="str">
        <f t="shared" si="77"/>
        <v/>
      </c>
    </row>
    <row r="250" spans="1:27" x14ac:dyDescent="0.2">
      <c r="A250" t="s">
        <v>23</v>
      </c>
      <c r="B250" t="s">
        <v>39</v>
      </c>
      <c r="C250" t="s">
        <v>1377</v>
      </c>
      <c r="D250" t="s">
        <v>119</v>
      </c>
      <c r="E250" t="s">
        <v>3</v>
      </c>
      <c r="F250" t="s">
        <v>1373</v>
      </c>
      <c r="G250" t="s">
        <v>1281</v>
      </c>
      <c r="H250" s="4">
        <f t="shared" si="61"/>
        <v>1</v>
      </c>
      <c r="I250" s="4">
        <f>IF(RIGHT(B250,1)="M",IF(AND(H250=1,E250="RFS",D250=INDEX('Station Depth Averages'!$A$3:$B$84,MATCH(B250,'Station Depth Averages'!$A$3:$A$84,0),2)),1,""),IF(AND(H250=1,OR(D250="SYN",D250="SRF",D250="MID")),1,IF(AND(H250=1,OR(E251="FDn",E251="LDn")),1,IF(AND(H250=1,OR(E250="FDn",E250="LDn")),1,""))))</f>
        <v>1</v>
      </c>
      <c r="J250" s="4">
        <f t="shared" si="62"/>
        <v>1</v>
      </c>
      <c r="K250" s="4" t="str">
        <f t="shared" si="63"/>
        <v/>
      </c>
      <c r="L250" s="4" t="str">
        <f t="shared" si="64"/>
        <v/>
      </c>
      <c r="M250" s="4" t="str">
        <f t="shared" si="65"/>
        <v/>
      </c>
      <c r="N250" s="4" t="str">
        <f t="shared" si="66"/>
        <v/>
      </c>
      <c r="O250" s="4" t="str">
        <f t="shared" si="67"/>
        <v/>
      </c>
      <c r="P250" s="4" t="str">
        <f t="shared" si="68"/>
        <v/>
      </c>
      <c r="Q250" s="4" t="str">
        <f t="shared" si="69"/>
        <v/>
      </c>
      <c r="R250" s="4" t="str">
        <f t="shared" si="70"/>
        <v/>
      </c>
      <c r="S250" s="4" t="str">
        <f t="shared" si="71"/>
        <v/>
      </c>
      <c r="T250" s="4" t="str">
        <f t="shared" si="72"/>
        <v/>
      </c>
      <c r="U250">
        <f>IF(VLOOKUP(C250,'QA Table'!$Y$5:$Y$20,1,TRUE)=C250,1,0)</f>
        <v>0</v>
      </c>
      <c r="V250" t="str">
        <f t="shared" si="73"/>
        <v/>
      </c>
      <c r="W250" t="str">
        <f t="shared" si="74"/>
        <v/>
      </c>
      <c r="X250">
        <f t="shared" si="75"/>
        <v>3</v>
      </c>
      <c r="Y250">
        <f t="shared" si="76"/>
        <v>0</v>
      </c>
      <c r="AA250">
        <f t="shared" si="77"/>
        <v>1</v>
      </c>
    </row>
    <row r="251" spans="1:27" x14ac:dyDescent="0.2">
      <c r="A251" t="s">
        <v>23</v>
      </c>
      <c r="B251" t="s">
        <v>39</v>
      </c>
      <c r="C251" t="s">
        <v>1092</v>
      </c>
      <c r="D251" t="s">
        <v>5</v>
      </c>
      <c r="E251" t="s">
        <v>3</v>
      </c>
      <c r="F251" t="s">
        <v>1373</v>
      </c>
      <c r="G251" t="s">
        <v>1281</v>
      </c>
      <c r="H251" s="4">
        <f t="shared" si="61"/>
        <v>1</v>
      </c>
      <c r="I251" s="4" t="str">
        <f>IF(RIGHT(B251,1)="M",IF(AND(H251=1,E251="RFS",D251=INDEX('Station Depth Averages'!$A$3:$B$84,MATCH(B251,'Station Depth Averages'!$A$3:$A$84,0),2)),1,""),IF(AND(H251=1,OR(D251="SYN",D251="SRF",D251="MID")),1,IF(AND(H251=1,OR(E252="FDn",E252="LDn")),1,IF(AND(H251=1,OR(E251="FDn",E251="LDn")),1,""))))</f>
        <v/>
      </c>
      <c r="J251" s="4">
        <f t="shared" si="62"/>
        <v>1</v>
      </c>
      <c r="K251" s="4" t="str">
        <f t="shared" si="63"/>
        <v/>
      </c>
      <c r="L251" s="4" t="str">
        <f t="shared" si="64"/>
        <v/>
      </c>
      <c r="M251" s="4" t="str">
        <f t="shared" si="65"/>
        <v/>
      </c>
      <c r="N251" s="4" t="str">
        <f t="shared" si="66"/>
        <v/>
      </c>
      <c r="O251" s="4" t="str">
        <f t="shared" si="67"/>
        <v/>
      </c>
      <c r="P251" s="4" t="str">
        <f t="shared" si="68"/>
        <v/>
      </c>
      <c r="Q251" s="4" t="str">
        <f t="shared" si="69"/>
        <v/>
      </c>
      <c r="R251" s="4" t="str">
        <f t="shared" si="70"/>
        <v/>
      </c>
      <c r="S251" s="4" t="str">
        <f t="shared" si="71"/>
        <v/>
      </c>
      <c r="T251" s="4" t="str">
        <f t="shared" si="72"/>
        <v/>
      </c>
      <c r="U251">
        <f>IF(VLOOKUP(C251,'QA Table'!$Y$5:$Y$20,1,TRUE)=C251,1,0)</f>
        <v>1</v>
      </c>
      <c r="V251" t="str">
        <f t="shared" si="73"/>
        <v/>
      </c>
      <c r="W251" t="str">
        <f t="shared" si="74"/>
        <v/>
      </c>
      <c r="X251">
        <f t="shared" si="75"/>
        <v>3</v>
      </c>
      <c r="Y251">
        <f t="shared" si="76"/>
        <v>1</v>
      </c>
      <c r="AA251">
        <f t="shared" si="77"/>
        <v>1</v>
      </c>
    </row>
    <row r="252" spans="1:27" x14ac:dyDescent="0.2">
      <c r="A252" t="s">
        <v>23</v>
      </c>
      <c r="B252" t="s">
        <v>39</v>
      </c>
      <c r="C252" t="s">
        <v>1378</v>
      </c>
      <c r="D252" t="s">
        <v>6</v>
      </c>
      <c r="E252" t="s">
        <v>3</v>
      </c>
      <c r="F252" t="s">
        <v>1373</v>
      </c>
      <c r="G252" t="s">
        <v>1281</v>
      </c>
      <c r="H252" s="4">
        <f t="shared" si="61"/>
        <v>1</v>
      </c>
      <c r="I252" s="4" t="str">
        <f>IF(RIGHT(B252,1)="M",IF(AND(H252=1,E252="RFS",D252=INDEX('Station Depth Averages'!$A$3:$B$84,MATCH(B252,'Station Depth Averages'!$A$3:$A$84,0),2)),1,""),IF(AND(H252=1,OR(D252="SYN",D252="SRF",D252="MID")),1,IF(AND(H252=1,OR(E253="FDn",E253="LDn")),1,IF(AND(H252=1,OR(E252="FDn",E252="LDn")),1,""))))</f>
        <v/>
      </c>
      <c r="J252" s="4">
        <f t="shared" si="62"/>
        <v>1</v>
      </c>
      <c r="K252" s="4" t="str">
        <f t="shared" si="63"/>
        <v/>
      </c>
      <c r="L252" s="4" t="str">
        <f t="shared" si="64"/>
        <v/>
      </c>
      <c r="M252" s="4" t="str">
        <f t="shared" si="65"/>
        <v/>
      </c>
      <c r="N252" s="4" t="str">
        <f t="shared" si="66"/>
        <v/>
      </c>
      <c r="O252" s="4" t="str">
        <f t="shared" si="67"/>
        <v/>
      </c>
      <c r="P252" s="4" t="str">
        <f t="shared" si="68"/>
        <v/>
      </c>
      <c r="Q252" s="4" t="str">
        <f t="shared" si="69"/>
        <v/>
      </c>
      <c r="R252" s="4" t="str">
        <f t="shared" si="70"/>
        <v/>
      </c>
      <c r="S252" s="4" t="str">
        <f t="shared" si="71"/>
        <v/>
      </c>
      <c r="T252" s="4" t="str">
        <f t="shared" si="72"/>
        <v/>
      </c>
      <c r="U252">
        <f>IF(VLOOKUP(C252,'QA Table'!$Y$5:$Y$20,1,TRUE)=C252,1,0)</f>
        <v>0</v>
      </c>
      <c r="V252" t="str">
        <f t="shared" si="73"/>
        <v/>
      </c>
      <c r="W252" t="str">
        <f t="shared" si="74"/>
        <v/>
      </c>
      <c r="X252">
        <f t="shared" si="75"/>
        <v>3</v>
      </c>
      <c r="Y252">
        <f t="shared" si="76"/>
        <v>0</v>
      </c>
      <c r="AA252">
        <f t="shared" si="77"/>
        <v>1</v>
      </c>
    </row>
    <row r="253" spans="1:27" x14ac:dyDescent="0.2">
      <c r="A253" t="s">
        <v>23</v>
      </c>
      <c r="B253" t="s">
        <v>39</v>
      </c>
      <c r="C253" t="s">
        <v>1379</v>
      </c>
      <c r="D253" t="s">
        <v>8</v>
      </c>
      <c r="E253" t="s">
        <v>3</v>
      </c>
      <c r="F253" t="s">
        <v>1373</v>
      </c>
      <c r="G253" t="s">
        <v>1281</v>
      </c>
      <c r="H253" s="4">
        <f t="shared" si="61"/>
        <v>1</v>
      </c>
      <c r="I253" s="4" t="str">
        <f>IF(RIGHT(B253,1)="M",IF(AND(H253=1,E253="RFS",D253=INDEX('Station Depth Averages'!$A$3:$B$84,MATCH(B253,'Station Depth Averages'!$A$3:$A$84,0),2)),1,""),IF(AND(H253=1,OR(D253="SYN",D253="SRF",D253="MID")),1,IF(AND(H253=1,OR(E254="FDn",E254="LDn")),1,IF(AND(H253=1,OR(E253="FDn",E253="LDn")),1,""))))</f>
        <v/>
      </c>
      <c r="J253" s="4" t="str">
        <f t="shared" si="62"/>
        <v/>
      </c>
      <c r="K253" s="4">
        <f t="shared" si="63"/>
        <v>1</v>
      </c>
      <c r="L253" s="4" t="str">
        <f t="shared" si="64"/>
        <v/>
      </c>
      <c r="M253" s="4" t="str">
        <f t="shared" si="65"/>
        <v/>
      </c>
      <c r="N253" s="4" t="str">
        <f t="shared" si="66"/>
        <v/>
      </c>
      <c r="O253" s="4" t="str">
        <f t="shared" si="67"/>
        <v/>
      </c>
      <c r="P253" s="4" t="str">
        <f t="shared" si="68"/>
        <v/>
      </c>
      <c r="Q253" s="4">
        <f t="shared" si="69"/>
        <v>2</v>
      </c>
      <c r="R253" s="4" t="str">
        <f t="shared" si="70"/>
        <v/>
      </c>
      <c r="S253" s="4" t="str">
        <f t="shared" si="71"/>
        <v/>
      </c>
      <c r="T253" s="4" t="str">
        <f t="shared" si="72"/>
        <v/>
      </c>
      <c r="U253">
        <f>IF(VLOOKUP(C253,'QA Table'!$Y$5:$Y$20,1,TRUE)=C253,1,0)</f>
        <v>0</v>
      </c>
      <c r="V253" t="str">
        <f t="shared" si="73"/>
        <v/>
      </c>
      <c r="W253" t="str">
        <f t="shared" si="74"/>
        <v/>
      </c>
      <c r="X253">
        <f t="shared" si="75"/>
        <v>3</v>
      </c>
      <c r="Y253">
        <f t="shared" si="76"/>
        <v>0</v>
      </c>
      <c r="AA253">
        <f t="shared" si="77"/>
        <v>1</v>
      </c>
    </row>
    <row r="254" spans="1:27" x14ac:dyDescent="0.2">
      <c r="A254" t="s">
        <v>23</v>
      </c>
      <c r="B254" t="s">
        <v>39</v>
      </c>
      <c r="C254" t="s">
        <v>1380</v>
      </c>
      <c r="D254" t="s">
        <v>9</v>
      </c>
      <c r="E254" t="s">
        <v>3</v>
      </c>
      <c r="F254" t="s">
        <v>1373</v>
      </c>
      <c r="G254" t="s">
        <v>1281</v>
      </c>
      <c r="H254" s="4" t="str">
        <f t="shared" si="61"/>
        <v/>
      </c>
      <c r="I254" s="4" t="str">
        <f>IF(RIGHT(B254,1)="M",IF(AND(H254=1,E254="RFS",D254=INDEX('Station Depth Averages'!$A$3:$B$84,MATCH(B254,'Station Depth Averages'!$A$3:$A$84,0),2)),1,""),IF(AND(H254=1,OR(D254="SYN",D254="SRF",D254="MID")),1,IF(AND(H254=1,OR(E255="FDn",E255="LDn")),1,IF(AND(H254=1,OR(E254="FDn",E254="LDn")),1,""))))</f>
        <v/>
      </c>
      <c r="J254" s="4" t="str">
        <f t="shared" si="62"/>
        <v/>
      </c>
      <c r="K254" s="4" t="str">
        <f t="shared" si="63"/>
        <v/>
      </c>
      <c r="L254" s="4" t="str">
        <f t="shared" si="64"/>
        <v/>
      </c>
      <c r="M254" s="4" t="str">
        <f t="shared" si="65"/>
        <v/>
      </c>
      <c r="N254" s="4" t="str">
        <f t="shared" si="66"/>
        <v/>
      </c>
      <c r="O254" s="4" t="str">
        <f t="shared" si="67"/>
        <v/>
      </c>
      <c r="P254" s="4" t="str">
        <f t="shared" si="68"/>
        <v/>
      </c>
      <c r="Q254" s="4" t="str">
        <f t="shared" si="69"/>
        <v/>
      </c>
      <c r="R254" s="4" t="str">
        <f t="shared" si="70"/>
        <v/>
      </c>
      <c r="S254" s="4" t="str">
        <f t="shared" si="71"/>
        <v/>
      </c>
      <c r="T254" s="4">
        <f t="shared" si="72"/>
        <v>1</v>
      </c>
      <c r="U254">
        <f>IF(VLOOKUP(C254,'QA Table'!$Y$5:$Y$20,1,TRUE)=C254,1,0)</f>
        <v>0</v>
      </c>
      <c r="V254" t="str">
        <f t="shared" si="73"/>
        <v/>
      </c>
      <c r="W254" t="str">
        <f t="shared" si="74"/>
        <v/>
      </c>
      <c r="X254" t="str">
        <f t="shared" si="75"/>
        <v/>
      </c>
      <c r="Y254">
        <f t="shared" si="76"/>
        <v>0</v>
      </c>
      <c r="AA254" t="str">
        <f t="shared" si="77"/>
        <v/>
      </c>
    </row>
    <row r="255" spans="1:27" x14ac:dyDescent="0.2">
      <c r="A255" t="s">
        <v>23</v>
      </c>
      <c r="B255" t="s">
        <v>39</v>
      </c>
      <c r="C255" t="s">
        <v>1381</v>
      </c>
      <c r="D255" t="s">
        <v>10</v>
      </c>
      <c r="E255" t="s">
        <v>3</v>
      </c>
      <c r="F255" t="s">
        <v>1373</v>
      </c>
      <c r="G255" t="s">
        <v>1281</v>
      </c>
      <c r="H255" s="4" t="str">
        <f t="shared" si="61"/>
        <v/>
      </c>
      <c r="I255" s="4" t="str">
        <f>IF(RIGHT(B255,1)="M",IF(AND(H255=1,E255="RFS",D255=INDEX('Station Depth Averages'!$A$3:$B$84,MATCH(B255,'Station Depth Averages'!$A$3:$A$84,0),2)),1,""),IF(AND(H255=1,OR(D255="SYN",D255="SRF",D255="MID")),1,IF(AND(H255=1,OR(E256="FDn",E256="LDn")),1,IF(AND(H255=1,OR(E255="FDn",E255="LDn")),1,""))))</f>
        <v/>
      </c>
      <c r="J255" s="4" t="str">
        <f t="shared" si="62"/>
        <v/>
      </c>
      <c r="K255" s="4" t="str">
        <f t="shared" si="63"/>
        <v/>
      </c>
      <c r="L255" s="4" t="str">
        <f t="shared" si="64"/>
        <v/>
      </c>
      <c r="M255" s="4" t="str">
        <f t="shared" si="65"/>
        <v/>
      </c>
      <c r="N255" s="4" t="str">
        <f t="shared" si="66"/>
        <v/>
      </c>
      <c r="O255" s="4" t="str">
        <f t="shared" si="67"/>
        <v/>
      </c>
      <c r="P255" s="4" t="str">
        <f t="shared" si="68"/>
        <v/>
      </c>
      <c r="Q255" s="4" t="str">
        <f t="shared" si="69"/>
        <v/>
      </c>
      <c r="R255" s="4" t="str">
        <f t="shared" si="70"/>
        <v/>
      </c>
      <c r="S255" s="4" t="str">
        <f t="shared" si="71"/>
        <v/>
      </c>
      <c r="T255" s="4">
        <f t="shared" si="72"/>
        <v>1</v>
      </c>
      <c r="U255">
        <f>IF(VLOOKUP(C255,'QA Table'!$Y$5:$Y$20,1,TRUE)=C255,1,0)</f>
        <v>0</v>
      </c>
      <c r="V255" t="str">
        <f t="shared" si="73"/>
        <v/>
      </c>
      <c r="W255" t="str">
        <f t="shared" si="74"/>
        <v/>
      </c>
      <c r="X255" t="str">
        <f t="shared" si="75"/>
        <v/>
      </c>
      <c r="Y255">
        <f t="shared" si="76"/>
        <v>0</v>
      </c>
      <c r="AA255" t="str">
        <f t="shared" si="77"/>
        <v/>
      </c>
    </row>
    <row r="256" spans="1:27" x14ac:dyDescent="0.2">
      <c r="A256" t="s">
        <v>23</v>
      </c>
      <c r="B256" t="s">
        <v>39</v>
      </c>
      <c r="C256" t="s">
        <v>1382</v>
      </c>
      <c r="D256" t="s">
        <v>1034</v>
      </c>
      <c r="E256" t="s">
        <v>3</v>
      </c>
      <c r="F256" t="s">
        <v>1373</v>
      </c>
      <c r="G256" t="s">
        <v>1281</v>
      </c>
      <c r="H256" s="4" t="str">
        <f t="shared" si="61"/>
        <v/>
      </c>
      <c r="I256" s="4" t="str">
        <f>IF(RIGHT(B256,1)="M",IF(AND(H256=1,E256="RFS",D256=INDEX('Station Depth Averages'!$A$3:$B$84,MATCH(B256,'Station Depth Averages'!$A$3:$A$84,0),2)),1,""),IF(AND(H256=1,OR(D256="SYN",D256="SRF",D256="MID")),1,IF(AND(H256=1,OR(E257="FDn",E257="LDn")),1,IF(AND(H256=1,OR(E256="FDn",E256="LDn")),1,""))))</f>
        <v/>
      </c>
      <c r="J256" s="4" t="str">
        <f t="shared" si="62"/>
        <v/>
      </c>
      <c r="K256" s="4" t="str">
        <f t="shared" si="63"/>
        <v/>
      </c>
      <c r="L256" s="4" t="str">
        <f t="shared" si="64"/>
        <v/>
      </c>
      <c r="M256" s="4" t="str">
        <f t="shared" si="65"/>
        <v/>
      </c>
      <c r="N256" s="4" t="str">
        <f t="shared" si="66"/>
        <v/>
      </c>
      <c r="O256" s="4" t="str">
        <f t="shared" si="67"/>
        <v/>
      </c>
      <c r="P256" s="4" t="str">
        <f t="shared" si="68"/>
        <v/>
      </c>
      <c r="Q256" s="4" t="str">
        <f t="shared" si="69"/>
        <v/>
      </c>
      <c r="R256" s="4" t="str">
        <f t="shared" si="70"/>
        <v/>
      </c>
      <c r="S256" s="4">
        <f t="shared" si="71"/>
        <v>1</v>
      </c>
      <c r="T256" s="4" t="str">
        <f t="shared" si="72"/>
        <v/>
      </c>
      <c r="U256">
        <f>IF(VLOOKUP(C256,'QA Table'!$Y$5:$Y$20,1,TRUE)=C256,1,0)</f>
        <v>0</v>
      </c>
      <c r="V256" t="str">
        <f t="shared" si="73"/>
        <v/>
      </c>
      <c r="W256" t="str">
        <f t="shared" si="74"/>
        <v/>
      </c>
      <c r="X256" t="str">
        <f t="shared" si="75"/>
        <v/>
      </c>
      <c r="Y256">
        <f t="shared" si="76"/>
        <v>0</v>
      </c>
      <c r="AA256" t="str">
        <f t="shared" si="77"/>
        <v/>
      </c>
    </row>
    <row r="257" spans="1:27" x14ac:dyDescent="0.2">
      <c r="A257" t="s">
        <v>23</v>
      </c>
      <c r="B257" t="s">
        <v>39</v>
      </c>
      <c r="C257" t="s">
        <v>1383</v>
      </c>
      <c r="D257" t="s">
        <v>1034</v>
      </c>
      <c r="E257" t="s">
        <v>19</v>
      </c>
      <c r="F257" t="s">
        <v>1373</v>
      </c>
      <c r="G257" t="s">
        <v>1281</v>
      </c>
      <c r="H257" s="4" t="str">
        <f t="shared" si="61"/>
        <v/>
      </c>
      <c r="I257" s="4" t="str">
        <f>IF(RIGHT(B257,1)="M",IF(AND(H257=1,E257="RFS",D257=INDEX('Station Depth Averages'!$A$3:$B$84,MATCH(B257,'Station Depth Averages'!$A$3:$A$84,0),2)),1,""),IF(AND(H257=1,OR(D257="SYN",D257="SRF",D257="MID")),1,IF(AND(H257=1,OR(E258="FDn",E258="LDn")),1,IF(AND(H257=1,OR(E257="FDn",E257="LDn")),1,""))))</f>
        <v/>
      </c>
      <c r="J257" s="4" t="str">
        <f t="shared" si="62"/>
        <v/>
      </c>
      <c r="K257" s="4" t="str">
        <f t="shared" si="63"/>
        <v/>
      </c>
      <c r="L257" s="4" t="str">
        <f t="shared" si="64"/>
        <v/>
      </c>
      <c r="M257" s="4" t="str">
        <f t="shared" si="65"/>
        <v/>
      </c>
      <c r="N257" s="4" t="str">
        <f t="shared" si="66"/>
        <v/>
      </c>
      <c r="O257" s="4" t="str">
        <f t="shared" si="67"/>
        <v/>
      </c>
      <c r="P257" s="4" t="str">
        <f t="shared" si="68"/>
        <v/>
      </c>
      <c r="Q257" s="4" t="str">
        <f t="shared" si="69"/>
        <v/>
      </c>
      <c r="R257" s="4" t="str">
        <f t="shared" si="70"/>
        <v/>
      </c>
      <c r="S257" s="4">
        <f t="shared" si="71"/>
        <v>1</v>
      </c>
      <c r="T257" s="4" t="str">
        <f t="shared" si="72"/>
        <v/>
      </c>
      <c r="U257">
        <f>IF(VLOOKUP(C257,'QA Table'!$Y$5:$Y$20,1,TRUE)=C257,1,0)</f>
        <v>0</v>
      </c>
      <c r="V257" t="str">
        <f t="shared" si="73"/>
        <v/>
      </c>
      <c r="W257" t="str">
        <f t="shared" si="74"/>
        <v/>
      </c>
      <c r="X257" t="str">
        <f t="shared" si="75"/>
        <v/>
      </c>
      <c r="Y257">
        <f t="shared" si="76"/>
        <v>0</v>
      </c>
      <c r="AA257" t="str">
        <f t="shared" si="77"/>
        <v/>
      </c>
    </row>
    <row r="258" spans="1:27" x14ac:dyDescent="0.2">
      <c r="A258" t="s">
        <v>23</v>
      </c>
      <c r="B258" t="s">
        <v>40</v>
      </c>
      <c r="C258" t="s">
        <v>1091</v>
      </c>
      <c r="D258" t="s">
        <v>2</v>
      </c>
      <c r="E258" t="s">
        <v>3</v>
      </c>
      <c r="F258" t="s">
        <v>1384</v>
      </c>
      <c r="G258" t="s">
        <v>1281</v>
      </c>
      <c r="H258" s="4">
        <f t="shared" si="61"/>
        <v>1</v>
      </c>
      <c r="I258" s="4">
        <f>IF(RIGHT(B258,1)="M",IF(AND(H258=1,E258="RFS",D258=INDEX('Station Depth Averages'!$A$3:$B$84,MATCH(B258,'Station Depth Averages'!$A$3:$A$84,0),2)),1,""),IF(AND(H258=1,OR(D258="SYN",D258="SRF",D258="MID")),1,IF(AND(H258=1,OR(E259="FDn",E259="LDn")),1,IF(AND(H258=1,OR(E258="FDn",E258="LDn")),1,""))))</f>
        <v>1</v>
      </c>
      <c r="J258" s="4">
        <f t="shared" si="62"/>
        <v>1</v>
      </c>
      <c r="K258" s="4" t="str">
        <f t="shared" si="63"/>
        <v/>
      </c>
      <c r="L258" s="4" t="str">
        <f t="shared" si="64"/>
        <v/>
      </c>
      <c r="M258" s="4" t="str">
        <f t="shared" si="65"/>
        <v/>
      </c>
      <c r="N258" s="4" t="str">
        <f t="shared" si="66"/>
        <v/>
      </c>
      <c r="O258" s="4" t="str">
        <f t="shared" si="67"/>
        <v/>
      </c>
      <c r="P258" s="4" t="str">
        <f t="shared" si="68"/>
        <v/>
      </c>
      <c r="Q258" s="4" t="str">
        <f t="shared" si="69"/>
        <v/>
      </c>
      <c r="R258" s="4" t="str">
        <f t="shared" si="70"/>
        <v/>
      </c>
      <c r="S258" s="4" t="str">
        <f t="shared" si="71"/>
        <v/>
      </c>
      <c r="T258" s="4" t="str">
        <f t="shared" si="72"/>
        <v/>
      </c>
      <c r="U258">
        <f>IF(VLOOKUP(C258,'QA Table'!$Y$5:$Y$20,1,TRUE)=C258,1,0)</f>
        <v>0</v>
      </c>
      <c r="V258" t="str">
        <f t="shared" si="73"/>
        <v/>
      </c>
      <c r="W258" t="str">
        <f t="shared" si="74"/>
        <v/>
      </c>
      <c r="X258">
        <f t="shared" si="75"/>
        <v>3</v>
      </c>
      <c r="Y258">
        <f t="shared" si="76"/>
        <v>0</v>
      </c>
      <c r="AA258">
        <f t="shared" si="77"/>
        <v>1</v>
      </c>
    </row>
    <row r="259" spans="1:27" x14ac:dyDescent="0.2">
      <c r="A259" t="s">
        <v>23</v>
      </c>
      <c r="B259" t="s">
        <v>40</v>
      </c>
      <c r="C259" t="s">
        <v>1385</v>
      </c>
      <c r="D259" t="s">
        <v>2</v>
      </c>
      <c r="E259" t="s">
        <v>7</v>
      </c>
      <c r="F259" t="s">
        <v>1384</v>
      </c>
      <c r="G259" t="s">
        <v>1281</v>
      </c>
      <c r="H259" s="4">
        <f t="shared" si="61"/>
        <v>1</v>
      </c>
      <c r="I259" s="4">
        <f>IF(RIGHT(B259,1)="M",IF(AND(H259=1,E259="RFS",D259=INDEX('Station Depth Averages'!$A$3:$B$84,MATCH(B259,'Station Depth Averages'!$A$3:$A$84,0),2)),1,""),IF(AND(H259=1,OR(D259="SYN",D259="SRF",D259="MID")),1,IF(AND(H259=1,OR(E260="FDn",E260="LDn")),1,IF(AND(H259=1,OR(E259="FDn",E259="LDn")),1,""))))</f>
        <v>1</v>
      </c>
      <c r="J259" s="4">
        <f t="shared" si="62"/>
        <v>1</v>
      </c>
      <c r="K259" s="4" t="str">
        <f t="shared" si="63"/>
        <v/>
      </c>
      <c r="L259" s="4" t="str">
        <f t="shared" si="64"/>
        <v/>
      </c>
      <c r="M259" s="4" t="str">
        <f t="shared" si="65"/>
        <v/>
      </c>
      <c r="N259" s="4" t="str">
        <f t="shared" si="66"/>
        <v/>
      </c>
      <c r="O259" s="4" t="str">
        <f t="shared" si="67"/>
        <v/>
      </c>
      <c r="P259" s="4" t="str">
        <f t="shared" si="68"/>
        <v/>
      </c>
      <c r="Q259" s="4" t="str">
        <f t="shared" si="69"/>
        <v/>
      </c>
      <c r="R259" s="4" t="str">
        <f t="shared" si="70"/>
        <v/>
      </c>
      <c r="S259" s="4" t="str">
        <f t="shared" si="71"/>
        <v/>
      </c>
      <c r="T259" s="4" t="str">
        <f t="shared" si="72"/>
        <v/>
      </c>
      <c r="U259">
        <f>IF(VLOOKUP(C259,'QA Table'!$Y$5:$Y$20,1,TRUE)=C259,1,0)</f>
        <v>0</v>
      </c>
      <c r="V259" t="str">
        <f t="shared" si="73"/>
        <v/>
      </c>
      <c r="W259" t="str">
        <f t="shared" si="74"/>
        <v/>
      </c>
      <c r="X259">
        <f t="shared" si="75"/>
        <v>3</v>
      </c>
      <c r="Y259">
        <f t="shared" si="76"/>
        <v>0</v>
      </c>
      <c r="AA259">
        <f t="shared" si="77"/>
        <v>1</v>
      </c>
    </row>
    <row r="260" spans="1:27" x14ac:dyDescent="0.2">
      <c r="A260" t="s">
        <v>23</v>
      </c>
      <c r="B260" t="s">
        <v>40</v>
      </c>
      <c r="C260" t="s">
        <v>1386</v>
      </c>
      <c r="D260" t="s">
        <v>1050</v>
      </c>
      <c r="E260" t="s">
        <v>3</v>
      </c>
      <c r="F260" t="s">
        <v>1384</v>
      </c>
      <c r="G260" t="s">
        <v>1281</v>
      </c>
      <c r="H260" s="4" t="str">
        <f t="shared" si="61"/>
        <v/>
      </c>
      <c r="I260" s="4" t="str">
        <f>IF(RIGHT(B260,1)="M",IF(AND(H260=1,E260="RFS",D260=INDEX('Station Depth Averages'!$A$3:$B$84,MATCH(B260,'Station Depth Averages'!$A$3:$A$84,0),2)),1,""),IF(AND(H260=1,OR(D260="SYN",D260="SRF",D260="MID")),1,IF(AND(H260=1,OR(E261="FDn",E261="LDn")),1,IF(AND(H260=1,OR(E260="FDn",E260="LDn")),1,""))))</f>
        <v/>
      </c>
      <c r="J260" s="4" t="str">
        <f t="shared" si="62"/>
        <v/>
      </c>
      <c r="K260" s="4" t="str">
        <f t="shared" si="63"/>
        <v/>
      </c>
      <c r="L260" s="4" t="str">
        <f t="shared" si="64"/>
        <v/>
      </c>
      <c r="M260" s="4" t="str">
        <f t="shared" si="65"/>
        <v/>
      </c>
      <c r="N260" s="4" t="str">
        <f t="shared" si="66"/>
        <v/>
      </c>
      <c r="O260" s="4" t="str">
        <f t="shared" si="67"/>
        <v/>
      </c>
      <c r="P260" s="4" t="str">
        <f t="shared" si="68"/>
        <v/>
      </c>
      <c r="Q260" s="4" t="str">
        <f t="shared" si="69"/>
        <v/>
      </c>
      <c r="R260" s="4" t="str">
        <f t="shared" si="70"/>
        <v/>
      </c>
      <c r="S260" s="4" t="str">
        <f t="shared" si="71"/>
        <v/>
      </c>
      <c r="T260" s="4" t="str">
        <f t="shared" si="72"/>
        <v/>
      </c>
      <c r="U260">
        <f>IF(VLOOKUP(C260,'QA Table'!$Y$5:$Y$20,1,TRUE)=C260,1,0)</f>
        <v>0</v>
      </c>
      <c r="V260" t="str">
        <f t="shared" si="73"/>
        <v/>
      </c>
      <c r="W260" t="str">
        <f t="shared" si="74"/>
        <v/>
      </c>
      <c r="X260" t="str">
        <f t="shared" si="75"/>
        <v/>
      </c>
      <c r="Y260">
        <f t="shared" si="76"/>
        <v>0</v>
      </c>
      <c r="AA260" t="str">
        <f t="shared" si="77"/>
        <v/>
      </c>
    </row>
    <row r="261" spans="1:27" x14ac:dyDescent="0.2">
      <c r="A261" t="s">
        <v>23</v>
      </c>
      <c r="B261" t="s">
        <v>40</v>
      </c>
      <c r="C261" t="s">
        <v>1387</v>
      </c>
      <c r="D261" t="s">
        <v>4</v>
      </c>
      <c r="E261" t="s">
        <v>3</v>
      </c>
      <c r="F261" t="s">
        <v>1384</v>
      </c>
      <c r="G261" t="s">
        <v>1281</v>
      </c>
      <c r="H261" s="4" t="str">
        <f t="shared" si="61"/>
        <v/>
      </c>
      <c r="I261" s="4" t="str">
        <f>IF(RIGHT(B261,1)="M",IF(AND(H261=1,E261="RFS",D261=INDEX('Station Depth Averages'!$A$3:$B$84,MATCH(B261,'Station Depth Averages'!$A$3:$A$84,0),2)),1,""),IF(AND(H261=1,OR(D261="SYN",D261="SRF",D261="MID")),1,IF(AND(H261=1,OR(E262="FDn",E262="LDn")),1,IF(AND(H261=1,OR(E261="FDn",E261="LDn")),1,""))))</f>
        <v/>
      </c>
      <c r="J261" s="4" t="str">
        <f t="shared" si="62"/>
        <v/>
      </c>
      <c r="K261" s="4" t="str">
        <f t="shared" si="63"/>
        <v/>
      </c>
      <c r="L261" s="4" t="str">
        <f t="shared" si="64"/>
        <v/>
      </c>
      <c r="M261" s="4" t="str">
        <f t="shared" si="65"/>
        <v/>
      </c>
      <c r="N261" s="4" t="str">
        <f t="shared" si="66"/>
        <v/>
      </c>
      <c r="O261" s="4" t="str">
        <f t="shared" si="67"/>
        <v/>
      </c>
      <c r="P261" s="4" t="str">
        <f t="shared" si="68"/>
        <v/>
      </c>
      <c r="Q261" s="4" t="str">
        <f t="shared" si="69"/>
        <v/>
      </c>
      <c r="R261" s="4" t="str">
        <f t="shared" si="70"/>
        <v/>
      </c>
      <c r="S261" s="4" t="str">
        <f t="shared" si="71"/>
        <v/>
      </c>
      <c r="T261" s="4" t="str">
        <f t="shared" si="72"/>
        <v/>
      </c>
      <c r="U261">
        <f>IF(VLOOKUP(C261,'QA Table'!$Y$5:$Y$20,1,TRUE)=C261,1,0)</f>
        <v>0</v>
      </c>
      <c r="V261" t="str">
        <f t="shared" si="73"/>
        <v/>
      </c>
      <c r="W261" t="str">
        <f t="shared" si="74"/>
        <v/>
      </c>
      <c r="X261" t="str">
        <f t="shared" si="75"/>
        <v/>
      </c>
      <c r="Y261">
        <f t="shared" si="76"/>
        <v>0</v>
      </c>
      <c r="AA261" t="str">
        <f t="shared" si="77"/>
        <v/>
      </c>
    </row>
    <row r="262" spans="1:27" x14ac:dyDescent="0.2">
      <c r="A262" t="s">
        <v>23</v>
      </c>
      <c r="B262" t="s">
        <v>40</v>
      </c>
      <c r="C262" t="s">
        <v>1388</v>
      </c>
      <c r="D262" t="s">
        <v>1051</v>
      </c>
      <c r="E262" t="s">
        <v>3</v>
      </c>
      <c r="F262" t="s">
        <v>1384</v>
      </c>
      <c r="G262" t="s">
        <v>1281</v>
      </c>
      <c r="H262" s="4" t="str">
        <f t="shared" si="61"/>
        <v/>
      </c>
      <c r="I262" s="4" t="str">
        <f>IF(RIGHT(B262,1)="M",IF(AND(H262=1,E262="RFS",D262=INDEX('Station Depth Averages'!$A$3:$B$84,MATCH(B262,'Station Depth Averages'!$A$3:$A$84,0),2)),1,""),IF(AND(H262=1,OR(D262="SYN",D262="SRF",D262="MID")),1,IF(AND(H262=1,OR(E263="FDn",E263="LDn")),1,IF(AND(H262=1,OR(E262="FDn",E262="LDn")),1,""))))</f>
        <v/>
      </c>
      <c r="J262" s="4" t="str">
        <f t="shared" si="62"/>
        <v/>
      </c>
      <c r="K262" s="4" t="str">
        <f t="shared" si="63"/>
        <v/>
      </c>
      <c r="L262" s="4" t="str">
        <f t="shared" si="64"/>
        <v/>
      </c>
      <c r="M262" s="4" t="str">
        <f t="shared" si="65"/>
        <v/>
      </c>
      <c r="N262" s="4" t="str">
        <f t="shared" si="66"/>
        <v/>
      </c>
      <c r="O262" s="4" t="str">
        <f t="shared" si="67"/>
        <v/>
      </c>
      <c r="P262" s="4" t="str">
        <f t="shared" si="68"/>
        <v/>
      </c>
      <c r="Q262" s="4" t="str">
        <f t="shared" si="69"/>
        <v/>
      </c>
      <c r="R262" s="4" t="str">
        <f t="shared" si="70"/>
        <v/>
      </c>
      <c r="S262" s="4" t="str">
        <f t="shared" si="71"/>
        <v/>
      </c>
      <c r="T262" s="4" t="str">
        <f t="shared" si="72"/>
        <v/>
      </c>
      <c r="U262">
        <f>IF(VLOOKUP(C262,'QA Table'!$Y$5:$Y$20,1,TRUE)=C262,1,0)</f>
        <v>0</v>
      </c>
      <c r="V262" t="str">
        <f t="shared" si="73"/>
        <v/>
      </c>
      <c r="W262" t="str">
        <f t="shared" si="74"/>
        <v/>
      </c>
      <c r="X262" t="str">
        <f t="shared" si="75"/>
        <v/>
      </c>
      <c r="Y262">
        <f t="shared" si="76"/>
        <v>0</v>
      </c>
      <c r="AA262" t="str">
        <f t="shared" si="77"/>
        <v/>
      </c>
    </row>
    <row r="263" spans="1:27" x14ac:dyDescent="0.2">
      <c r="A263" t="s">
        <v>23</v>
      </c>
      <c r="B263" t="s">
        <v>40</v>
      </c>
      <c r="C263" t="s">
        <v>1090</v>
      </c>
      <c r="D263" t="s">
        <v>119</v>
      </c>
      <c r="E263" t="s">
        <v>3</v>
      </c>
      <c r="F263" t="s">
        <v>1384</v>
      </c>
      <c r="G263" t="s">
        <v>1281</v>
      </c>
      <c r="H263" s="4">
        <f t="shared" ref="H263:H326" si="78">IF(OR(RIGHT(C263,1)="A",RIGHT(C263,1)="B",RIGHT(C263,1)="C",D263="Benthos",D263="Sediment",D263="Sediments",D263="D100",D263="D20",D263="Mysis",E263="FD1",E263="LD1"),"",1)</f>
        <v>1</v>
      </c>
      <c r="I263" s="4">
        <f>IF(RIGHT(B263,1)="M",IF(AND(H263=1,E263="RFS",D263=INDEX('Station Depth Averages'!$A$3:$B$84,MATCH(B263,'Station Depth Averages'!$A$3:$A$84,0),2)),1,""),IF(AND(H263=1,OR(D263="SYN",D263="SRF",D263="MID")),1,IF(AND(H263=1,OR(E264="FDn",E264="LDn")),1,IF(AND(H263=1,OR(E263="FDn",E263="LDn")),1,""))))</f>
        <v>1</v>
      </c>
      <c r="J263" s="4">
        <f t="shared" ref="J263:J326" si="79">IF(OR(D263="INT",D263="Benthos",D263="D100",D263="D20",E263="LDn",D263="mysis",D263="sediment",D263="sediments",OR(RIGHT(C263,1)="A",RIGHT(C263,1)="B",RIGHT(C263,1)="C",E263="FD1",E263="LD1")),"",1)</f>
        <v>1</v>
      </c>
      <c r="K263" s="4" t="str">
        <f t="shared" ref="K263:K326" si="80">IF(D263="INT",1,"")</f>
        <v/>
      </c>
      <c r="L263" s="4" t="str">
        <f t="shared" ref="L263:L326" si="81">IF(AND(LEFT(B263,1)="E",A263&lt;&gt;"E",RIGHT(B263,1)="M"),IF(AND(A263="w",D263="MID",E263="RFS"),1,IF(AND(A263="C",D263="5M",E263="RFS"),1,"")),IF(AND(RIGHT(B263,1)="M",D263="10M",E263="RFS"),1,""))</f>
        <v/>
      </c>
      <c r="M263" s="4" t="str">
        <f t="shared" ref="M263:M326" si="82">IF(L263=1,1,"")</f>
        <v/>
      </c>
      <c r="N263" s="4" t="str">
        <f t="shared" ref="N263:N326" si="83">IF(M263=1,1,"")</f>
        <v/>
      </c>
      <c r="O263" s="4" t="str">
        <f t="shared" ref="O263:O326" si="84">IF(N263=1,1,"")</f>
        <v/>
      </c>
      <c r="P263" s="4" t="str">
        <f t="shared" ref="P263:P326" si="85">IF(O263=1,1,"")</f>
        <v/>
      </c>
      <c r="Q263" s="4" t="str">
        <f t="shared" ref="Q263:Q326" si="86">IF(AND(OR(D263="INT",D263="DCL"),OR(LEFT(B263,2)="SU",LEFT(B263,2)="HU",LEFT(B263,2)="MI",LEFT(B263,2)="CS",LEFT(B263,2)="ON")),2,IF(AND(OR(D263="INT",D263="DCL"),LEFT(B263,2)="ER"),1,""))</f>
        <v/>
      </c>
      <c r="R263" s="4" t="str">
        <f t="shared" ref="R263:R326" si="87">IF(D263="benthos",1,"")</f>
        <v/>
      </c>
      <c r="S263" s="4" t="str">
        <f t="shared" ref="S263:S326" si="88">IF(D263="mysis",1,"")</f>
        <v/>
      </c>
      <c r="T263" s="4" t="str">
        <f t="shared" ref="T263:T326" si="89">IF(AND(OR(D263="d20",D263="d100"),LEFT(B263,2)="SU"),2,IF(OR(D263="D20",D263="d100"),1,""))</f>
        <v/>
      </c>
      <c r="U263">
        <f>IF(VLOOKUP(C263,'QA Table'!$Y$5:$Y$20,1,TRUE)=C263,1,0)</f>
        <v>0</v>
      </c>
      <c r="V263" t="str">
        <f t="shared" ref="V263:V326" si="90">IF(AND(D263="Sediment",RIGHT(C263,1)="8"),1,"")</f>
        <v/>
      </c>
      <c r="W263" t="str">
        <f t="shared" ref="W263:W326" si="91">IF(AND(D263="Sediment",RIGHT(C263,1)="9"),1,"")</f>
        <v/>
      </c>
      <c r="X263">
        <f t="shared" ref="X263:X326" si="92">IF(AND(H263=1,OR(LEFT(B263,1)="M",LEFT(B263,1)="E",LEFT(B263,1)="O",LEFT(B263,1)="C")),4,IF(AND(H263=1,OR(LEFT(B263,1)="H",LEFT(B263,1)="S")),3,""))</f>
        <v>3</v>
      </c>
      <c r="Y263">
        <f t="shared" ref="Y263:Y326" si="93">IF(U263=1,1,IF(AND(E263="LD1",U262=1),1,IF(AND(E263="FD1",U261=1),1,0)))</f>
        <v>0</v>
      </c>
      <c r="AA263">
        <f t="shared" ref="AA263:AA326" si="94">IF(X263&lt;&gt;"",1,"")</f>
        <v>1</v>
      </c>
    </row>
    <row r="264" spans="1:27" x14ac:dyDescent="0.2">
      <c r="A264" t="s">
        <v>23</v>
      </c>
      <c r="B264" t="s">
        <v>40</v>
      </c>
      <c r="C264" t="s">
        <v>1389</v>
      </c>
      <c r="D264" t="s">
        <v>119</v>
      </c>
      <c r="E264" t="s">
        <v>12</v>
      </c>
      <c r="F264" t="s">
        <v>1384</v>
      </c>
      <c r="G264" t="s">
        <v>1281</v>
      </c>
      <c r="H264" s="4">
        <f t="shared" si="78"/>
        <v>1</v>
      </c>
      <c r="I264" s="4">
        <f>IF(RIGHT(B264,1)="M",IF(AND(H264=1,E264="RFS",D264=INDEX('Station Depth Averages'!$A$3:$B$84,MATCH(B264,'Station Depth Averages'!$A$3:$A$84,0),2)),1,""),IF(AND(H264=1,OR(D264="SYN",D264="SRF",D264="MID")),1,IF(AND(H264=1,OR(E265="FDn",E265="LDn")),1,IF(AND(H264=1,OR(E264="FDn",E264="LDn")),1,""))))</f>
        <v>1</v>
      </c>
      <c r="J264" s="4" t="str">
        <f t="shared" si="79"/>
        <v/>
      </c>
      <c r="K264" s="4" t="str">
        <f t="shared" si="80"/>
        <v/>
      </c>
      <c r="L264" s="4" t="str">
        <f t="shared" si="81"/>
        <v/>
      </c>
      <c r="M264" s="4" t="str">
        <f t="shared" si="82"/>
        <v/>
      </c>
      <c r="N264" s="4" t="str">
        <f t="shared" si="83"/>
        <v/>
      </c>
      <c r="O264" s="4" t="str">
        <f t="shared" si="84"/>
        <v/>
      </c>
      <c r="P264" s="4" t="str">
        <f t="shared" si="85"/>
        <v/>
      </c>
      <c r="Q264" s="4" t="str">
        <f t="shared" si="86"/>
        <v/>
      </c>
      <c r="R264" s="4" t="str">
        <f t="shared" si="87"/>
        <v/>
      </c>
      <c r="S264" s="4" t="str">
        <f t="shared" si="88"/>
        <v/>
      </c>
      <c r="T264" s="4" t="str">
        <f t="shared" si="89"/>
        <v/>
      </c>
      <c r="U264">
        <f>IF(VLOOKUP(C264,'QA Table'!$Y$5:$Y$20,1,TRUE)=C264,1,0)</f>
        <v>0</v>
      </c>
      <c r="V264" t="str">
        <f t="shared" si="90"/>
        <v/>
      </c>
      <c r="W264" t="str">
        <f t="shared" si="91"/>
        <v/>
      </c>
      <c r="X264">
        <f t="shared" si="92"/>
        <v>3</v>
      </c>
      <c r="Y264">
        <f t="shared" si="93"/>
        <v>0</v>
      </c>
      <c r="AA264">
        <f t="shared" si="94"/>
        <v>1</v>
      </c>
    </row>
    <row r="265" spans="1:27" x14ac:dyDescent="0.2">
      <c r="A265" t="s">
        <v>23</v>
      </c>
      <c r="B265" t="s">
        <v>40</v>
      </c>
      <c r="C265" t="s">
        <v>1390</v>
      </c>
      <c r="D265" t="s">
        <v>5</v>
      </c>
      <c r="E265" t="s">
        <v>3</v>
      </c>
      <c r="F265" t="s">
        <v>1384</v>
      </c>
      <c r="G265" t="s">
        <v>1281</v>
      </c>
      <c r="H265" s="4">
        <f t="shared" si="78"/>
        <v>1</v>
      </c>
      <c r="I265" s="4" t="str">
        <f>IF(RIGHT(B265,1)="M",IF(AND(H265=1,E265="RFS",D265=INDEX('Station Depth Averages'!$A$3:$B$84,MATCH(B265,'Station Depth Averages'!$A$3:$A$84,0),2)),1,""),IF(AND(H265=1,OR(D265="SYN",D265="SRF",D265="MID")),1,IF(AND(H265=1,OR(E266="FDn",E266="LDn")),1,IF(AND(H265=1,OR(E265="FDn",E265="LDn")),1,""))))</f>
        <v/>
      </c>
      <c r="J265" s="4">
        <f t="shared" si="79"/>
        <v>1</v>
      </c>
      <c r="K265" s="4" t="str">
        <f t="shared" si="80"/>
        <v/>
      </c>
      <c r="L265" s="4" t="str">
        <f t="shared" si="81"/>
        <v/>
      </c>
      <c r="M265" s="4" t="str">
        <f t="shared" si="82"/>
        <v/>
      </c>
      <c r="N265" s="4" t="str">
        <f t="shared" si="83"/>
        <v/>
      </c>
      <c r="O265" s="4" t="str">
        <f t="shared" si="84"/>
        <v/>
      </c>
      <c r="P265" s="4" t="str">
        <f t="shared" si="85"/>
        <v/>
      </c>
      <c r="Q265" s="4" t="str">
        <f t="shared" si="86"/>
        <v/>
      </c>
      <c r="R265" s="4" t="str">
        <f t="shared" si="87"/>
        <v/>
      </c>
      <c r="S265" s="4" t="str">
        <f t="shared" si="88"/>
        <v/>
      </c>
      <c r="T265" s="4" t="str">
        <f t="shared" si="89"/>
        <v/>
      </c>
      <c r="U265">
        <f>IF(VLOOKUP(C265,'QA Table'!$Y$5:$Y$20,1,TRUE)=C265,1,0)</f>
        <v>0</v>
      </c>
      <c r="V265" t="str">
        <f t="shared" si="90"/>
        <v/>
      </c>
      <c r="W265" t="str">
        <f t="shared" si="91"/>
        <v/>
      </c>
      <c r="X265">
        <f t="shared" si="92"/>
        <v>3</v>
      </c>
      <c r="Y265">
        <f t="shared" si="93"/>
        <v>0</v>
      </c>
      <c r="AA265">
        <f t="shared" si="94"/>
        <v>1</v>
      </c>
    </row>
    <row r="266" spans="1:27" x14ac:dyDescent="0.2">
      <c r="A266" t="s">
        <v>23</v>
      </c>
      <c r="B266" t="s">
        <v>40</v>
      </c>
      <c r="C266" t="s">
        <v>1391</v>
      </c>
      <c r="D266" t="s">
        <v>6</v>
      </c>
      <c r="E266" t="s">
        <v>3</v>
      </c>
      <c r="F266" t="s">
        <v>1384</v>
      </c>
      <c r="G266" t="s">
        <v>1281</v>
      </c>
      <c r="H266" s="4">
        <f t="shared" si="78"/>
        <v>1</v>
      </c>
      <c r="I266" s="4" t="str">
        <f>IF(RIGHT(B266,1)="M",IF(AND(H266=1,E266="RFS",D266=INDEX('Station Depth Averages'!$A$3:$B$84,MATCH(B266,'Station Depth Averages'!$A$3:$A$84,0),2)),1,""),IF(AND(H266=1,OR(D266="SYN",D266="SRF",D266="MID")),1,IF(AND(H266=1,OR(E267="FDn",E267="LDn")),1,IF(AND(H266=1,OR(E266="FDn",E266="LDn")),1,""))))</f>
        <v/>
      </c>
      <c r="J266" s="4">
        <f t="shared" si="79"/>
        <v>1</v>
      </c>
      <c r="K266" s="4" t="str">
        <f t="shared" si="80"/>
        <v/>
      </c>
      <c r="L266" s="4" t="str">
        <f t="shared" si="81"/>
        <v/>
      </c>
      <c r="M266" s="4" t="str">
        <f t="shared" si="82"/>
        <v/>
      </c>
      <c r="N266" s="4" t="str">
        <f t="shared" si="83"/>
        <v/>
      </c>
      <c r="O266" s="4" t="str">
        <f t="shared" si="84"/>
        <v/>
      </c>
      <c r="P266" s="4" t="str">
        <f t="shared" si="85"/>
        <v/>
      </c>
      <c r="Q266" s="4" t="str">
        <f t="shared" si="86"/>
        <v/>
      </c>
      <c r="R266" s="4" t="str">
        <f t="shared" si="87"/>
        <v/>
      </c>
      <c r="S266" s="4" t="str">
        <f t="shared" si="88"/>
        <v/>
      </c>
      <c r="T266" s="4" t="str">
        <f t="shared" si="89"/>
        <v/>
      </c>
      <c r="U266">
        <f>IF(VLOOKUP(C266,'QA Table'!$Y$5:$Y$20,1,TRUE)=C266,1,0)</f>
        <v>0</v>
      </c>
      <c r="V266" t="str">
        <f t="shared" si="90"/>
        <v/>
      </c>
      <c r="W266" t="str">
        <f t="shared" si="91"/>
        <v/>
      </c>
      <c r="X266">
        <f t="shared" si="92"/>
        <v>3</v>
      </c>
      <c r="Y266">
        <f t="shared" si="93"/>
        <v>0</v>
      </c>
      <c r="AA266">
        <f t="shared" si="94"/>
        <v>1</v>
      </c>
    </row>
    <row r="267" spans="1:27" x14ac:dyDescent="0.2">
      <c r="A267" t="s">
        <v>23</v>
      </c>
      <c r="B267" t="s">
        <v>40</v>
      </c>
      <c r="C267" t="s">
        <v>1392</v>
      </c>
      <c r="D267" t="s">
        <v>8</v>
      </c>
      <c r="E267" t="s">
        <v>3</v>
      </c>
      <c r="F267" t="s">
        <v>1384</v>
      </c>
      <c r="G267" t="s">
        <v>1281</v>
      </c>
      <c r="H267" s="4">
        <f t="shared" si="78"/>
        <v>1</v>
      </c>
      <c r="I267" s="4" t="str">
        <f>IF(RIGHT(B267,1)="M",IF(AND(H267=1,E267="RFS",D267=INDEX('Station Depth Averages'!$A$3:$B$84,MATCH(B267,'Station Depth Averages'!$A$3:$A$84,0),2)),1,""),IF(AND(H267=1,OR(D267="SYN",D267="SRF",D267="MID")),1,IF(AND(H267=1,OR(E268="FDn",E268="LDn")),1,IF(AND(H267=1,OR(E267="FDn",E267="LDn")),1,""))))</f>
        <v/>
      </c>
      <c r="J267" s="4" t="str">
        <f t="shared" si="79"/>
        <v/>
      </c>
      <c r="K267" s="4">
        <f t="shared" si="80"/>
        <v>1</v>
      </c>
      <c r="L267" s="4" t="str">
        <f t="shared" si="81"/>
        <v/>
      </c>
      <c r="M267" s="4" t="str">
        <f t="shared" si="82"/>
        <v/>
      </c>
      <c r="N267" s="4" t="str">
        <f t="shared" si="83"/>
        <v/>
      </c>
      <c r="O267" s="4" t="str">
        <f t="shared" si="84"/>
        <v/>
      </c>
      <c r="P267" s="4" t="str">
        <f t="shared" si="85"/>
        <v/>
      </c>
      <c r="Q267" s="4">
        <f t="shared" si="86"/>
        <v>2</v>
      </c>
      <c r="R267" s="4" t="str">
        <f t="shared" si="87"/>
        <v/>
      </c>
      <c r="S267" s="4" t="str">
        <f t="shared" si="88"/>
        <v/>
      </c>
      <c r="T267" s="4" t="str">
        <f t="shared" si="89"/>
        <v/>
      </c>
      <c r="U267">
        <f>IF(VLOOKUP(C267,'QA Table'!$Y$5:$Y$20,1,TRUE)=C267,1,0)</f>
        <v>0</v>
      </c>
      <c r="V267" t="str">
        <f t="shared" si="90"/>
        <v/>
      </c>
      <c r="W267" t="str">
        <f t="shared" si="91"/>
        <v/>
      </c>
      <c r="X267">
        <f t="shared" si="92"/>
        <v>3</v>
      </c>
      <c r="Y267">
        <f t="shared" si="93"/>
        <v>0</v>
      </c>
      <c r="AA267">
        <f t="shared" si="94"/>
        <v>1</v>
      </c>
    </row>
    <row r="268" spans="1:27" x14ac:dyDescent="0.2">
      <c r="A268" t="s">
        <v>23</v>
      </c>
      <c r="B268" t="s">
        <v>40</v>
      </c>
      <c r="C268" t="s">
        <v>1393</v>
      </c>
      <c r="D268" t="s">
        <v>9</v>
      </c>
      <c r="E268" t="s">
        <v>3</v>
      </c>
      <c r="F268" t="s">
        <v>1384</v>
      </c>
      <c r="G268" t="s">
        <v>1281</v>
      </c>
      <c r="H268" s="4" t="str">
        <f t="shared" si="78"/>
        <v/>
      </c>
      <c r="I268" s="4" t="str">
        <f>IF(RIGHT(B268,1)="M",IF(AND(H268=1,E268="RFS",D268=INDEX('Station Depth Averages'!$A$3:$B$84,MATCH(B268,'Station Depth Averages'!$A$3:$A$84,0),2)),1,""),IF(AND(H268=1,OR(D268="SYN",D268="SRF",D268="MID")),1,IF(AND(H268=1,OR(E269="FDn",E269="LDn")),1,IF(AND(H268=1,OR(E268="FDn",E268="LDn")),1,""))))</f>
        <v/>
      </c>
      <c r="J268" s="4" t="str">
        <f t="shared" si="79"/>
        <v/>
      </c>
      <c r="K268" s="4" t="str">
        <f t="shared" si="80"/>
        <v/>
      </c>
      <c r="L268" s="4" t="str">
        <f t="shared" si="81"/>
        <v/>
      </c>
      <c r="M268" s="4" t="str">
        <f t="shared" si="82"/>
        <v/>
      </c>
      <c r="N268" s="4" t="str">
        <f t="shared" si="83"/>
        <v/>
      </c>
      <c r="O268" s="4" t="str">
        <f t="shared" si="84"/>
        <v/>
      </c>
      <c r="P268" s="4" t="str">
        <f t="shared" si="85"/>
        <v/>
      </c>
      <c r="Q268" s="4" t="str">
        <f t="shared" si="86"/>
        <v/>
      </c>
      <c r="R268" s="4" t="str">
        <f t="shared" si="87"/>
        <v/>
      </c>
      <c r="S268" s="4" t="str">
        <f t="shared" si="88"/>
        <v/>
      </c>
      <c r="T268" s="4">
        <f t="shared" si="89"/>
        <v>1</v>
      </c>
      <c r="U268">
        <f>IF(VLOOKUP(C268,'QA Table'!$Y$5:$Y$20,1,TRUE)=C268,1,0)</f>
        <v>0</v>
      </c>
      <c r="V268" t="str">
        <f t="shared" si="90"/>
        <v/>
      </c>
      <c r="W268" t="str">
        <f t="shared" si="91"/>
        <v/>
      </c>
      <c r="X268" t="str">
        <f t="shared" si="92"/>
        <v/>
      </c>
      <c r="Y268">
        <f t="shared" si="93"/>
        <v>0</v>
      </c>
      <c r="AA268" t="str">
        <f t="shared" si="94"/>
        <v/>
      </c>
    </row>
    <row r="269" spans="1:27" x14ac:dyDescent="0.2">
      <c r="A269" t="s">
        <v>23</v>
      </c>
      <c r="B269" t="s">
        <v>40</v>
      </c>
      <c r="C269" t="s">
        <v>1394</v>
      </c>
      <c r="D269" t="s">
        <v>10</v>
      </c>
      <c r="E269" t="s">
        <v>3</v>
      </c>
      <c r="F269" t="s">
        <v>1384</v>
      </c>
      <c r="G269" t="s">
        <v>1281</v>
      </c>
      <c r="H269" s="4" t="str">
        <f t="shared" si="78"/>
        <v/>
      </c>
      <c r="I269" s="4" t="str">
        <f>IF(RIGHT(B269,1)="M",IF(AND(H269=1,E269="RFS",D269=INDEX('Station Depth Averages'!$A$3:$B$84,MATCH(B269,'Station Depth Averages'!$A$3:$A$84,0),2)),1,""),IF(AND(H269=1,OR(D269="SYN",D269="SRF",D269="MID")),1,IF(AND(H269=1,OR(E270="FDn",E270="LDn")),1,IF(AND(H269=1,OR(E269="FDn",E269="LDn")),1,""))))</f>
        <v/>
      </c>
      <c r="J269" s="4" t="str">
        <f t="shared" si="79"/>
        <v/>
      </c>
      <c r="K269" s="4" t="str">
        <f t="shared" si="80"/>
        <v/>
      </c>
      <c r="L269" s="4" t="str">
        <f t="shared" si="81"/>
        <v/>
      </c>
      <c r="M269" s="4" t="str">
        <f t="shared" si="82"/>
        <v/>
      </c>
      <c r="N269" s="4" t="str">
        <f t="shared" si="83"/>
        <v/>
      </c>
      <c r="O269" s="4" t="str">
        <f t="shared" si="84"/>
        <v/>
      </c>
      <c r="P269" s="4" t="str">
        <f t="shared" si="85"/>
        <v/>
      </c>
      <c r="Q269" s="4" t="str">
        <f t="shared" si="86"/>
        <v/>
      </c>
      <c r="R269" s="4" t="str">
        <f t="shared" si="87"/>
        <v/>
      </c>
      <c r="S269" s="4" t="str">
        <f t="shared" si="88"/>
        <v/>
      </c>
      <c r="T269" s="4">
        <f t="shared" si="89"/>
        <v>1</v>
      </c>
      <c r="U269">
        <f>IF(VLOOKUP(C269,'QA Table'!$Y$5:$Y$20,1,TRUE)=C269,1,0)</f>
        <v>0</v>
      </c>
      <c r="V269" t="str">
        <f t="shared" si="90"/>
        <v/>
      </c>
      <c r="W269" t="str">
        <f t="shared" si="91"/>
        <v/>
      </c>
      <c r="X269" t="str">
        <f t="shared" si="92"/>
        <v/>
      </c>
      <c r="Y269">
        <f t="shared" si="93"/>
        <v>0</v>
      </c>
      <c r="AA269" t="str">
        <f t="shared" si="94"/>
        <v/>
      </c>
    </row>
    <row r="270" spans="1:27" x14ac:dyDescent="0.2">
      <c r="A270" t="s">
        <v>23</v>
      </c>
      <c r="B270" t="s">
        <v>40</v>
      </c>
      <c r="C270" t="s">
        <v>1395</v>
      </c>
      <c r="D270" t="s">
        <v>1034</v>
      </c>
      <c r="E270" t="s">
        <v>3</v>
      </c>
      <c r="F270" t="s">
        <v>1384</v>
      </c>
      <c r="G270" t="s">
        <v>1281</v>
      </c>
      <c r="H270" s="4" t="str">
        <f t="shared" si="78"/>
        <v/>
      </c>
      <c r="I270" s="4" t="str">
        <f>IF(RIGHT(B270,1)="M",IF(AND(H270=1,E270="RFS",D270=INDEX('Station Depth Averages'!$A$3:$B$84,MATCH(B270,'Station Depth Averages'!$A$3:$A$84,0),2)),1,""),IF(AND(H270=1,OR(D270="SYN",D270="SRF",D270="MID")),1,IF(AND(H270=1,OR(E271="FDn",E271="LDn")),1,IF(AND(H270=1,OR(E270="FDn",E270="LDn")),1,""))))</f>
        <v/>
      </c>
      <c r="J270" s="4" t="str">
        <f t="shared" si="79"/>
        <v/>
      </c>
      <c r="K270" s="4" t="str">
        <f t="shared" si="80"/>
        <v/>
      </c>
      <c r="L270" s="4" t="str">
        <f t="shared" si="81"/>
        <v/>
      </c>
      <c r="M270" s="4" t="str">
        <f t="shared" si="82"/>
        <v/>
      </c>
      <c r="N270" s="4" t="str">
        <f t="shared" si="83"/>
        <v/>
      </c>
      <c r="O270" s="4" t="str">
        <f t="shared" si="84"/>
        <v/>
      </c>
      <c r="P270" s="4" t="str">
        <f t="shared" si="85"/>
        <v/>
      </c>
      <c r="Q270" s="4" t="str">
        <f t="shared" si="86"/>
        <v/>
      </c>
      <c r="R270" s="4" t="str">
        <f t="shared" si="87"/>
        <v/>
      </c>
      <c r="S270" s="4">
        <f t="shared" si="88"/>
        <v>1</v>
      </c>
      <c r="T270" s="4" t="str">
        <f t="shared" si="89"/>
        <v/>
      </c>
      <c r="U270">
        <f>IF(VLOOKUP(C270,'QA Table'!$Y$5:$Y$20,1,TRUE)=C270,1,0)</f>
        <v>0</v>
      </c>
      <c r="V270" t="str">
        <f t="shared" si="90"/>
        <v/>
      </c>
      <c r="W270" t="str">
        <f t="shared" si="91"/>
        <v/>
      </c>
      <c r="X270" t="str">
        <f t="shared" si="92"/>
        <v/>
      </c>
      <c r="Y270">
        <f t="shared" si="93"/>
        <v>0</v>
      </c>
      <c r="AA270" t="str">
        <f t="shared" si="94"/>
        <v/>
      </c>
    </row>
    <row r="271" spans="1:27" x14ac:dyDescent="0.2">
      <c r="A271" t="s">
        <v>23</v>
      </c>
      <c r="B271" t="s">
        <v>40</v>
      </c>
      <c r="C271" t="s">
        <v>1396</v>
      </c>
      <c r="D271" t="s">
        <v>1034</v>
      </c>
      <c r="E271" t="s">
        <v>19</v>
      </c>
      <c r="F271" t="s">
        <v>1384</v>
      </c>
      <c r="G271" t="s">
        <v>1281</v>
      </c>
      <c r="H271" s="4" t="str">
        <f t="shared" si="78"/>
        <v/>
      </c>
      <c r="I271" s="4" t="str">
        <f>IF(RIGHT(B271,1)="M",IF(AND(H271=1,E271="RFS",D271=INDEX('Station Depth Averages'!$A$3:$B$84,MATCH(B271,'Station Depth Averages'!$A$3:$A$84,0),2)),1,""),IF(AND(H271=1,OR(D271="SYN",D271="SRF",D271="MID")),1,IF(AND(H271=1,OR(E272="FDn",E272="LDn")),1,IF(AND(H271=1,OR(E271="FDn",E271="LDn")),1,""))))</f>
        <v/>
      </c>
      <c r="J271" s="4" t="str">
        <f t="shared" si="79"/>
        <v/>
      </c>
      <c r="K271" s="4" t="str">
        <f t="shared" si="80"/>
        <v/>
      </c>
      <c r="L271" s="4" t="str">
        <f t="shared" si="81"/>
        <v/>
      </c>
      <c r="M271" s="4" t="str">
        <f t="shared" si="82"/>
        <v/>
      </c>
      <c r="N271" s="4" t="str">
        <f t="shared" si="83"/>
        <v/>
      </c>
      <c r="O271" s="4" t="str">
        <f t="shared" si="84"/>
        <v/>
      </c>
      <c r="P271" s="4" t="str">
        <f t="shared" si="85"/>
        <v/>
      </c>
      <c r="Q271" s="4" t="str">
        <f t="shared" si="86"/>
        <v/>
      </c>
      <c r="R271" s="4" t="str">
        <f t="shared" si="87"/>
        <v/>
      </c>
      <c r="S271" s="4">
        <f t="shared" si="88"/>
        <v>1</v>
      </c>
      <c r="T271" s="4" t="str">
        <f t="shared" si="89"/>
        <v/>
      </c>
      <c r="U271">
        <f>IF(VLOOKUP(C271,'QA Table'!$Y$5:$Y$20,1,TRUE)=C271,1,0)</f>
        <v>0</v>
      </c>
      <c r="V271" t="str">
        <f t="shared" si="90"/>
        <v/>
      </c>
      <c r="W271" t="str">
        <f t="shared" si="91"/>
        <v/>
      </c>
      <c r="X271" t="str">
        <f t="shared" si="92"/>
        <v/>
      </c>
      <c r="Y271">
        <f t="shared" si="93"/>
        <v>0</v>
      </c>
      <c r="AA271" t="str">
        <f t="shared" si="94"/>
        <v/>
      </c>
    </row>
    <row r="272" spans="1:27" x14ac:dyDescent="0.2">
      <c r="A272" t="s">
        <v>27</v>
      </c>
      <c r="B272" t="s">
        <v>41</v>
      </c>
      <c r="C272" t="s">
        <v>1397</v>
      </c>
      <c r="D272" t="s">
        <v>2</v>
      </c>
      <c r="E272" t="s">
        <v>3</v>
      </c>
      <c r="F272" t="s">
        <v>1398</v>
      </c>
      <c r="G272" t="s">
        <v>1281</v>
      </c>
      <c r="H272" s="4">
        <f t="shared" si="78"/>
        <v>1</v>
      </c>
      <c r="I272" s="4" t="str">
        <f>IF(RIGHT(B272,1)="M",IF(AND(H272=1,E272="RFS",D272=INDEX('Station Depth Averages'!$A$3:$B$84,MATCH(B272,'Station Depth Averages'!$A$3:$A$84,0),2)),1,""),IF(AND(H272=1,OR(D272="SYN",D272="SRF",D272="MID")),1,IF(AND(H272=1,OR(E273="FDn",E273="LDn")),1,IF(AND(H272=1,OR(E272="FDn",E272="LDn")),1,""))))</f>
        <v/>
      </c>
      <c r="J272" s="4">
        <f t="shared" si="79"/>
        <v>1</v>
      </c>
      <c r="K272" s="4" t="str">
        <f t="shared" si="80"/>
        <v/>
      </c>
      <c r="L272" s="4" t="str">
        <f t="shared" si="81"/>
        <v/>
      </c>
      <c r="M272" s="4" t="str">
        <f t="shared" si="82"/>
        <v/>
      </c>
      <c r="N272" s="4" t="str">
        <f t="shared" si="83"/>
        <v/>
      </c>
      <c r="O272" s="4" t="str">
        <f t="shared" si="84"/>
        <v/>
      </c>
      <c r="P272" s="4" t="str">
        <f t="shared" si="85"/>
        <v/>
      </c>
      <c r="Q272" s="4" t="str">
        <f t="shared" si="86"/>
        <v/>
      </c>
      <c r="R272" s="4" t="str">
        <f t="shared" si="87"/>
        <v/>
      </c>
      <c r="S272" s="4" t="str">
        <f t="shared" si="88"/>
        <v/>
      </c>
      <c r="T272" s="4" t="str">
        <f t="shared" si="89"/>
        <v/>
      </c>
      <c r="U272">
        <f>IF(VLOOKUP(C272,'QA Table'!$Y$5:$Y$20,1,TRUE)=C272,1,0)</f>
        <v>0</v>
      </c>
      <c r="V272" t="str">
        <f t="shared" si="90"/>
        <v/>
      </c>
      <c r="W272" t="str">
        <f t="shared" si="91"/>
        <v/>
      </c>
      <c r="X272">
        <f t="shared" si="92"/>
        <v>3</v>
      </c>
      <c r="Y272">
        <f t="shared" si="93"/>
        <v>0</v>
      </c>
      <c r="AA272">
        <f t="shared" si="94"/>
        <v>1</v>
      </c>
    </row>
    <row r="273" spans="1:27" x14ac:dyDescent="0.2">
      <c r="A273" t="s">
        <v>27</v>
      </c>
      <c r="B273" t="s">
        <v>41</v>
      </c>
      <c r="C273" t="s">
        <v>1399</v>
      </c>
      <c r="D273" t="s">
        <v>1050</v>
      </c>
      <c r="E273" t="s">
        <v>3</v>
      </c>
      <c r="F273" t="s">
        <v>1398</v>
      </c>
      <c r="G273" t="s">
        <v>1281</v>
      </c>
      <c r="H273" s="4">
        <f t="shared" si="78"/>
        <v>1</v>
      </c>
      <c r="I273" s="4" t="str">
        <f>IF(RIGHT(B273,1)="M",IF(AND(H273=1,E273="RFS",D273=INDEX('Station Depth Averages'!$A$3:$B$84,MATCH(B273,'Station Depth Averages'!$A$3:$A$84,0),2)),1,""),IF(AND(H273=1,OR(D273="SYN",D273="SRF",D273="MID")),1,IF(AND(H273=1,OR(E274="FDn",E274="LDn")),1,IF(AND(H273=1,OR(E273="FDn",E273="LDn")),1,""))))</f>
        <v/>
      </c>
      <c r="J273" s="4">
        <f t="shared" si="79"/>
        <v>1</v>
      </c>
      <c r="K273" s="4" t="str">
        <f t="shared" si="80"/>
        <v/>
      </c>
      <c r="L273" s="4" t="str">
        <f t="shared" si="81"/>
        <v/>
      </c>
      <c r="M273" s="4" t="str">
        <f t="shared" si="82"/>
        <v/>
      </c>
      <c r="N273" s="4" t="str">
        <f t="shared" si="83"/>
        <v/>
      </c>
      <c r="O273" s="4" t="str">
        <f t="shared" si="84"/>
        <v/>
      </c>
      <c r="P273" s="4" t="str">
        <f t="shared" si="85"/>
        <v/>
      </c>
      <c r="Q273" s="4" t="str">
        <f t="shared" si="86"/>
        <v/>
      </c>
      <c r="R273" s="4" t="str">
        <f t="shared" si="87"/>
        <v/>
      </c>
      <c r="S273" s="4" t="str">
        <f t="shared" si="88"/>
        <v/>
      </c>
      <c r="T273" s="4" t="str">
        <f t="shared" si="89"/>
        <v/>
      </c>
      <c r="U273">
        <f>IF(VLOOKUP(C273,'QA Table'!$Y$5:$Y$20,1,TRUE)=C273,1,0)</f>
        <v>0</v>
      </c>
      <c r="V273" t="str">
        <f t="shared" si="90"/>
        <v/>
      </c>
      <c r="W273" t="str">
        <f t="shared" si="91"/>
        <v/>
      </c>
      <c r="X273">
        <f t="shared" si="92"/>
        <v>3</v>
      </c>
      <c r="Y273">
        <f t="shared" si="93"/>
        <v>0</v>
      </c>
      <c r="AA273">
        <f t="shared" si="94"/>
        <v>1</v>
      </c>
    </row>
    <row r="274" spans="1:27" x14ac:dyDescent="0.2">
      <c r="A274" t="s">
        <v>27</v>
      </c>
      <c r="B274" t="s">
        <v>41</v>
      </c>
      <c r="C274" t="s">
        <v>1400</v>
      </c>
      <c r="D274" t="s">
        <v>4</v>
      </c>
      <c r="E274" t="s">
        <v>3</v>
      </c>
      <c r="F274" t="s">
        <v>1398</v>
      </c>
      <c r="G274" t="s">
        <v>1281</v>
      </c>
      <c r="H274" s="4">
        <f t="shared" si="78"/>
        <v>1</v>
      </c>
      <c r="I274" s="4" t="str">
        <f>IF(RIGHT(B274,1)="M",IF(AND(H274=1,E274="RFS",D274=INDEX('Station Depth Averages'!$A$3:$B$84,MATCH(B274,'Station Depth Averages'!$A$3:$A$84,0),2)),1,""),IF(AND(H274=1,OR(D274="SYN",D274="SRF",D274="MID")),1,IF(AND(H274=1,OR(E275="FDn",E275="LDn")),1,IF(AND(H274=1,OR(E274="FDn",E274="LDn")),1,""))))</f>
        <v/>
      </c>
      <c r="J274" s="4">
        <f t="shared" si="79"/>
        <v>1</v>
      </c>
      <c r="K274" s="4" t="str">
        <f t="shared" si="80"/>
        <v/>
      </c>
      <c r="L274" s="4">
        <f t="shared" si="81"/>
        <v>1</v>
      </c>
      <c r="M274" s="4">
        <f t="shared" si="82"/>
        <v>1</v>
      </c>
      <c r="N274" s="4">
        <f t="shared" si="83"/>
        <v>1</v>
      </c>
      <c r="O274" s="4">
        <f t="shared" si="84"/>
        <v>1</v>
      </c>
      <c r="P274" s="4">
        <f t="shared" si="85"/>
        <v>1</v>
      </c>
      <c r="Q274" s="4" t="str">
        <f t="shared" si="86"/>
        <v/>
      </c>
      <c r="R274" s="4" t="str">
        <f t="shared" si="87"/>
        <v/>
      </c>
      <c r="S274" s="4" t="str">
        <f t="shared" si="88"/>
        <v/>
      </c>
      <c r="T274" s="4" t="str">
        <f t="shared" si="89"/>
        <v/>
      </c>
      <c r="U274">
        <f>IF(VLOOKUP(C274,'QA Table'!$Y$5:$Y$20,1,TRUE)=C274,1,0)</f>
        <v>0</v>
      </c>
      <c r="V274" t="str">
        <f t="shared" si="90"/>
        <v/>
      </c>
      <c r="W274" t="str">
        <f t="shared" si="91"/>
        <v/>
      </c>
      <c r="X274">
        <f t="shared" si="92"/>
        <v>3</v>
      </c>
      <c r="Y274">
        <f t="shared" si="93"/>
        <v>0</v>
      </c>
      <c r="AA274">
        <f t="shared" si="94"/>
        <v>1</v>
      </c>
    </row>
    <row r="275" spans="1:27" x14ac:dyDescent="0.2">
      <c r="A275" t="s">
        <v>27</v>
      </c>
      <c r="B275" t="s">
        <v>41</v>
      </c>
      <c r="C275" t="s">
        <v>1401</v>
      </c>
      <c r="D275" t="s">
        <v>1051</v>
      </c>
      <c r="E275" t="s">
        <v>3</v>
      </c>
      <c r="F275" t="s">
        <v>1398</v>
      </c>
      <c r="G275" t="s">
        <v>1281</v>
      </c>
      <c r="H275" s="4">
        <f t="shared" si="78"/>
        <v>1</v>
      </c>
      <c r="I275" s="4" t="str">
        <f>IF(RIGHT(B275,1)="M",IF(AND(H275=1,E275="RFS",D275=INDEX('Station Depth Averages'!$A$3:$B$84,MATCH(B275,'Station Depth Averages'!$A$3:$A$84,0),2)),1,""),IF(AND(H275=1,OR(D275="SYN",D275="SRF",D275="MID")),1,IF(AND(H275=1,OR(E276="FDn",E276="LDn")),1,IF(AND(H275=1,OR(E275="FDn",E275="LDn")),1,""))))</f>
        <v/>
      </c>
      <c r="J275" s="4">
        <f t="shared" si="79"/>
        <v>1</v>
      </c>
      <c r="K275" s="4" t="str">
        <f t="shared" si="80"/>
        <v/>
      </c>
      <c r="L275" s="4" t="str">
        <f t="shared" si="81"/>
        <v/>
      </c>
      <c r="M275" s="4" t="str">
        <f t="shared" si="82"/>
        <v/>
      </c>
      <c r="N275" s="4" t="str">
        <f t="shared" si="83"/>
        <v/>
      </c>
      <c r="O275" s="4" t="str">
        <f t="shared" si="84"/>
        <v/>
      </c>
      <c r="P275" s="4" t="str">
        <f t="shared" si="85"/>
        <v/>
      </c>
      <c r="Q275" s="4" t="str">
        <f t="shared" si="86"/>
        <v/>
      </c>
      <c r="R275" s="4" t="str">
        <f t="shared" si="87"/>
        <v/>
      </c>
      <c r="S275" s="4" t="str">
        <f t="shared" si="88"/>
        <v/>
      </c>
      <c r="T275" s="4" t="str">
        <f t="shared" si="89"/>
        <v/>
      </c>
      <c r="U275">
        <f>IF(VLOOKUP(C275,'QA Table'!$Y$5:$Y$20,1,TRUE)=C275,1,0)</f>
        <v>0</v>
      </c>
      <c r="V275" t="str">
        <f t="shared" si="90"/>
        <v/>
      </c>
      <c r="W275" t="str">
        <f t="shared" si="91"/>
        <v/>
      </c>
      <c r="X275">
        <f t="shared" si="92"/>
        <v>3</v>
      </c>
      <c r="Y275">
        <f t="shared" si="93"/>
        <v>0</v>
      </c>
      <c r="AA275">
        <f t="shared" si="94"/>
        <v>1</v>
      </c>
    </row>
    <row r="276" spans="1:27" x14ac:dyDescent="0.2">
      <c r="A276" t="s">
        <v>27</v>
      </c>
      <c r="B276" t="s">
        <v>41</v>
      </c>
      <c r="C276" t="s">
        <v>1096</v>
      </c>
      <c r="D276" t="s">
        <v>120</v>
      </c>
      <c r="E276" t="s">
        <v>3</v>
      </c>
      <c r="F276" t="s">
        <v>1398</v>
      </c>
      <c r="G276" t="s">
        <v>1281</v>
      </c>
      <c r="H276" s="4">
        <f t="shared" si="78"/>
        <v>1</v>
      </c>
      <c r="I276" s="4" t="str">
        <f>IF(RIGHT(B276,1)="M",IF(AND(H276=1,E276="RFS",D276=INDEX('Station Depth Averages'!$A$3:$B$84,MATCH(B276,'Station Depth Averages'!$A$3:$A$84,0),2)),1,""),IF(AND(H276=1,OR(D276="SYN",D276="SRF",D276="MID")),1,IF(AND(H276=1,OR(E277="FDn",E277="LDn")),1,IF(AND(H276=1,OR(E276="FDn",E276="LDn")),1,""))))</f>
        <v/>
      </c>
      <c r="J276" s="4">
        <f t="shared" si="79"/>
        <v>1</v>
      </c>
      <c r="K276" s="4" t="str">
        <f t="shared" si="80"/>
        <v/>
      </c>
      <c r="L276" s="4" t="str">
        <f t="shared" si="81"/>
        <v/>
      </c>
      <c r="M276" s="4" t="str">
        <f t="shared" si="82"/>
        <v/>
      </c>
      <c r="N276" s="4" t="str">
        <f t="shared" si="83"/>
        <v/>
      </c>
      <c r="O276" s="4" t="str">
        <f t="shared" si="84"/>
        <v/>
      </c>
      <c r="P276" s="4" t="str">
        <f t="shared" si="85"/>
        <v/>
      </c>
      <c r="Q276" s="4" t="str">
        <f t="shared" si="86"/>
        <v/>
      </c>
      <c r="R276" s="4" t="str">
        <f t="shared" si="87"/>
        <v/>
      </c>
      <c r="S276" s="4" t="str">
        <f t="shared" si="88"/>
        <v/>
      </c>
      <c r="T276" s="4" t="str">
        <f t="shared" si="89"/>
        <v/>
      </c>
      <c r="U276">
        <f>IF(VLOOKUP(C276,'QA Table'!$Y$5:$Y$20,1,TRUE)=C276,1,0)</f>
        <v>1</v>
      </c>
      <c r="V276" t="str">
        <f t="shared" si="90"/>
        <v/>
      </c>
      <c r="W276" t="str">
        <f t="shared" si="91"/>
        <v/>
      </c>
      <c r="X276">
        <f t="shared" si="92"/>
        <v>3</v>
      </c>
      <c r="Y276">
        <f t="shared" si="93"/>
        <v>1</v>
      </c>
      <c r="AA276">
        <f t="shared" si="94"/>
        <v>1</v>
      </c>
    </row>
    <row r="277" spans="1:27" x14ac:dyDescent="0.2">
      <c r="A277" t="s">
        <v>27</v>
      </c>
      <c r="B277" t="s">
        <v>41</v>
      </c>
      <c r="C277" t="s">
        <v>1402</v>
      </c>
      <c r="D277" t="s">
        <v>16</v>
      </c>
      <c r="E277" t="s">
        <v>3</v>
      </c>
      <c r="F277" t="s">
        <v>1398</v>
      </c>
      <c r="G277" t="s">
        <v>1281</v>
      </c>
      <c r="H277" s="4">
        <f t="shared" si="78"/>
        <v>1</v>
      </c>
      <c r="I277" s="4" t="str">
        <f>IF(RIGHT(B277,1)="M",IF(AND(H277=1,E277="RFS",D277=INDEX('Station Depth Averages'!$A$3:$B$84,MATCH(B277,'Station Depth Averages'!$A$3:$A$84,0),2)),1,""),IF(AND(H277=1,OR(D277="SYN",D277="SRF",D277="MID")),1,IF(AND(H277=1,OR(E278="FDn",E278="LDn")),1,IF(AND(H277=1,OR(E277="FDn",E277="LDn")),1,""))))</f>
        <v/>
      </c>
      <c r="J277" s="4">
        <f t="shared" si="79"/>
        <v>1</v>
      </c>
      <c r="K277" s="4" t="str">
        <f t="shared" si="80"/>
        <v/>
      </c>
      <c r="L277" s="4" t="str">
        <f t="shared" si="81"/>
        <v/>
      </c>
      <c r="M277" s="4" t="str">
        <f t="shared" si="82"/>
        <v/>
      </c>
      <c r="N277" s="4" t="str">
        <f t="shared" si="83"/>
        <v/>
      </c>
      <c r="O277" s="4" t="str">
        <f t="shared" si="84"/>
        <v/>
      </c>
      <c r="P277" s="4" t="str">
        <f t="shared" si="85"/>
        <v/>
      </c>
      <c r="Q277" s="4" t="str">
        <f t="shared" si="86"/>
        <v/>
      </c>
      <c r="R277" s="4" t="str">
        <f t="shared" si="87"/>
        <v/>
      </c>
      <c r="S277" s="4" t="str">
        <f t="shared" si="88"/>
        <v/>
      </c>
      <c r="T277" s="4" t="str">
        <f t="shared" si="89"/>
        <v/>
      </c>
      <c r="U277">
        <f>IF(VLOOKUP(C277,'QA Table'!$Y$5:$Y$20,1,TRUE)=C277,1,0)</f>
        <v>0</v>
      </c>
      <c r="V277" t="str">
        <f t="shared" si="90"/>
        <v/>
      </c>
      <c r="W277" t="str">
        <f t="shared" si="91"/>
        <v/>
      </c>
      <c r="X277">
        <f t="shared" si="92"/>
        <v>3</v>
      </c>
      <c r="Y277">
        <f t="shared" si="93"/>
        <v>0</v>
      </c>
      <c r="AA277">
        <f t="shared" si="94"/>
        <v>1</v>
      </c>
    </row>
    <row r="278" spans="1:27" x14ac:dyDescent="0.2">
      <c r="A278" t="s">
        <v>27</v>
      </c>
      <c r="B278" t="s">
        <v>41</v>
      </c>
      <c r="C278" t="s">
        <v>1403</v>
      </c>
      <c r="D278" t="s">
        <v>17</v>
      </c>
      <c r="E278" t="s">
        <v>3</v>
      </c>
      <c r="F278" t="s">
        <v>1398</v>
      </c>
      <c r="G278" t="s">
        <v>1281</v>
      </c>
      <c r="H278" s="4">
        <f t="shared" si="78"/>
        <v>1</v>
      </c>
      <c r="I278" s="4">
        <f>IF(RIGHT(B278,1)="M",IF(AND(H278=1,E278="RFS",D278=INDEX('Station Depth Averages'!$A$3:$B$84,MATCH(B278,'Station Depth Averages'!$A$3:$A$84,0),2)),1,""),IF(AND(H278=1,OR(D278="SYN",D278="SRF",D278="MID")),1,IF(AND(H278=1,OR(E279="FDn",E279="LDn")),1,IF(AND(H278=1,OR(E278="FDn",E278="LDn")),1,""))))</f>
        <v>1</v>
      </c>
      <c r="J278" s="4">
        <f t="shared" si="79"/>
        <v>1</v>
      </c>
      <c r="K278" s="4" t="str">
        <f t="shared" si="80"/>
        <v/>
      </c>
      <c r="L278" s="4" t="str">
        <f t="shared" si="81"/>
        <v/>
      </c>
      <c r="M278" s="4" t="str">
        <f t="shared" si="82"/>
        <v/>
      </c>
      <c r="N278" s="4" t="str">
        <f t="shared" si="83"/>
        <v/>
      </c>
      <c r="O278" s="4" t="str">
        <f t="shared" si="84"/>
        <v/>
      </c>
      <c r="P278" s="4" t="str">
        <f t="shared" si="85"/>
        <v/>
      </c>
      <c r="Q278" s="4" t="str">
        <f t="shared" si="86"/>
        <v/>
      </c>
      <c r="R278" s="4" t="str">
        <f t="shared" si="87"/>
        <v/>
      </c>
      <c r="S278" s="4" t="str">
        <f t="shared" si="88"/>
        <v/>
      </c>
      <c r="T278" s="4" t="str">
        <f t="shared" si="89"/>
        <v/>
      </c>
      <c r="U278">
        <f>IF(VLOOKUP(C278,'QA Table'!$Y$5:$Y$20,1,TRUE)=C278,1,0)</f>
        <v>0</v>
      </c>
      <c r="V278" t="str">
        <f t="shared" si="90"/>
        <v/>
      </c>
      <c r="W278" t="str">
        <f t="shared" si="91"/>
        <v/>
      </c>
      <c r="X278">
        <f t="shared" si="92"/>
        <v>3</v>
      </c>
      <c r="Y278">
        <f t="shared" si="93"/>
        <v>0</v>
      </c>
      <c r="AA278">
        <f t="shared" si="94"/>
        <v>1</v>
      </c>
    </row>
    <row r="279" spans="1:27" x14ac:dyDescent="0.2">
      <c r="A279" t="s">
        <v>27</v>
      </c>
      <c r="B279" t="s">
        <v>41</v>
      </c>
      <c r="C279" t="s">
        <v>1404</v>
      </c>
      <c r="D279" t="s">
        <v>5</v>
      </c>
      <c r="E279" t="s">
        <v>3</v>
      </c>
      <c r="F279" t="s">
        <v>1398</v>
      </c>
      <c r="G279" t="s">
        <v>1281</v>
      </c>
      <c r="H279" s="4">
        <f t="shared" si="78"/>
        <v>1</v>
      </c>
      <c r="I279" s="4" t="str">
        <f>IF(RIGHT(B279,1)="M",IF(AND(H279=1,E279="RFS",D279=INDEX('Station Depth Averages'!$A$3:$B$84,MATCH(B279,'Station Depth Averages'!$A$3:$A$84,0),2)),1,""),IF(AND(H279=1,OR(D279="SYN",D279="SRF",D279="MID")),1,IF(AND(H279=1,OR(E280="FDn",E280="LDn")),1,IF(AND(H279=1,OR(E279="FDn",E279="LDn")),1,""))))</f>
        <v/>
      </c>
      <c r="J279" s="4">
        <f t="shared" si="79"/>
        <v>1</v>
      </c>
      <c r="K279" s="4" t="str">
        <f t="shared" si="80"/>
        <v/>
      </c>
      <c r="L279" s="4" t="str">
        <f t="shared" si="81"/>
        <v/>
      </c>
      <c r="M279" s="4" t="str">
        <f t="shared" si="82"/>
        <v/>
      </c>
      <c r="N279" s="4" t="str">
        <f t="shared" si="83"/>
        <v/>
      </c>
      <c r="O279" s="4" t="str">
        <f t="shared" si="84"/>
        <v/>
      </c>
      <c r="P279" s="4" t="str">
        <f t="shared" si="85"/>
        <v/>
      </c>
      <c r="Q279" s="4" t="str">
        <f t="shared" si="86"/>
        <v/>
      </c>
      <c r="R279" s="4" t="str">
        <f t="shared" si="87"/>
        <v/>
      </c>
      <c r="S279" s="4" t="str">
        <f t="shared" si="88"/>
        <v/>
      </c>
      <c r="T279" s="4" t="str">
        <f t="shared" si="89"/>
        <v/>
      </c>
      <c r="U279">
        <f>IF(VLOOKUP(C279,'QA Table'!$Y$5:$Y$20,1,TRUE)=C279,1,0)</f>
        <v>0</v>
      </c>
      <c r="V279" t="str">
        <f t="shared" si="90"/>
        <v/>
      </c>
      <c r="W279" t="str">
        <f t="shared" si="91"/>
        <v/>
      </c>
      <c r="X279">
        <f t="shared" si="92"/>
        <v>3</v>
      </c>
      <c r="Y279">
        <f t="shared" si="93"/>
        <v>0</v>
      </c>
      <c r="AA279">
        <f t="shared" si="94"/>
        <v>1</v>
      </c>
    </row>
    <row r="280" spans="1:27" x14ac:dyDescent="0.2">
      <c r="A280" t="s">
        <v>27</v>
      </c>
      <c r="B280" t="s">
        <v>41</v>
      </c>
      <c r="C280" t="s">
        <v>1405</v>
      </c>
      <c r="D280" t="s">
        <v>6</v>
      </c>
      <c r="E280" t="s">
        <v>3</v>
      </c>
      <c r="F280" t="s">
        <v>1398</v>
      </c>
      <c r="G280" t="s">
        <v>1281</v>
      </c>
      <c r="H280" s="4">
        <f t="shared" si="78"/>
        <v>1</v>
      </c>
      <c r="I280" s="4" t="str">
        <f>IF(RIGHT(B280,1)="M",IF(AND(H280=1,E280="RFS",D280=INDEX('Station Depth Averages'!$A$3:$B$84,MATCH(B280,'Station Depth Averages'!$A$3:$A$84,0),2)),1,""),IF(AND(H280=1,OR(D280="SYN",D280="SRF",D280="MID")),1,IF(AND(H280=1,OR(E281="FDn",E281="LDn")),1,IF(AND(H280=1,OR(E280="FDn",E280="LDn")),1,""))))</f>
        <v/>
      </c>
      <c r="J280" s="4">
        <f t="shared" si="79"/>
        <v>1</v>
      </c>
      <c r="K280" s="4" t="str">
        <f t="shared" si="80"/>
        <v/>
      </c>
      <c r="L280" s="4" t="str">
        <f t="shared" si="81"/>
        <v/>
      </c>
      <c r="M280" s="4" t="str">
        <f t="shared" si="82"/>
        <v/>
      </c>
      <c r="N280" s="4" t="str">
        <f t="shared" si="83"/>
        <v/>
      </c>
      <c r="O280" s="4" t="str">
        <f t="shared" si="84"/>
        <v/>
      </c>
      <c r="P280" s="4" t="str">
        <f t="shared" si="85"/>
        <v/>
      </c>
      <c r="Q280" s="4" t="str">
        <f t="shared" si="86"/>
        <v/>
      </c>
      <c r="R280" s="4" t="str">
        <f t="shared" si="87"/>
        <v/>
      </c>
      <c r="S280" s="4" t="str">
        <f t="shared" si="88"/>
        <v/>
      </c>
      <c r="T280" s="4" t="str">
        <f t="shared" si="89"/>
        <v/>
      </c>
      <c r="U280">
        <f>IF(VLOOKUP(C280,'QA Table'!$Y$5:$Y$20,1,TRUE)=C280,1,0)</f>
        <v>0</v>
      </c>
      <c r="V280" t="str">
        <f t="shared" si="90"/>
        <v/>
      </c>
      <c r="W280" t="str">
        <f t="shared" si="91"/>
        <v/>
      </c>
      <c r="X280">
        <f t="shared" si="92"/>
        <v>3</v>
      </c>
      <c r="Y280">
        <f t="shared" si="93"/>
        <v>0</v>
      </c>
      <c r="AA280">
        <f t="shared" si="94"/>
        <v>1</v>
      </c>
    </row>
    <row r="281" spans="1:27" x14ac:dyDescent="0.2">
      <c r="A281" t="s">
        <v>27</v>
      </c>
      <c r="B281" t="s">
        <v>41</v>
      </c>
      <c r="C281" t="s">
        <v>1406</v>
      </c>
      <c r="D281" t="s">
        <v>8</v>
      </c>
      <c r="E281" t="s">
        <v>3</v>
      </c>
      <c r="F281" t="s">
        <v>1398</v>
      </c>
      <c r="G281" t="s">
        <v>1281</v>
      </c>
      <c r="H281" s="4">
        <f t="shared" si="78"/>
        <v>1</v>
      </c>
      <c r="I281" s="4" t="str">
        <f>IF(RIGHT(B281,1)="M",IF(AND(H281=1,E281="RFS",D281=INDEX('Station Depth Averages'!$A$3:$B$84,MATCH(B281,'Station Depth Averages'!$A$3:$A$84,0),2)),1,""),IF(AND(H281=1,OR(D281="SYN",D281="SRF",D281="MID")),1,IF(AND(H281=1,OR(E282="FDn",E282="LDn")),1,IF(AND(H281=1,OR(E281="FDn",E281="LDn")),1,""))))</f>
        <v/>
      </c>
      <c r="J281" s="4" t="str">
        <f t="shared" si="79"/>
        <v/>
      </c>
      <c r="K281" s="4">
        <f t="shared" si="80"/>
        <v>1</v>
      </c>
      <c r="L281" s="4" t="str">
        <f t="shared" si="81"/>
        <v/>
      </c>
      <c r="M281" s="4" t="str">
        <f t="shared" si="82"/>
        <v/>
      </c>
      <c r="N281" s="4" t="str">
        <f t="shared" si="83"/>
        <v/>
      </c>
      <c r="O281" s="4" t="str">
        <f t="shared" si="84"/>
        <v/>
      </c>
      <c r="P281" s="4" t="str">
        <f t="shared" si="85"/>
        <v/>
      </c>
      <c r="Q281" s="4">
        <f t="shared" si="86"/>
        <v>2</v>
      </c>
      <c r="R281" s="4" t="str">
        <f t="shared" si="87"/>
        <v/>
      </c>
      <c r="S281" s="4" t="str">
        <f t="shared" si="88"/>
        <v/>
      </c>
      <c r="T281" s="4" t="str">
        <f t="shared" si="89"/>
        <v/>
      </c>
      <c r="U281">
        <f>IF(VLOOKUP(C281,'QA Table'!$Y$5:$Y$20,1,TRUE)=C281,1,0)</f>
        <v>0</v>
      </c>
      <c r="V281" t="str">
        <f t="shared" si="90"/>
        <v/>
      </c>
      <c r="W281" t="str">
        <f t="shared" si="91"/>
        <v/>
      </c>
      <c r="X281">
        <f t="shared" si="92"/>
        <v>3</v>
      </c>
      <c r="Y281">
        <f t="shared" si="93"/>
        <v>0</v>
      </c>
      <c r="AA281">
        <f t="shared" si="94"/>
        <v>1</v>
      </c>
    </row>
    <row r="282" spans="1:27" x14ac:dyDescent="0.2">
      <c r="A282" t="s">
        <v>27</v>
      </c>
      <c r="B282" t="s">
        <v>41</v>
      </c>
      <c r="C282" t="s">
        <v>1407</v>
      </c>
      <c r="D282" t="s">
        <v>9</v>
      </c>
      <c r="E282" t="s">
        <v>3</v>
      </c>
      <c r="F282" t="s">
        <v>1398</v>
      </c>
      <c r="G282" t="s">
        <v>1281</v>
      </c>
      <c r="H282" s="4" t="str">
        <f t="shared" si="78"/>
        <v/>
      </c>
      <c r="I282" s="4" t="str">
        <f>IF(RIGHT(B282,1)="M",IF(AND(H282=1,E282="RFS",D282=INDEX('Station Depth Averages'!$A$3:$B$84,MATCH(B282,'Station Depth Averages'!$A$3:$A$84,0),2)),1,""),IF(AND(H282=1,OR(D282="SYN",D282="SRF",D282="MID")),1,IF(AND(H282=1,OR(E283="FDn",E283="LDn")),1,IF(AND(H282=1,OR(E282="FDn",E282="LDn")),1,""))))</f>
        <v/>
      </c>
      <c r="J282" s="4" t="str">
        <f t="shared" si="79"/>
        <v/>
      </c>
      <c r="K282" s="4" t="str">
        <f t="shared" si="80"/>
        <v/>
      </c>
      <c r="L282" s="4" t="str">
        <f t="shared" si="81"/>
        <v/>
      </c>
      <c r="M282" s="4" t="str">
        <f t="shared" si="82"/>
        <v/>
      </c>
      <c r="N282" s="4" t="str">
        <f t="shared" si="83"/>
        <v/>
      </c>
      <c r="O282" s="4" t="str">
        <f t="shared" si="84"/>
        <v/>
      </c>
      <c r="P282" s="4" t="str">
        <f t="shared" si="85"/>
        <v/>
      </c>
      <c r="Q282" s="4" t="str">
        <f t="shared" si="86"/>
        <v/>
      </c>
      <c r="R282" s="4" t="str">
        <f t="shared" si="87"/>
        <v/>
      </c>
      <c r="S282" s="4" t="str">
        <f t="shared" si="88"/>
        <v/>
      </c>
      <c r="T282" s="4">
        <f t="shared" si="89"/>
        <v>1</v>
      </c>
      <c r="U282">
        <f>IF(VLOOKUP(C282,'QA Table'!$Y$5:$Y$20,1,TRUE)=C282,1,0)</f>
        <v>0</v>
      </c>
      <c r="V282" t="str">
        <f t="shared" si="90"/>
        <v/>
      </c>
      <c r="W282" t="str">
        <f t="shared" si="91"/>
        <v/>
      </c>
      <c r="X282" t="str">
        <f t="shared" si="92"/>
        <v/>
      </c>
      <c r="Y282">
        <f t="shared" si="93"/>
        <v>0</v>
      </c>
      <c r="AA282" t="str">
        <f t="shared" si="94"/>
        <v/>
      </c>
    </row>
    <row r="283" spans="1:27" x14ac:dyDescent="0.2">
      <c r="A283" t="s">
        <v>27</v>
      </c>
      <c r="B283" t="s">
        <v>41</v>
      </c>
      <c r="C283" t="s">
        <v>1408</v>
      </c>
      <c r="D283" t="s">
        <v>10</v>
      </c>
      <c r="E283" t="s">
        <v>3</v>
      </c>
      <c r="F283" t="s">
        <v>1398</v>
      </c>
      <c r="G283" t="s">
        <v>1281</v>
      </c>
      <c r="H283" s="4" t="str">
        <f t="shared" si="78"/>
        <v/>
      </c>
      <c r="I283" s="4" t="str">
        <f>IF(RIGHT(B283,1)="M",IF(AND(H283=1,E283="RFS",D283=INDEX('Station Depth Averages'!$A$3:$B$84,MATCH(B283,'Station Depth Averages'!$A$3:$A$84,0),2)),1,""),IF(AND(H283=1,OR(D283="SYN",D283="SRF",D283="MID")),1,IF(AND(H283=1,OR(E284="FDn",E284="LDn")),1,IF(AND(H283=1,OR(E283="FDn",E283="LDn")),1,""))))</f>
        <v/>
      </c>
      <c r="J283" s="4" t="str">
        <f t="shared" si="79"/>
        <v/>
      </c>
      <c r="K283" s="4" t="str">
        <f t="shared" si="80"/>
        <v/>
      </c>
      <c r="L283" s="4" t="str">
        <f t="shared" si="81"/>
        <v/>
      </c>
      <c r="M283" s="4" t="str">
        <f t="shared" si="82"/>
        <v/>
      </c>
      <c r="N283" s="4" t="str">
        <f t="shared" si="83"/>
        <v/>
      </c>
      <c r="O283" s="4" t="str">
        <f t="shared" si="84"/>
        <v/>
      </c>
      <c r="P283" s="4" t="str">
        <f t="shared" si="85"/>
        <v/>
      </c>
      <c r="Q283" s="4" t="str">
        <f t="shared" si="86"/>
        <v/>
      </c>
      <c r="R283" s="4" t="str">
        <f t="shared" si="87"/>
        <v/>
      </c>
      <c r="S283" s="4" t="str">
        <f t="shared" si="88"/>
        <v/>
      </c>
      <c r="T283" s="4">
        <f t="shared" si="89"/>
        <v>1</v>
      </c>
      <c r="U283">
        <f>IF(VLOOKUP(C283,'QA Table'!$Y$5:$Y$20,1,TRUE)=C283,1,0)</f>
        <v>0</v>
      </c>
      <c r="V283" t="str">
        <f t="shared" si="90"/>
        <v/>
      </c>
      <c r="W283" t="str">
        <f t="shared" si="91"/>
        <v/>
      </c>
      <c r="X283" t="str">
        <f t="shared" si="92"/>
        <v/>
      </c>
      <c r="Y283">
        <f t="shared" si="93"/>
        <v>0</v>
      </c>
      <c r="AA283" t="str">
        <f t="shared" si="94"/>
        <v/>
      </c>
    </row>
    <row r="284" spans="1:27" x14ac:dyDescent="0.2">
      <c r="A284" t="s">
        <v>27</v>
      </c>
      <c r="B284" t="s">
        <v>41</v>
      </c>
      <c r="C284" t="s">
        <v>1409</v>
      </c>
      <c r="D284" t="s">
        <v>1034</v>
      </c>
      <c r="E284" t="s">
        <v>3</v>
      </c>
      <c r="F284" t="s">
        <v>1398</v>
      </c>
      <c r="G284" t="s">
        <v>1281</v>
      </c>
      <c r="H284" s="4" t="str">
        <f t="shared" si="78"/>
        <v/>
      </c>
      <c r="I284" s="4" t="str">
        <f>IF(RIGHT(B284,1)="M",IF(AND(H284=1,E284="RFS",D284=INDEX('Station Depth Averages'!$A$3:$B$84,MATCH(B284,'Station Depth Averages'!$A$3:$A$84,0),2)),1,""),IF(AND(H284=1,OR(D284="SYN",D284="SRF",D284="MID")),1,IF(AND(H284=1,OR(E285="FDn",E285="LDn")),1,IF(AND(H284=1,OR(E284="FDn",E284="LDn")),1,""))))</f>
        <v/>
      </c>
      <c r="J284" s="4" t="str">
        <f t="shared" si="79"/>
        <v/>
      </c>
      <c r="K284" s="4" t="str">
        <f t="shared" si="80"/>
        <v/>
      </c>
      <c r="L284" s="4" t="str">
        <f t="shared" si="81"/>
        <v/>
      </c>
      <c r="M284" s="4" t="str">
        <f t="shared" si="82"/>
        <v/>
      </c>
      <c r="N284" s="4" t="str">
        <f t="shared" si="83"/>
        <v/>
      </c>
      <c r="O284" s="4" t="str">
        <f t="shared" si="84"/>
        <v/>
      </c>
      <c r="P284" s="4" t="str">
        <f t="shared" si="85"/>
        <v/>
      </c>
      <c r="Q284" s="4" t="str">
        <f t="shared" si="86"/>
        <v/>
      </c>
      <c r="R284" s="4" t="str">
        <f t="shared" si="87"/>
        <v/>
      </c>
      <c r="S284" s="4">
        <f t="shared" si="88"/>
        <v>1</v>
      </c>
      <c r="T284" s="4" t="str">
        <f t="shared" si="89"/>
        <v/>
      </c>
      <c r="U284">
        <f>IF(VLOOKUP(C284,'QA Table'!$Y$5:$Y$20,1,TRUE)=C284,1,0)</f>
        <v>0</v>
      </c>
      <c r="V284" t="str">
        <f t="shared" si="90"/>
        <v/>
      </c>
      <c r="W284" t="str">
        <f t="shared" si="91"/>
        <v/>
      </c>
      <c r="X284" t="str">
        <f t="shared" si="92"/>
        <v/>
      </c>
      <c r="Y284">
        <f t="shared" si="93"/>
        <v>0</v>
      </c>
      <c r="AA284" t="str">
        <f t="shared" si="94"/>
        <v/>
      </c>
    </row>
    <row r="285" spans="1:27" x14ac:dyDescent="0.2">
      <c r="A285" t="s">
        <v>27</v>
      </c>
      <c r="B285" t="s">
        <v>41</v>
      </c>
      <c r="C285" t="s">
        <v>1410</v>
      </c>
      <c r="D285" t="s">
        <v>1034</v>
      </c>
      <c r="E285" t="s">
        <v>19</v>
      </c>
      <c r="F285" t="s">
        <v>1398</v>
      </c>
      <c r="G285" t="s">
        <v>1281</v>
      </c>
      <c r="H285" s="4" t="str">
        <f t="shared" si="78"/>
        <v/>
      </c>
      <c r="I285" s="4" t="str">
        <f>IF(RIGHT(B285,1)="M",IF(AND(H285=1,E285="RFS",D285=INDEX('Station Depth Averages'!$A$3:$B$84,MATCH(B285,'Station Depth Averages'!$A$3:$A$84,0),2)),1,""),IF(AND(H285=1,OR(D285="SYN",D285="SRF",D285="MID")),1,IF(AND(H285=1,OR(E286="FDn",E286="LDn")),1,IF(AND(H285=1,OR(E285="FDn",E285="LDn")),1,""))))</f>
        <v/>
      </c>
      <c r="J285" s="4" t="str">
        <f t="shared" si="79"/>
        <v/>
      </c>
      <c r="K285" s="4" t="str">
        <f t="shared" si="80"/>
        <v/>
      </c>
      <c r="L285" s="4" t="str">
        <f t="shared" si="81"/>
        <v/>
      </c>
      <c r="M285" s="4" t="str">
        <f t="shared" si="82"/>
        <v/>
      </c>
      <c r="N285" s="4" t="str">
        <f t="shared" si="83"/>
        <v/>
      </c>
      <c r="O285" s="4" t="str">
        <f t="shared" si="84"/>
        <v/>
      </c>
      <c r="P285" s="4" t="str">
        <f t="shared" si="85"/>
        <v/>
      </c>
      <c r="Q285" s="4" t="str">
        <f t="shared" si="86"/>
        <v/>
      </c>
      <c r="R285" s="4" t="str">
        <f t="shared" si="87"/>
        <v/>
      </c>
      <c r="S285" s="4">
        <f t="shared" si="88"/>
        <v>1</v>
      </c>
      <c r="T285" s="4" t="str">
        <f t="shared" si="89"/>
        <v/>
      </c>
      <c r="U285">
        <f>IF(VLOOKUP(C285,'QA Table'!$Y$5:$Y$20,1,TRUE)=C285,1,0)</f>
        <v>0</v>
      </c>
      <c r="V285" t="str">
        <f t="shared" si="90"/>
        <v/>
      </c>
      <c r="W285" t="str">
        <f t="shared" si="91"/>
        <v/>
      </c>
      <c r="X285" t="str">
        <f t="shared" si="92"/>
        <v/>
      </c>
      <c r="Y285">
        <f t="shared" si="93"/>
        <v>0</v>
      </c>
      <c r="AA285" t="str">
        <f t="shared" si="94"/>
        <v/>
      </c>
    </row>
    <row r="286" spans="1:27" x14ac:dyDescent="0.2">
      <c r="A286" t="s">
        <v>27</v>
      </c>
      <c r="B286" t="s">
        <v>42</v>
      </c>
      <c r="C286" t="s">
        <v>1411</v>
      </c>
      <c r="D286" t="s">
        <v>2</v>
      </c>
      <c r="E286" t="s">
        <v>3</v>
      </c>
      <c r="F286" t="s">
        <v>1412</v>
      </c>
      <c r="G286" t="s">
        <v>1281</v>
      </c>
      <c r="H286" s="4">
        <f t="shared" si="78"/>
        <v>1</v>
      </c>
      <c r="I286" s="4">
        <f>IF(RIGHT(B286,1)="M",IF(AND(H286=1,E286="RFS",D286=INDEX('Station Depth Averages'!$A$3:$B$84,MATCH(B286,'Station Depth Averages'!$A$3:$A$84,0),2)),1,""),IF(AND(H286=1,OR(D286="SYN",D286="SRF",D286="MID")),1,IF(AND(H286=1,OR(E287="FDn",E287="LDn")),1,IF(AND(H286=1,OR(E286="FDn",E286="LDn")),1,""))))</f>
        <v>1</v>
      </c>
      <c r="J286" s="4">
        <f t="shared" si="79"/>
        <v>1</v>
      </c>
      <c r="K286" s="4" t="str">
        <f t="shared" si="80"/>
        <v/>
      </c>
      <c r="L286" s="4" t="str">
        <f t="shared" si="81"/>
        <v/>
      </c>
      <c r="M286" s="4" t="str">
        <f t="shared" si="82"/>
        <v/>
      </c>
      <c r="N286" s="4" t="str">
        <f t="shared" si="83"/>
        <v/>
      </c>
      <c r="O286" s="4" t="str">
        <f t="shared" si="84"/>
        <v/>
      </c>
      <c r="P286" s="4" t="str">
        <f t="shared" si="85"/>
        <v/>
      </c>
      <c r="Q286" s="4" t="str">
        <f t="shared" si="86"/>
        <v/>
      </c>
      <c r="R286" s="4" t="str">
        <f t="shared" si="87"/>
        <v/>
      </c>
      <c r="S286" s="4" t="str">
        <f t="shared" si="88"/>
        <v/>
      </c>
      <c r="T286" s="4" t="str">
        <f t="shared" si="89"/>
        <v/>
      </c>
      <c r="U286">
        <f>IF(VLOOKUP(C286,'QA Table'!$Y$5:$Y$20,1,TRUE)=C286,1,0)</f>
        <v>0</v>
      </c>
      <c r="V286" t="str">
        <f t="shared" si="90"/>
        <v/>
      </c>
      <c r="W286" t="str">
        <f t="shared" si="91"/>
        <v/>
      </c>
      <c r="X286">
        <f t="shared" si="92"/>
        <v>3</v>
      </c>
      <c r="Y286">
        <f t="shared" si="93"/>
        <v>0</v>
      </c>
      <c r="AA286">
        <f t="shared" si="94"/>
        <v>1</v>
      </c>
    </row>
    <row r="287" spans="1:27" x14ac:dyDescent="0.2">
      <c r="A287" t="s">
        <v>27</v>
      </c>
      <c r="B287" t="s">
        <v>42</v>
      </c>
      <c r="C287" t="s">
        <v>1413</v>
      </c>
      <c r="D287" t="s">
        <v>1050</v>
      </c>
      <c r="E287" t="s">
        <v>3</v>
      </c>
      <c r="F287" t="s">
        <v>1412</v>
      </c>
      <c r="G287" t="s">
        <v>1281</v>
      </c>
      <c r="H287" s="4" t="str">
        <f t="shared" si="78"/>
        <v/>
      </c>
      <c r="I287" s="4" t="str">
        <f>IF(RIGHT(B287,1)="M",IF(AND(H287=1,E287="RFS",D287=INDEX('Station Depth Averages'!$A$3:$B$84,MATCH(B287,'Station Depth Averages'!$A$3:$A$84,0),2)),1,""),IF(AND(H287=1,OR(D287="SYN",D287="SRF",D287="MID")),1,IF(AND(H287=1,OR(E288="FDn",E288="LDn")),1,IF(AND(H287=1,OR(E287="FDn",E287="LDn")),1,""))))</f>
        <v/>
      </c>
      <c r="J287" s="4" t="str">
        <f t="shared" si="79"/>
        <v/>
      </c>
      <c r="K287" s="4" t="str">
        <f t="shared" si="80"/>
        <v/>
      </c>
      <c r="L287" s="4" t="str">
        <f t="shared" si="81"/>
        <v/>
      </c>
      <c r="M287" s="4" t="str">
        <f t="shared" si="82"/>
        <v/>
      </c>
      <c r="N287" s="4" t="str">
        <f t="shared" si="83"/>
        <v/>
      </c>
      <c r="O287" s="4" t="str">
        <f t="shared" si="84"/>
        <v/>
      </c>
      <c r="P287" s="4" t="str">
        <f t="shared" si="85"/>
        <v/>
      </c>
      <c r="Q287" s="4" t="str">
        <f t="shared" si="86"/>
        <v/>
      </c>
      <c r="R287" s="4" t="str">
        <f t="shared" si="87"/>
        <v/>
      </c>
      <c r="S287" s="4" t="str">
        <f t="shared" si="88"/>
        <v/>
      </c>
      <c r="T287" s="4" t="str">
        <f t="shared" si="89"/>
        <v/>
      </c>
      <c r="U287">
        <f>IF(VLOOKUP(C287,'QA Table'!$Y$5:$Y$20,1,TRUE)=C287,1,0)</f>
        <v>0</v>
      </c>
      <c r="V287" t="str">
        <f t="shared" si="90"/>
        <v/>
      </c>
      <c r="W287" t="str">
        <f t="shared" si="91"/>
        <v/>
      </c>
      <c r="X287" t="str">
        <f t="shared" si="92"/>
        <v/>
      </c>
      <c r="Y287">
        <f t="shared" si="93"/>
        <v>0</v>
      </c>
      <c r="AA287" t="str">
        <f t="shared" si="94"/>
        <v/>
      </c>
    </row>
    <row r="288" spans="1:27" x14ac:dyDescent="0.2">
      <c r="A288" t="s">
        <v>27</v>
      </c>
      <c r="B288" t="s">
        <v>42</v>
      </c>
      <c r="C288" t="s">
        <v>1414</v>
      </c>
      <c r="D288" t="s">
        <v>4</v>
      </c>
      <c r="E288" t="s">
        <v>3</v>
      </c>
      <c r="F288" t="s">
        <v>1412</v>
      </c>
      <c r="G288" t="s">
        <v>1281</v>
      </c>
      <c r="H288" s="4" t="str">
        <f t="shared" si="78"/>
        <v/>
      </c>
      <c r="I288" s="4" t="str">
        <f>IF(RIGHT(B288,1)="M",IF(AND(H288=1,E288="RFS",D288=INDEX('Station Depth Averages'!$A$3:$B$84,MATCH(B288,'Station Depth Averages'!$A$3:$A$84,0),2)),1,""),IF(AND(H288=1,OR(D288="SYN",D288="SRF",D288="MID")),1,IF(AND(H288=1,OR(E289="FDn",E289="LDn")),1,IF(AND(H288=1,OR(E288="FDn",E288="LDn")),1,""))))</f>
        <v/>
      </c>
      <c r="J288" s="4" t="str">
        <f t="shared" si="79"/>
        <v/>
      </c>
      <c r="K288" s="4" t="str">
        <f t="shared" si="80"/>
        <v/>
      </c>
      <c r="L288" s="4" t="str">
        <f t="shared" si="81"/>
        <v/>
      </c>
      <c r="M288" s="4" t="str">
        <f t="shared" si="82"/>
        <v/>
      </c>
      <c r="N288" s="4" t="str">
        <f t="shared" si="83"/>
        <v/>
      </c>
      <c r="O288" s="4" t="str">
        <f t="shared" si="84"/>
        <v/>
      </c>
      <c r="P288" s="4" t="str">
        <f t="shared" si="85"/>
        <v/>
      </c>
      <c r="Q288" s="4" t="str">
        <f t="shared" si="86"/>
        <v/>
      </c>
      <c r="R288" s="4" t="str">
        <f t="shared" si="87"/>
        <v/>
      </c>
      <c r="S288" s="4" t="str">
        <f t="shared" si="88"/>
        <v/>
      </c>
      <c r="T288" s="4" t="str">
        <f t="shared" si="89"/>
        <v/>
      </c>
      <c r="U288">
        <f>IF(VLOOKUP(C288,'QA Table'!$Y$5:$Y$20,1,TRUE)=C288,1,0)</f>
        <v>0</v>
      </c>
      <c r="V288" t="str">
        <f t="shared" si="90"/>
        <v/>
      </c>
      <c r="W288" t="str">
        <f t="shared" si="91"/>
        <v/>
      </c>
      <c r="X288" t="str">
        <f t="shared" si="92"/>
        <v/>
      </c>
      <c r="Y288">
        <f t="shared" si="93"/>
        <v>0</v>
      </c>
      <c r="AA288" t="str">
        <f t="shared" si="94"/>
        <v/>
      </c>
    </row>
    <row r="289" spans="1:27" x14ac:dyDescent="0.2">
      <c r="A289" t="s">
        <v>27</v>
      </c>
      <c r="B289" t="s">
        <v>42</v>
      </c>
      <c r="C289" t="s">
        <v>1415</v>
      </c>
      <c r="D289" t="s">
        <v>1051</v>
      </c>
      <c r="E289" t="s">
        <v>3</v>
      </c>
      <c r="F289" t="s">
        <v>1412</v>
      </c>
      <c r="G289" t="s">
        <v>1281</v>
      </c>
      <c r="H289" s="4" t="str">
        <f t="shared" si="78"/>
        <v/>
      </c>
      <c r="I289" s="4" t="str">
        <f>IF(RIGHT(B289,1)="M",IF(AND(H289=1,E289="RFS",D289=INDEX('Station Depth Averages'!$A$3:$B$84,MATCH(B289,'Station Depth Averages'!$A$3:$A$84,0),2)),1,""),IF(AND(H289=1,OR(D289="SYN",D289="SRF",D289="MID")),1,IF(AND(H289=1,OR(E290="FDn",E290="LDn")),1,IF(AND(H289=1,OR(E289="FDn",E289="LDn")),1,""))))</f>
        <v/>
      </c>
      <c r="J289" s="4" t="str">
        <f t="shared" si="79"/>
        <v/>
      </c>
      <c r="K289" s="4" t="str">
        <f t="shared" si="80"/>
        <v/>
      </c>
      <c r="L289" s="4" t="str">
        <f t="shared" si="81"/>
        <v/>
      </c>
      <c r="M289" s="4" t="str">
        <f t="shared" si="82"/>
        <v/>
      </c>
      <c r="N289" s="4" t="str">
        <f t="shared" si="83"/>
        <v/>
      </c>
      <c r="O289" s="4" t="str">
        <f t="shared" si="84"/>
        <v/>
      </c>
      <c r="P289" s="4" t="str">
        <f t="shared" si="85"/>
        <v/>
      </c>
      <c r="Q289" s="4" t="str">
        <f t="shared" si="86"/>
        <v/>
      </c>
      <c r="R289" s="4" t="str">
        <f t="shared" si="87"/>
        <v/>
      </c>
      <c r="S289" s="4" t="str">
        <f t="shared" si="88"/>
        <v/>
      </c>
      <c r="T289" s="4" t="str">
        <f t="shared" si="89"/>
        <v/>
      </c>
      <c r="U289">
        <f>IF(VLOOKUP(C289,'QA Table'!$Y$5:$Y$20,1,TRUE)=C289,1,0)</f>
        <v>0</v>
      </c>
      <c r="V289" t="str">
        <f t="shared" si="90"/>
        <v/>
      </c>
      <c r="W289" t="str">
        <f t="shared" si="91"/>
        <v/>
      </c>
      <c r="X289" t="str">
        <f t="shared" si="92"/>
        <v/>
      </c>
      <c r="Y289">
        <f t="shared" si="93"/>
        <v>0</v>
      </c>
      <c r="AA289" t="str">
        <f t="shared" si="94"/>
        <v/>
      </c>
    </row>
    <row r="290" spans="1:27" x14ac:dyDescent="0.2">
      <c r="A290" t="s">
        <v>27</v>
      </c>
      <c r="B290" t="s">
        <v>42</v>
      </c>
      <c r="C290" t="s">
        <v>1416</v>
      </c>
      <c r="D290" t="s">
        <v>119</v>
      </c>
      <c r="E290" t="s">
        <v>3</v>
      </c>
      <c r="F290" t="s">
        <v>1412</v>
      </c>
      <c r="G290" t="s">
        <v>1281</v>
      </c>
      <c r="H290" s="4">
        <f t="shared" si="78"/>
        <v>1</v>
      </c>
      <c r="I290" s="4">
        <f>IF(RIGHT(B290,1)="M",IF(AND(H290=1,E290="RFS",D290=INDEX('Station Depth Averages'!$A$3:$B$84,MATCH(B290,'Station Depth Averages'!$A$3:$A$84,0),2)),1,""),IF(AND(H290=1,OR(D290="SYN",D290="SRF",D290="MID")),1,IF(AND(H290=1,OR(E291="FDn",E291="LDn")),1,IF(AND(H290=1,OR(E290="FDn",E290="LDn")),1,""))))</f>
        <v>1</v>
      </c>
      <c r="J290" s="4">
        <f t="shared" si="79"/>
        <v>1</v>
      </c>
      <c r="K290" s="4" t="str">
        <f t="shared" si="80"/>
        <v/>
      </c>
      <c r="L290" s="4" t="str">
        <f t="shared" si="81"/>
        <v/>
      </c>
      <c r="M290" s="4" t="str">
        <f t="shared" si="82"/>
        <v/>
      </c>
      <c r="N290" s="4" t="str">
        <f t="shared" si="83"/>
        <v/>
      </c>
      <c r="O290" s="4" t="str">
        <f t="shared" si="84"/>
        <v/>
      </c>
      <c r="P290" s="4" t="str">
        <f t="shared" si="85"/>
        <v/>
      </c>
      <c r="Q290" s="4" t="str">
        <f t="shared" si="86"/>
        <v/>
      </c>
      <c r="R290" s="4" t="str">
        <f t="shared" si="87"/>
        <v/>
      </c>
      <c r="S290" s="4" t="str">
        <f t="shared" si="88"/>
        <v/>
      </c>
      <c r="T290" s="4" t="str">
        <f t="shared" si="89"/>
        <v/>
      </c>
      <c r="U290">
        <f>IF(VLOOKUP(C290,'QA Table'!$Y$5:$Y$20,1,TRUE)=C290,1,0)</f>
        <v>0</v>
      </c>
      <c r="V290" t="str">
        <f t="shared" si="90"/>
        <v/>
      </c>
      <c r="W290" t="str">
        <f t="shared" si="91"/>
        <v/>
      </c>
      <c r="X290">
        <f t="shared" si="92"/>
        <v>3</v>
      </c>
      <c r="Y290">
        <f t="shared" si="93"/>
        <v>0</v>
      </c>
      <c r="AA290">
        <f t="shared" si="94"/>
        <v>1</v>
      </c>
    </row>
    <row r="291" spans="1:27" x14ac:dyDescent="0.2">
      <c r="A291" t="s">
        <v>27</v>
      </c>
      <c r="B291" t="s">
        <v>42</v>
      </c>
      <c r="C291" t="s">
        <v>1417</v>
      </c>
      <c r="D291" t="s">
        <v>5</v>
      </c>
      <c r="E291" t="s">
        <v>3</v>
      </c>
      <c r="F291" t="s">
        <v>1412</v>
      </c>
      <c r="G291" t="s">
        <v>1281</v>
      </c>
      <c r="H291" s="4">
        <f t="shared" si="78"/>
        <v>1</v>
      </c>
      <c r="I291" s="4" t="str">
        <f>IF(RIGHT(B291,1)="M",IF(AND(H291=1,E291="RFS",D291=INDEX('Station Depth Averages'!$A$3:$B$84,MATCH(B291,'Station Depth Averages'!$A$3:$A$84,0),2)),1,""),IF(AND(H291=1,OR(D291="SYN",D291="SRF",D291="MID")),1,IF(AND(H291=1,OR(E292="FDn",E292="LDn")),1,IF(AND(H291=1,OR(E291="FDn",E291="LDn")),1,""))))</f>
        <v/>
      </c>
      <c r="J291" s="4">
        <f t="shared" si="79"/>
        <v>1</v>
      </c>
      <c r="K291" s="4" t="str">
        <f t="shared" si="80"/>
        <v/>
      </c>
      <c r="L291" s="4" t="str">
        <f t="shared" si="81"/>
        <v/>
      </c>
      <c r="M291" s="4" t="str">
        <f t="shared" si="82"/>
        <v/>
      </c>
      <c r="N291" s="4" t="str">
        <f t="shared" si="83"/>
        <v/>
      </c>
      <c r="O291" s="4" t="str">
        <f t="shared" si="84"/>
        <v/>
      </c>
      <c r="P291" s="4" t="str">
        <f t="shared" si="85"/>
        <v/>
      </c>
      <c r="Q291" s="4" t="str">
        <f t="shared" si="86"/>
        <v/>
      </c>
      <c r="R291" s="4" t="str">
        <f t="shared" si="87"/>
        <v/>
      </c>
      <c r="S291" s="4" t="str">
        <f t="shared" si="88"/>
        <v/>
      </c>
      <c r="T291" s="4" t="str">
        <f t="shared" si="89"/>
        <v/>
      </c>
      <c r="U291">
        <f>IF(VLOOKUP(C291,'QA Table'!$Y$5:$Y$20,1,TRUE)=C291,1,0)</f>
        <v>0</v>
      </c>
      <c r="V291" t="str">
        <f t="shared" si="90"/>
        <v/>
      </c>
      <c r="W291" t="str">
        <f t="shared" si="91"/>
        <v/>
      </c>
      <c r="X291">
        <f t="shared" si="92"/>
        <v>3</v>
      </c>
      <c r="Y291">
        <f t="shared" si="93"/>
        <v>0</v>
      </c>
      <c r="AA291">
        <f t="shared" si="94"/>
        <v>1</v>
      </c>
    </row>
    <row r="292" spans="1:27" x14ac:dyDescent="0.2">
      <c r="A292" t="s">
        <v>27</v>
      </c>
      <c r="B292" t="s">
        <v>42</v>
      </c>
      <c r="C292" t="s">
        <v>1418</v>
      </c>
      <c r="D292" t="s">
        <v>6</v>
      </c>
      <c r="E292" t="s">
        <v>3</v>
      </c>
      <c r="F292" t="s">
        <v>1412</v>
      </c>
      <c r="G292" t="s">
        <v>1281</v>
      </c>
      <c r="H292" s="4">
        <f t="shared" si="78"/>
        <v>1</v>
      </c>
      <c r="I292" s="4" t="str">
        <f>IF(RIGHT(B292,1)="M",IF(AND(H292=1,E292="RFS",D292=INDEX('Station Depth Averages'!$A$3:$B$84,MATCH(B292,'Station Depth Averages'!$A$3:$A$84,0),2)),1,""),IF(AND(H292=1,OR(D292="SYN",D292="SRF",D292="MID")),1,IF(AND(H292=1,OR(E293="FDn",E293="LDn")),1,IF(AND(H292=1,OR(E292="FDn",E292="LDn")),1,""))))</f>
        <v/>
      </c>
      <c r="J292" s="4">
        <f t="shared" si="79"/>
        <v>1</v>
      </c>
      <c r="K292" s="4" t="str">
        <f t="shared" si="80"/>
        <v/>
      </c>
      <c r="L292" s="4" t="str">
        <f t="shared" si="81"/>
        <v/>
      </c>
      <c r="M292" s="4" t="str">
        <f t="shared" si="82"/>
        <v/>
      </c>
      <c r="N292" s="4" t="str">
        <f t="shared" si="83"/>
        <v/>
      </c>
      <c r="O292" s="4" t="str">
        <f t="shared" si="84"/>
        <v/>
      </c>
      <c r="P292" s="4" t="str">
        <f t="shared" si="85"/>
        <v/>
      </c>
      <c r="Q292" s="4" t="str">
        <f t="shared" si="86"/>
        <v/>
      </c>
      <c r="R292" s="4" t="str">
        <f t="shared" si="87"/>
        <v/>
      </c>
      <c r="S292" s="4" t="str">
        <f t="shared" si="88"/>
        <v/>
      </c>
      <c r="T292" s="4" t="str">
        <f t="shared" si="89"/>
        <v/>
      </c>
      <c r="U292">
        <f>IF(VLOOKUP(C292,'QA Table'!$Y$5:$Y$20,1,TRUE)=C292,1,0)</f>
        <v>0</v>
      </c>
      <c r="V292" t="str">
        <f t="shared" si="90"/>
        <v/>
      </c>
      <c r="W292" t="str">
        <f t="shared" si="91"/>
        <v/>
      </c>
      <c r="X292">
        <f t="shared" si="92"/>
        <v>3</v>
      </c>
      <c r="Y292">
        <f t="shared" si="93"/>
        <v>0</v>
      </c>
      <c r="AA292">
        <f t="shared" si="94"/>
        <v>1</v>
      </c>
    </row>
    <row r="293" spans="1:27" x14ac:dyDescent="0.2">
      <c r="A293" t="s">
        <v>27</v>
      </c>
      <c r="B293" t="s">
        <v>42</v>
      </c>
      <c r="C293" t="s">
        <v>1419</v>
      </c>
      <c r="D293" t="s">
        <v>8</v>
      </c>
      <c r="E293" t="s">
        <v>3</v>
      </c>
      <c r="F293" t="s">
        <v>1412</v>
      </c>
      <c r="G293" t="s">
        <v>1281</v>
      </c>
      <c r="H293" s="4">
        <f t="shared" si="78"/>
        <v>1</v>
      </c>
      <c r="I293" s="4" t="str">
        <f>IF(RIGHT(B293,1)="M",IF(AND(H293=1,E293="RFS",D293=INDEX('Station Depth Averages'!$A$3:$B$84,MATCH(B293,'Station Depth Averages'!$A$3:$A$84,0),2)),1,""),IF(AND(H293=1,OR(D293="SYN",D293="SRF",D293="MID")),1,IF(AND(H293=1,OR(E294="FDn",E294="LDn")),1,IF(AND(H293=1,OR(E293="FDn",E293="LDn")),1,""))))</f>
        <v/>
      </c>
      <c r="J293" s="4" t="str">
        <f t="shared" si="79"/>
        <v/>
      </c>
      <c r="K293" s="4">
        <f t="shared" si="80"/>
        <v>1</v>
      </c>
      <c r="L293" s="4" t="str">
        <f t="shared" si="81"/>
        <v/>
      </c>
      <c r="M293" s="4" t="str">
        <f t="shared" si="82"/>
        <v/>
      </c>
      <c r="N293" s="4" t="str">
        <f t="shared" si="83"/>
        <v/>
      </c>
      <c r="O293" s="4" t="str">
        <f t="shared" si="84"/>
        <v/>
      </c>
      <c r="P293" s="4" t="str">
        <f t="shared" si="85"/>
        <v/>
      </c>
      <c r="Q293" s="4">
        <f t="shared" si="86"/>
        <v>2</v>
      </c>
      <c r="R293" s="4" t="str">
        <f t="shared" si="87"/>
        <v/>
      </c>
      <c r="S293" s="4" t="str">
        <f t="shared" si="88"/>
        <v/>
      </c>
      <c r="T293" s="4" t="str">
        <f t="shared" si="89"/>
        <v/>
      </c>
      <c r="U293">
        <f>IF(VLOOKUP(C293,'QA Table'!$Y$5:$Y$20,1,TRUE)=C293,1,0)</f>
        <v>0</v>
      </c>
      <c r="V293" t="str">
        <f t="shared" si="90"/>
        <v/>
      </c>
      <c r="W293" t="str">
        <f t="shared" si="91"/>
        <v/>
      </c>
      <c r="X293">
        <f t="shared" si="92"/>
        <v>3</v>
      </c>
      <c r="Y293">
        <f t="shared" si="93"/>
        <v>0</v>
      </c>
      <c r="AA293">
        <f t="shared" si="94"/>
        <v>1</v>
      </c>
    </row>
    <row r="294" spans="1:27" x14ac:dyDescent="0.2">
      <c r="A294" t="s">
        <v>27</v>
      </c>
      <c r="B294" t="s">
        <v>42</v>
      </c>
      <c r="C294" t="s">
        <v>1420</v>
      </c>
      <c r="D294" t="s">
        <v>9</v>
      </c>
      <c r="E294" t="s">
        <v>3</v>
      </c>
      <c r="F294" t="s">
        <v>1412</v>
      </c>
      <c r="G294" t="s">
        <v>1281</v>
      </c>
      <c r="H294" s="4" t="str">
        <f t="shared" si="78"/>
        <v/>
      </c>
      <c r="I294" s="4" t="str">
        <f>IF(RIGHT(B294,1)="M",IF(AND(H294=1,E294="RFS",D294=INDEX('Station Depth Averages'!$A$3:$B$84,MATCH(B294,'Station Depth Averages'!$A$3:$A$84,0),2)),1,""),IF(AND(H294=1,OR(D294="SYN",D294="SRF",D294="MID")),1,IF(AND(H294=1,OR(E295="FDn",E295="LDn")),1,IF(AND(H294=1,OR(E294="FDn",E294="LDn")),1,""))))</f>
        <v/>
      </c>
      <c r="J294" s="4" t="str">
        <f t="shared" si="79"/>
        <v/>
      </c>
      <c r="K294" s="4" t="str">
        <f t="shared" si="80"/>
        <v/>
      </c>
      <c r="L294" s="4" t="str">
        <f t="shared" si="81"/>
        <v/>
      </c>
      <c r="M294" s="4" t="str">
        <f t="shared" si="82"/>
        <v/>
      </c>
      <c r="N294" s="4" t="str">
        <f t="shared" si="83"/>
        <v/>
      </c>
      <c r="O294" s="4" t="str">
        <f t="shared" si="84"/>
        <v/>
      </c>
      <c r="P294" s="4" t="str">
        <f t="shared" si="85"/>
        <v/>
      </c>
      <c r="Q294" s="4" t="str">
        <f t="shared" si="86"/>
        <v/>
      </c>
      <c r="R294" s="4" t="str">
        <f t="shared" si="87"/>
        <v/>
      </c>
      <c r="S294" s="4" t="str">
        <f t="shared" si="88"/>
        <v/>
      </c>
      <c r="T294" s="4">
        <f t="shared" si="89"/>
        <v>1</v>
      </c>
      <c r="U294">
        <f>IF(VLOOKUP(C294,'QA Table'!$Y$5:$Y$20,1,TRUE)=C294,1,0)</f>
        <v>0</v>
      </c>
      <c r="V294" t="str">
        <f t="shared" si="90"/>
        <v/>
      </c>
      <c r="W294" t="str">
        <f t="shared" si="91"/>
        <v/>
      </c>
      <c r="X294" t="str">
        <f t="shared" si="92"/>
        <v/>
      </c>
      <c r="Y294">
        <f t="shared" si="93"/>
        <v>0</v>
      </c>
      <c r="AA294" t="str">
        <f t="shared" si="94"/>
        <v/>
      </c>
    </row>
    <row r="295" spans="1:27" x14ac:dyDescent="0.2">
      <c r="A295" t="s">
        <v>27</v>
      </c>
      <c r="B295" t="s">
        <v>42</v>
      </c>
      <c r="C295" t="s">
        <v>1421</v>
      </c>
      <c r="D295" t="s">
        <v>10</v>
      </c>
      <c r="E295" t="s">
        <v>3</v>
      </c>
      <c r="F295" t="s">
        <v>1412</v>
      </c>
      <c r="G295" t="s">
        <v>1281</v>
      </c>
      <c r="H295" s="4" t="str">
        <f t="shared" si="78"/>
        <v/>
      </c>
      <c r="I295" s="4" t="str">
        <f>IF(RIGHT(B295,1)="M",IF(AND(H295=1,E295="RFS",D295=INDEX('Station Depth Averages'!$A$3:$B$84,MATCH(B295,'Station Depth Averages'!$A$3:$A$84,0),2)),1,""),IF(AND(H295=1,OR(D295="SYN",D295="SRF",D295="MID")),1,IF(AND(H295=1,OR(E296="FDn",E296="LDn")),1,IF(AND(H295=1,OR(E295="FDn",E295="LDn")),1,""))))</f>
        <v/>
      </c>
      <c r="J295" s="4" t="str">
        <f t="shared" si="79"/>
        <v/>
      </c>
      <c r="K295" s="4" t="str">
        <f t="shared" si="80"/>
        <v/>
      </c>
      <c r="L295" s="4" t="str">
        <f t="shared" si="81"/>
        <v/>
      </c>
      <c r="M295" s="4" t="str">
        <f t="shared" si="82"/>
        <v/>
      </c>
      <c r="N295" s="4" t="str">
        <f t="shared" si="83"/>
        <v/>
      </c>
      <c r="O295" s="4" t="str">
        <f t="shared" si="84"/>
        <v/>
      </c>
      <c r="P295" s="4" t="str">
        <f t="shared" si="85"/>
        <v/>
      </c>
      <c r="Q295" s="4" t="str">
        <f t="shared" si="86"/>
        <v/>
      </c>
      <c r="R295" s="4" t="str">
        <f t="shared" si="87"/>
        <v/>
      </c>
      <c r="S295" s="4" t="str">
        <f t="shared" si="88"/>
        <v/>
      </c>
      <c r="T295" s="4">
        <f t="shared" si="89"/>
        <v>1</v>
      </c>
      <c r="U295">
        <f>IF(VLOOKUP(C295,'QA Table'!$Y$5:$Y$20,1,TRUE)=C295,1,0)</f>
        <v>0</v>
      </c>
      <c r="V295" t="str">
        <f t="shared" si="90"/>
        <v/>
      </c>
      <c r="W295" t="str">
        <f t="shared" si="91"/>
        <v/>
      </c>
      <c r="X295" t="str">
        <f t="shared" si="92"/>
        <v/>
      </c>
      <c r="Y295">
        <f t="shared" si="93"/>
        <v>0</v>
      </c>
      <c r="AA295" t="str">
        <f t="shared" si="94"/>
        <v/>
      </c>
    </row>
    <row r="296" spans="1:27" x14ac:dyDescent="0.2">
      <c r="A296" t="s">
        <v>27</v>
      </c>
      <c r="B296" t="s">
        <v>42</v>
      </c>
      <c r="C296" t="s">
        <v>1422</v>
      </c>
      <c r="D296" t="s">
        <v>1034</v>
      </c>
      <c r="E296" t="s">
        <v>3</v>
      </c>
      <c r="F296" t="s">
        <v>1412</v>
      </c>
      <c r="G296" t="s">
        <v>1281</v>
      </c>
      <c r="H296" s="4" t="str">
        <f t="shared" si="78"/>
        <v/>
      </c>
      <c r="I296" s="4" t="str">
        <f>IF(RIGHT(B296,1)="M",IF(AND(H296=1,E296="RFS",D296=INDEX('Station Depth Averages'!$A$3:$B$84,MATCH(B296,'Station Depth Averages'!$A$3:$A$84,0),2)),1,""),IF(AND(H296=1,OR(D296="SYN",D296="SRF",D296="MID")),1,IF(AND(H296=1,OR(E297="FDn",E297="LDn")),1,IF(AND(H296=1,OR(E296="FDn",E296="LDn")),1,""))))</f>
        <v/>
      </c>
      <c r="J296" s="4" t="str">
        <f t="shared" si="79"/>
        <v/>
      </c>
      <c r="K296" s="4" t="str">
        <f t="shared" si="80"/>
        <v/>
      </c>
      <c r="L296" s="4" t="str">
        <f t="shared" si="81"/>
        <v/>
      </c>
      <c r="M296" s="4" t="str">
        <f t="shared" si="82"/>
        <v/>
      </c>
      <c r="N296" s="4" t="str">
        <f t="shared" si="83"/>
        <v/>
      </c>
      <c r="O296" s="4" t="str">
        <f t="shared" si="84"/>
        <v/>
      </c>
      <c r="P296" s="4" t="str">
        <f t="shared" si="85"/>
        <v/>
      </c>
      <c r="Q296" s="4" t="str">
        <f t="shared" si="86"/>
        <v/>
      </c>
      <c r="R296" s="4" t="str">
        <f t="shared" si="87"/>
        <v/>
      </c>
      <c r="S296" s="4">
        <f t="shared" si="88"/>
        <v>1</v>
      </c>
      <c r="T296" s="4" t="str">
        <f t="shared" si="89"/>
        <v/>
      </c>
      <c r="U296">
        <f>IF(VLOOKUP(C296,'QA Table'!$Y$5:$Y$20,1,TRUE)=C296,1,0)</f>
        <v>0</v>
      </c>
      <c r="V296" t="str">
        <f t="shared" si="90"/>
        <v/>
      </c>
      <c r="W296" t="str">
        <f t="shared" si="91"/>
        <v/>
      </c>
      <c r="X296" t="str">
        <f t="shared" si="92"/>
        <v/>
      </c>
      <c r="Y296">
        <f t="shared" si="93"/>
        <v>0</v>
      </c>
      <c r="AA296" t="str">
        <f t="shared" si="94"/>
        <v/>
      </c>
    </row>
    <row r="297" spans="1:27" x14ac:dyDescent="0.2">
      <c r="A297" t="s">
        <v>27</v>
      </c>
      <c r="B297" t="s">
        <v>42</v>
      </c>
      <c r="C297" t="s">
        <v>1423</v>
      </c>
      <c r="D297" t="s">
        <v>1034</v>
      </c>
      <c r="E297" t="s">
        <v>19</v>
      </c>
      <c r="F297" t="s">
        <v>1412</v>
      </c>
      <c r="G297" t="s">
        <v>1281</v>
      </c>
      <c r="H297" s="4" t="str">
        <f t="shared" si="78"/>
        <v/>
      </c>
      <c r="I297" s="4" t="str">
        <f>IF(RIGHT(B297,1)="M",IF(AND(H297=1,E297="RFS",D297=INDEX('Station Depth Averages'!$A$3:$B$84,MATCH(B297,'Station Depth Averages'!$A$3:$A$84,0),2)),1,""),IF(AND(H297=1,OR(D297="SYN",D297="SRF",D297="MID")),1,IF(AND(H297=1,OR(E298="FDn",E298="LDn")),1,IF(AND(H297=1,OR(E297="FDn",E297="LDn")),1,""))))</f>
        <v/>
      </c>
      <c r="J297" s="4" t="str">
        <f t="shared" si="79"/>
        <v/>
      </c>
      <c r="K297" s="4" t="str">
        <f t="shared" si="80"/>
        <v/>
      </c>
      <c r="L297" s="4" t="str">
        <f t="shared" si="81"/>
        <v/>
      </c>
      <c r="M297" s="4" t="str">
        <f t="shared" si="82"/>
        <v/>
      </c>
      <c r="N297" s="4" t="str">
        <f t="shared" si="83"/>
        <v/>
      </c>
      <c r="O297" s="4" t="str">
        <f t="shared" si="84"/>
        <v/>
      </c>
      <c r="P297" s="4" t="str">
        <f t="shared" si="85"/>
        <v/>
      </c>
      <c r="Q297" s="4" t="str">
        <f t="shared" si="86"/>
        <v/>
      </c>
      <c r="R297" s="4" t="str">
        <f t="shared" si="87"/>
        <v/>
      </c>
      <c r="S297" s="4">
        <f t="shared" si="88"/>
        <v>1</v>
      </c>
      <c r="T297" s="4" t="str">
        <f t="shared" si="89"/>
        <v/>
      </c>
      <c r="U297">
        <f>IF(VLOOKUP(C297,'QA Table'!$Y$5:$Y$20,1,TRUE)=C297,1,0)</f>
        <v>0</v>
      </c>
      <c r="V297" t="str">
        <f t="shared" si="90"/>
        <v/>
      </c>
      <c r="W297" t="str">
        <f t="shared" si="91"/>
        <v/>
      </c>
      <c r="X297" t="str">
        <f t="shared" si="92"/>
        <v/>
      </c>
      <c r="Y297">
        <f t="shared" si="93"/>
        <v>0</v>
      </c>
      <c r="AA297" t="str">
        <f t="shared" si="94"/>
        <v/>
      </c>
    </row>
    <row r="298" spans="1:27" x14ac:dyDescent="0.2">
      <c r="A298" t="s">
        <v>27</v>
      </c>
      <c r="B298" t="s">
        <v>43</v>
      </c>
      <c r="C298" t="s">
        <v>1094</v>
      </c>
      <c r="D298" t="s">
        <v>2</v>
      </c>
      <c r="E298" t="s">
        <v>3</v>
      </c>
      <c r="F298" t="s">
        <v>1424</v>
      </c>
      <c r="G298" t="s">
        <v>1281</v>
      </c>
      <c r="H298" s="4">
        <f t="shared" si="78"/>
        <v>1</v>
      </c>
      <c r="I298" s="4">
        <f>IF(RIGHT(B298,1)="M",IF(AND(H298=1,E298="RFS",D298=INDEX('Station Depth Averages'!$A$3:$B$84,MATCH(B298,'Station Depth Averages'!$A$3:$A$84,0),2)),1,""),IF(AND(H298=1,OR(D298="SYN",D298="SRF",D298="MID")),1,IF(AND(H298=1,OR(E299="FDn",E299="LDn")),1,IF(AND(H298=1,OR(E298="FDn",E298="LDn")),1,""))))</f>
        <v>1</v>
      </c>
      <c r="J298" s="4">
        <f t="shared" si="79"/>
        <v>1</v>
      </c>
      <c r="K298" s="4" t="str">
        <f t="shared" si="80"/>
        <v/>
      </c>
      <c r="L298" s="4" t="str">
        <f t="shared" si="81"/>
        <v/>
      </c>
      <c r="M298" s="4" t="str">
        <f t="shared" si="82"/>
        <v/>
      </c>
      <c r="N298" s="4" t="str">
        <f t="shared" si="83"/>
        <v/>
      </c>
      <c r="O298" s="4" t="str">
        <f t="shared" si="84"/>
        <v/>
      </c>
      <c r="P298" s="4" t="str">
        <f t="shared" si="85"/>
        <v/>
      </c>
      <c r="Q298" s="4" t="str">
        <f t="shared" si="86"/>
        <v/>
      </c>
      <c r="R298" s="4" t="str">
        <f t="shared" si="87"/>
        <v/>
      </c>
      <c r="S298" s="4" t="str">
        <f t="shared" si="88"/>
        <v/>
      </c>
      <c r="T298" s="4" t="str">
        <f t="shared" si="89"/>
        <v/>
      </c>
      <c r="U298">
        <f>IF(VLOOKUP(C298,'QA Table'!$Y$5:$Y$20,1,TRUE)=C298,1,0)</f>
        <v>0</v>
      </c>
      <c r="V298" t="str">
        <f t="shared" si="90"/>
        <v/>
      </c>
      <c r="W298" t="str">
        <f t="shared" si="91"/>
        <v/>
      </c>
      <c r="X298">
        <f t="shared" si="92"/>
        <v>3</v>
      </c>
      <c r="Y298">
        <f t="shared" si="93"/>
        <v>0</v>
      </c>
      <c r="AA298">
        <f t="shared" si="94"/>
        <v>1</v>
      </c>
    </row>
    <row r="299" spans="1:27" x14ac:dyDescent="0.2">
      <c r="A299" t="s">
        <v>27</v>
      </c>
      <c r="B299" t="s">
        <v>43</v>
      </c>
      <c r="C299" t="s">
        <v>1425</v>
      </c>
      <c r="D299" t="s">
        <v>2</v>
      </c>
      <c r="E299" t="s">
        <v>12</v>
      </c>
      <c r="F299" t="s">
        <v>1424</v>
      </c>
      <c r="G299" t="s">
        <v>1281</v>
      </c>
      <c r="H299" s="4">
        <f t="shared" si="78"/>
        <v>1</v>
      </c>
      <c r="I299" s="4">
        <f>IF(RIGHT(B299,1)="M",IF(AND(H299=1,E299="RFS",D299=INDEX('Station Depth Averages'!$A$3:$B$84,MATCH(B299,'Station Depth Averages'!$A$3:$A$84,0),2)),1,""),IF(AND(H299=1,OR(D299="SYN",D299="SRF",D299="MID")),1,IF(AND(H299=1,OR(E300="FDn",E300="LDn")),1,IF(AND(H299=1,OR(E299="FDn",E299="LDn")),1,""))))</f>
        <v>1</v>
      </c>
      <c r="J299" s="4" t="str">
        <f t="shared" si="79"/>
        <v/>
      </c>
      <c r="K299" s="4" t="str">
        <f t="shared" si="80"/>
        <v/>
      </c>
      <c r="L299" s="4" t="str">
        <f t="shared" si="81"/>
        <v/>
      </c>
      <c r="M299" s="4" t="str">
        <f t="shared" si="82"/>
        <v/>
      </c>
      <c r="N299" s="4" t="str">
        <f t="shared" si="83"/>
        <v/>
      </c>
      <c r="O299" s="4" t="str">
        <f t="shared" si="84"/>
        <v/>
      </c>
      <c r="P299" s="4" t="str">
        <f t="shared" si="85"/>
        <v/>
      </c>
      <c r="Q299" s="4" t="str">
        <f t="shared" si="86"/>
        <v/>
      </c>
      <c r="R299" s="4" t="str">
        <f t="shared" si="87"/>
        <v/>
      </c>
      <c r="S299" s="4" t="str">
        <f t="shared" si="88"/>
        <v/>
      </c>
      <c r="T299" s="4" t="str">
        <f t="shared" si="89"/>
        <v/>
      </c>
      <c r="U299">
        <f>IF(VLOOKUP(C299,'QA Table'!$Y$5:$Y$20,1,TRUE)=C299,1,0)</f>
        <v>0</v>
      </c>
      <c r="V299" t="str">
        <f t="shared" si="90"/>
        <v/>
      </c>
      <c r="W299" t="str">
        <f t="shared" si="91"/>
        <v/>
      </c>
      <c r="X299">
        <f t="shared" si="92"/>
        <v>3</v>
      </c>
      <c r="Y299">
        <f t="shared" si="93"/>
        <v>0</v>
      </c>
      <c r="AA299">
        <f t="shared" si="94"/>
        <v>1</v>
      </c>
    </row>
    <row r="300" spans="1:27" x14ac:dyDescent="0.2">
      <c r="A300" t="s">
        <v>27</v>
      </c>
      <c r="B300" t="s">
        <v>43</v>
      </c>
      <c r="C300" t="s">
        <v>1426</v>
      </c>
      <c r="D300" t="s">
        <v>1050</v>
      </c>
      <c r="E300" t="s">
        <v>3</v>
      </c>
      <c r="F300" t="s">
        <v>1424</v>
      </c>
      <c r="G300" t="s">
        <v>1281</v>
      </c>
      <c r="H300" s="4" t="str">
        <f t="shared" si="78"/>
        <v/>
      </c>
      <c r="I300" s="4" t="str">
        <f>IF(RIGHT(B300,1)="M",IF(AND(H300=1,E300="RFS",D300=INDEX('Station Depth Averages'!$A$3:$B$84,MATCH(B300,'Station Depth Averages'!$A$3:$A$84,0),2)),1,""),IF(AND(H300=1,OR(D300="SYN",D300="SRF",D300="MID")),1,IF(AND(H300=1,OR(E301="FDn",E301="LDn")),1,IF(AND(H300=1,OR(E300="FDn",E300="LDn")),1,""))))</f>
        <v/>
      </c>
      <c r="J300" s="4" t="str">
        <f t="shared" si="79"/>
        <v/>
      </c>
      <c r="K300" s="4" t="str">
        <f t="shared" si="80"/>
        <v/>
      </c>
      <c r="L300" s="4" t="str">
        <f t="shared" si="81"/>
        <v/>
      </c>
      <c r="M300" s="4" t="str">
        <f t="shared" si="82"/>
        <v/>
      </c>
      <c r="N300" s="4" t="str">
        <f t="shared" si="83"/>
        <v/>
      </c>
      <c r="O300" s="4" t="str">
        <f t="shared" si="84"/>
        <v/>
      </c>
      <c r="P300" s="4" t="str">
        <f t="shared" si="85"/>
        <v/>
      </c>
      <c r="Q300" s="4" t="str">
        <f t="shared" si="86"/>
        <v/>
      </c>
      <c r="R300" s="4" t="str">
        <f t="shared" si="87"/>
        <v/>
      </c>
      <c r="S300" s="4" t="str">
        <f t="shared" si="88"/>
        <v/>
      </c>
      <c r="T300" s="4" t="str">
        <f t="shared" si="89"/>
        <v/>
      </c>
      <c r="U300">
        <f>IF(VLOOKUP(C300,'QA Table'!$Y$5:$Y$20,1,TRUE)=C300,1,0)</f>
        <v>0</v>
      </c>
      <c r="V300" t="str">
        <f t="shared" si="90"/>
        <v/>
      </c>
      <c r="W300" t="str">
        <f t="shared" si="91"/>
        <v/>
      </c>
      <c r="X300" t="str">
        <f t="shared" si="92"/>
        <v/>
      </c>
      <c r="Y300">
        <f t="shared" si="93"/>
        <v>0</v>
      </c>
      <c r="AA300" t="str">
        <f t="shared" si="94"/>
        <v/>
      </c>
    </row>
    <row r="301" spans="1:27" x14ac:dyDescent="0.2">
      <c r="A301" t="s">
        <v>27</v>
      </c>
      <c r="B301" t="s">
        <v>43</v>
      </c>
      <c r="C301" t="s">
        <v>1427</v>
      </c>
      <c r="D301" t="s">
        <v>4</v>
      </c>
      <c r="E301" t="s">
        <v>3</v>
      </c>
      <c r="F301" t="s">
        <v>1424</v>
      </c>
      <c r="G301" t="s">
        <v>1281</v>
      </c>
      <c r="H301" s="4" t="str">
        <f t="shared" si="78"/>
        <v/>
      </c>
      <c r="I301" s="4" t="str">
        <f>IF(RIGHT(B301,1)="M",IF(AND(H301=1,E301="RFS",D301=INDEX('Station Depth Averages'!$A$3:$B$84,MATCH(B301,'Station Depth Averages'!$A$3:$A$84,0),2)),1,""),IF(AND(H301=1,OR(D301="SYN",D301="SRF",D301="MID")),1,IF(AND(H301=1,OR(E302="FDn",E302="LDn")),1,IF(AND(H301=1,OR(E301="FDn",E301="LDn")),1,""))))</f>
        <v/>
      </c>
      <c r="J301" s="4" t="str">
        <f t="shared" si="79"/>
        <v/>
      </c>
      <c r="K301" s="4" t="str">
        <f t="shared" si="80"/>
        <v/>
      </c>
      <c r="L301" s="4" t="str">
        <f t="shared" si="81"/>
        <v/>
      </c>
      <c r="M301" s="4" t="str">
        <f t="shared" si="82"/>
        <v/>
      </c>
      <c r="N301" s="4" t="str">
        <f t="shared" si="83"/>
        <v/>
      </c>
      <c r="O301" s="4" t="str">
        <f t="shared" si="84"/>
        <v/>
      </c>
      <c r="P301" s="4" t="str">
        <f t="shared" si="85"/>
        <v/>
      </c>
      <c r="Q301" s="4" t="str">
        <f t="shared" si="86"/>
        <v/>
      </c>
      <c r="R301" s="4" t="str">
        <f t="shared" si="87"/>
        <v/>
      </c>
      <c r="S301" s="4" t="str">
        <f t="shared" si="88"/>
        <v/>
      </c>
      <c r="T301" s="4" t="str">
        <f t="shared" si="89"/>
        <v/>
      </c>
      <c r="U301">
        <f>IF(VLOOKUP(C301,'QA Table'!$Y$5:$Y$20,1,TRUE)=C301,1,0)</f>
        <v>0</v>
      </c>
      <c r="V301" t="str">
        <f t="shared" si="90"/>
        <v/>
      </c>
      <c r="W301" t="str">
        <f t="shared" si="91"/>
        <v/>
      </c>
      <c r="X301" t="str">
        <f t="shared" si="92"/>
        <v/>
      </c>
      <c r="Y301">
        <f t="shared" si="93"/>
        <v>0</v>
      </c>
      <c r="AA301" t="str">
        <f t="shared" si="94"/>
        <v/>
      </c>
    </row>
    <row r="302" spans="1:27" x14ac:dyDescent="0.2">
      <c r="A302" t="s">
        <v>27</v>
      </c>
      <c r="B302" t="s">
        <v>43</v>
      </c>
      <c r="C302" t="s">
        <v>1428</v>
      </c>
      <c r="D302" t="s">
        <v>1051</v>
      </c>
      <c r="E302" t="s">
        <v>3</v>
      </c>
      <c r="F302" t="s">
        <v>1424</v>
      </c>
      <c r="G302" t="s">
        <v>1281</v>
      </c>
      <c r="H302" s="4" t="str">
        <f t="shared" si="78"/>
        <v/>
      </c>
      <c r="I302" s="4" t="str">
        <f>IF(RIGHT(B302,1)="M",IF(AND(H302=1,E302="RFS",D302=INDEX('Station Depth Averages'!$A$3:$B$84,MATCH(B302,'Station Depth Averages'!$A$3:$A$84,0),2)),1,""),IF(AND(H302=1,OR(D302="SYN",D302="SRF",D302="MID")),1,IF(AND(H302=1,OR(E303="FDn",E303="LDn")),1,IF(AND(H302=1,OR(E302="FDn",E302="LDn")),1,""))))</f>
        <v/>
      </c>
      <c r="J302" s="4" t="str">
        <f t="shared" si="79"/>
        <v/>
      </c>
      <c r="K302" s="4" t="str">
        <f t="shared" si="80"/>
        <v/>
      </c>
      <c r="L302" s="4" t="str">
        <f t="shared" si="81"/>
        <v/>
      </c>
      <c r="M302" s="4" t="str">
        <f t="shared" si="82"/>
        <v/>
      </c>
      <c r="N302" s="4" t="str">
        <f t="shared" si="83"/>
        <v/>
      </c>
      <c r="O302" s="4" t="str">
        <f t="shared" si="84"/>
        <v/>
      </c>
      <c r="P302" s="4" t="str">
        <f t="shared" si="85"/>
        <v/>
      </c>
      <c r="Q302" s="4" t="str">
        <f t="shared" si="86"/>
        <v/>
      </c>
      <c r="R302" s="4" t="str">
        <f t="shared" si="87"/>
        <v/>
      </c>
      <c r="S302" s="4" t="str">
        <f t="shared" si="88"/>
        <v/>
      </c>
      <c r="T302" s="4" t="str">
        <f t="shared" si="89"/>
        <v/>
      </c>
      <c r="U302">
        <f>IF(VLOOKUP(C302,'QA Table'!$Y$5:$Y$20,1,TRUE)=C302,1,0)</f>
        <v>0</v>
      </c>
      <c r="V302" t="str">
        <f t="shared" si="90"/>
        <v/>
      </c>
      <c r="W302" t="str">
        <f t="shared" si="91"/>
        <v/>
      </c>
      <c r="X302" t="str">
        <f t="shared" si="92"/>
        <v/>
      </c>
      <c r="Y302">
        <f t="shared" si="93"/>
        <v>0</v>
      </c>
      <c r="AA302" t="str">
        <f t="shared" si="94"/>
        <v/>
      </c>
    </row>
    <row r="303" spans="1:27" x14ac:dyDescent="0.2">
      <c r="A303" t="s">
        <v>27</v>
      </c>
      <c r="B303" t="s">
        <v>43</v>
      </c>
      <c r="C303" t="s">
        <v>1429</v>
      </c>
      <c r="D303" t="s">
        <v>119</v>
      </c>
      <c r="E303" t="s">
        <v>3</v>
      </c>
      <c r="F303" t="s">
        <v>1424</v>
      </c>
      <c r="G303" t="s">
        <v>1281</v>
      </c>
      <c r="H303" s="4">
        <f t="shared" si="78"/>
        <v>1</v>
      </c>
      <c r="I303" s="4">
        <f>IF(RIGHT(B303,1)="M",IF(AND(H303=1,E303="RFS",D303=INDEX('Station Depth Averages'!$A$3:$B$84,MATCH(B303,'Station Depth Averages'!$A$3:$A$84,0),2)),1,""),IF(AND(H303=1,OR(D303="SYN",D303="SRF",D303="MID")),1,IF(AND(H303=1,OR(E304="FDn",E304="LDn")),1,IF(AND(H303=1,OR(E303="FDn",E303="LDn")),1,""))))</f>
        <v>1</v>
      </c>
      <c r="J303" s="4">
        <f t="shared" si="79"/>
        <v>1</v>
      </c>
      <c r="K303" s="4" t="str">
        <f t="shared" si="80"/>
        <v/>
      </c>
      <c r="L303" s="4" t="str">
        <f t="shared" si="81"/>
        <v/>
      </c>
      <c r="M303" s="4" t="str">
        <f t="shared" si="82"/>
        <v/>
      </c>
      <c r="N303" s="4" t="str">
        <f t="shared" si="83"/>
        <v/>
      </c>
      <c r="O303" s="4" t="str">
        <f t="shared" si="84"/>
        <v/>
      </c>
      <c r="P303" s="4" t="str">
        <f t="shared" si="85"/>
        <v/>
      </c>
      <c r="Q303" s="4" t="str">
        <f t="shared" si="86"/>
        <v/>
      </c>
      <c r="R303" s="4" t="str">
        <f t="shared" si="87"/>
        <v/>
      </c>
      <c r="S303" s="4" t="str">
        <f t="shared" si="88"/>
        <v/>
      </c>
      <c r="T303" s="4" t="str">
        <f t="shared" si="89"/>
        <v/>
      </c>
      <c r="U303">
        <f>IF(VLOOKUP(C303,'QA Table'!$Y$5:$Y$20,1,TRUE)=C303,1,0)</f>
        <v>0</v>
      </c>
      <c r="V303" t="str">
        <f t="shared" si="90"/>
        <v/>
      </c>
      <c r="W303" t="str">
        <f t="shared" si="91"/>
        <v/>
      </c>
      <c r="X303">
        <f t="shared" si="92"/>
        <v>3</v>
      </c>
      <c r="Y303">
        <f t="shared" si="93"/>
        <v>0</v>
      </c>
      <c r="AA303">
        <f t="shared" si="94"/>
        <v>1</v>
      </c>
    </row>
    <row r="304" spans="1:27" x14ac:dyDescent="0.2">
      <c r="A304" t="s">
        <v>27</v>
      </c>
      <c r="B304" t="s">
        <v>43</v>
      </c>
      <c r="C304" t="s">
        <v>1095</v>
      </c>
      <c r="D304" t="s">
        <v>5</v>
      </c>
      <c r="E304" t="s">
        <v>3</v>
      </c>
      <c r="F304" t="s">
        <v>1424</v>
      </c>
      <c r="G304" t="s">
        <v>1281</v>
      </c>
      <c r="H304" s="4">
        <f t="shared" si="78"/>
        <v>1</v>
      </c>
      <c r="I304" s="4">
        <f>IF(RIGHT(B304,1)="M",IF(AND(H304=1,E304="RFS",D304=INDEX('Station Depth Averages'!$A$3:$B$84,MATCH(B304,'Station Depth Averages'!$A$3:$A$84,0),2)),1,""),IF(AND(H304=1,OR(D304="SYN",D304="SRF",D304="MID")),1,IF(AND(H304=1,OR(E305="FDn",E305="LDn")),1,IF(AND(H304=1,OR(E304="FDn",E304="LDn")),1,""))))</f>
        <v>1</v>
      </c>
      <c r="J304" s="4">
        <f t="shared" si="79"/>
        <v>1</v>
      </c>
      <c r="K304" s="4" t="str">
        <f t="shared" si="80"/>
        <v/>
      </c>
      <c r="L304" s="4" t="str">
        <f t="shared" si="81"/>
        <v/>
      </c>
      <c r="M304" s="4" t="str">
        <f t="shared" si="82"/>
        <v/>
      </c>
      <c r="N304" s="4" t="str">
        <f t="shared" si="83"/>
        <v/>
      </c>
      <c r="O304" s="4" t="str">
        <f t="shared" si="84"/>
        <v/>
      </c>
      <c r="P304" s="4" t="str">
        <f t="shared" si="85"/>
        <v/>
      </c>
      <c r="Q304" s="4" t="str">
        <f t="shared" si="86"/>
        <v/>
      </c>
      <c r="R304" s="4" t="str">
        <f t="shared" si="87"/>
        <v/>
      </c>
      <c r="S304" s="4" t="str">
        <f t="shared" si="88"/>
        <v/>
      </c>
      <c r="T304" s="4" t="str">
        <f t="shared" si="89"/>
        <v/>
      </c>
      <c r="U304">
        <f>IF(VLOOKUP(C304,'QA Table'!$Y$5:$Y$20,1,TRUE)=C304,1,0)</f>
        <v>0</v>
      </c>
      <c r="V304" t="str">
        <f t="shared" si="90"/>
        <v/>
      </c>
      <c r="W304" t="str">
        <f t="shared" si="91"/>
        <v/>
      </c>
      <c r="X304">
        <f t="shared" si="92"/>
        <v>3</v>
      </c>
      <c r="Y304">
        <f t="shared" si="93"/>
        <v>0</v>
      </c>
      <c r="AA304">
        <f t="shared" si="94"/>
        <v>1</v>
      </c>
    </row>
    <row r="305" spans="1:27" x14ac:dyDescent="0.2">
      <c r="A305" t="s">
        <v>27</v>
      </c>
      <c r="B305" t="s">
        <v>43</v>
      </c>
      <c r="C305" t="s">
        <v>1430</v>
      </c>
      <c r="D305" t="s">
        <v>5</v>
      </c>
      <c r="E305" t="s">
        <v>7</v>
      </c>
      <c r="F305" t="s">
        <v>1424</v>
      </c>
      <c r="G305" t="s">
        <v>1281</v>
      </c>
      <c r="H305" s="4">
        <f t="shared" si="78"/>
        <v>1</v>
      </c>
      <c r="I305" s="4">
        <f>IF(RIGHT(B305,1)="M",IF(AND(H305=1,E305="RFS",D305=INDEX('Station Depth Averages'!$A$3:$B$84,MATCH(B305,'Station Depth Averages'!$A$3:$A$84,0),2)),1,""),IF(AND(H305=1,OR(D305="SYN",D305="SRF",D305="MID")),1,IF(AND(H305=1,OR(E306="FDn",E306="LDn")),1,IF(AND(H305=1,OR(E305="FDn",E305="LDn")),1,""))))</f>
        <v>1</v>
      </c>
      <c r="J305" s="4">
        <f t="shared" si="79"/>
        <v>1</v>
      </c>
      <c r="K305" s="4" t="str">
        <f t="shared" si="80"/>
        <v/>
      </c>
      <c r="L305" s="4" t="str">
        <f t="shared" si="81"/>
        <v/>
      </c>
      <c r="M305" s="4" t="str">
        <f t="shared" si="82"/>
        <v/>
      </c>
      <c r="N305" s="4" t="str">
        <f t="shared" si="83"/>
        <v/>
      </c>
      <c r="O305" s="4" t="str">
        <f t="shared" si="84"/>
        <v/>
      </c>
      <c r="P305" s="4" t="str">
        <f t="shared" si="85"/>
        <v/>
      </c>
      <c r="Q305" s="4" t="str">
        <f t="shared" si="86"/>
        <v/>
      </c>
      <c r="R305" s="4" t="str">
        <f t="shared" si="87"/>
        <v/>
      </c>
      <c r="S305" s="4" t="str">
        <f t="shared" si="88"/>
        <v/>
      </c>
      <c r="T305" s="4" t="str">
        <f t="shared" si="89"/>
        <v/>
      </c>
      <c r="U305">
        <f>IF(VLOOKUP(C305,'QA Table'!$Y$5:$Y$20,1,TRUE)=C305,1,0)</f>
        <v>0</v>
      </c>
      <c r="V305" t="str">
        <f t="shared" si="90"/>
        <v/>
      </c>
      <c r="W305" t="str">
        <f t="shared" si="91"/>
        <v/>
      </c>
      <c r="X305">
        <f t="shared" si="92"/>
        <v>3</v>
      </c>
      <c r="Y305">
        <f t="shared" si="93"/>
        <v>0</v>
      </c>
      <c r="AA305">
        <f t="shared" si="94"/>
        <v>1</v>
      </c>
    </row>
    <row r="306" spans="1:27" x14ac:dyDescent="0.2">
      <c r="A306" t="s">
        <v>27</v>
      </c>
      <c r="B306" t="s">
        <v>43</v>
      </c>
      <c r="C306" t="s">
        <v>1431</v>
      </c>
      <c r="D306" t="s">
        <v>6</v>
      </c>
      <c r="E306" t="s">
        <v>3</v>
      </c>
      <c r="F306" t="s">
        <v>1424</v>
      </c>
      <c r="G306" t="s">
        <v>1281</v>
      </c>
      <c r="H306" s="4">
        <f t="shared" si="78"/>
        <v>1</v>
      </c>
      <c r="I306" s="4" t="str">
        <f>IF(RIGHT(B306,1)="M",IF(AND(H306=1,E306="RFS",D306=INDEX('Station Depth Averages'!$A$3:$B$84,MATCH(B306,'Station Depth Averages'!$A$3:$A$84,0),2)),1,""),IF(AND(H306=1,OR(D306="SYN",D306="SRF",D306="MID")),1,IF(AND(H306=1,OR(E307="FDn",E307="LDn")),1,IF(AND(H306=1,OR(E306="FDn",E306="LDn")),1,""))))</f>
        <v/>
      </c>
      <c r="J306" s="4">
        <f t="shared" si="79"/>
        <v>1</v>
      </c>
      <c r="K306" s="4" t="str">
        <f t="shared" si="80"/>
        <v/>
      </c>
      <c r="L306" s="4" t="str">
        <f t="shared" si="81"/>
        <v/>
      </c>
      <c r="M306" s="4" t="str">
        <f t="shared" si="82"/>
        <v/>
      </c>
      <c r="N306" s="4" t="str">
        <f t="shared" si="83"/>
        <v/>
      </c>
      <c r="O306" s="4" t="str">
        <f t="shared" si="84"/>
        <v/>
      </c>
      <c r="P306" s="4" t="str">
        <f t="shared" si="85"/>
        <v/>
      </c>
      <c r="Q306" s="4" t="str">
        <f t="shared" si="86"/>
        <v/>
      </c>
      <c r="R306" s="4" t="str">
        <f t="shared" si="87"/>
        <v/>
      </c>
      <c r="S306" s="4" t="str">
        <f t="shared" si="88"/>
        <v/>
      </c>
      <c r="T306" s="4" t="str">
        <f t="shared" si="89"/>
        <v/>
      </c>
      <c r="U306">
        <f>IF(VLOOKUP(C306,'QA Table'!$Y$5:$Y$20,1,TRUE)=C306,1,0)</f>
        <v>0</v>
      </c>
      <c r="V306" t="str">
        <f t="shared" si="90"/>
        <v/>
      </c>
      <c r="W306" t="str">
        <f t="shared" si="91"/>
        <v/>
      </c>
      <c r="X306">
        <f t="shared" si="92"/>
        <v>3</v>
      </c>
      <c r="Y306">
        <f t="shared" si="93"/>
        <v>0</v>
      </c>
      <c r="AA306">
        <f t="shared" si="94"/>
        <v>1</v>
      </c>
    </row>
    <row r="307" spans="1:27" x14ac:dyDescent="0.2">
      <c r="A307" t="s">
        <v>27</v>
      </c>
      <c r="B307" t="s">
        <v>43</v>
      </c>
      <c r="C307" t="s">
        <v>1432</v>
      </c>
      <c r="D307" t="s">
        <v>8</v>
      </c>
      <c r="E307" t="s">
        <v>3</v>
      </c>
      <c r="F307" t="s">
        <v>1424</v>
      </c>
      <c r="G307" t="s">
        <v>1281</v>
      </c>
      <c r="H307" s="4">
        <f t="shared" si="78"/>
        <v>1</v>
      </c>
      <c r="I307" s="4" t="str">
        <f>IF(RIGHT(B307,1)="M",IF(AND(H307=1,E307="RFS",D307=INDEX('Station Depth Averages'!$A$3:$B$84,MATCH(B307,'Station Depth Averages'!$A$3:$A$84,0),2)),1,""),IF(AND(H307=1,OR(D307="SYN",D307="SRF",D307="MID")),1,IF(AND(H307=1,OR(E308="FDn",E308="LDn")),1,IF(AND(H307=1,OR(E307="FDn",E307="LDn")),1,""))))</f>
        <v/>
      </c>
      <c r="J307" s="4" t="str">
        <f t="shared" si="79"/>
        <v/>
      </c>
      <c r="K307" s="4">
        <f t="shared" si="80"/>
        <v>1</v>
      </c>
      <c r="L307" s="4" t="str">
        <f t="shared" si="81"/>
        <v/>
      </c>
      <c r="M307" s="4" t="str">
        <f t="shared" si="82"/>
        <v/>
      </c>
      <c r="N307" s="4" t="str">
        <f t="shared" si="83"/>
        <v/>
      </c>
      <c r="O307" s="4" t="str">
        <f t="shared" si="84"/>
        <v/>
      </c>
      <c r="P307" s="4" t="str">
        <f t="shared" si="85"/>
        <v/>
      </c>
      <c r="Q307" s="4">
        <f t="shared" si="86"/>
        <v>2</v>
      </c>
      <c r="R307" s="4" t="str">
        <f t="shared" si="87"/>
        <v/>
      </c>
      <c r="S307" s="4" t="str">
        <f t="shared" si="88"/>
        <v/>
      </c>
      <c r="T307" s="4" t="str">
        <f t="shared" si="89"/>
        <v/>
      </c>
      <c r="U307">
        <f>IF(VLOOKUP(C307,'QA Table'!$Y$5:$Y$20,1,TRUE)=C307,1,0)</f>
        <v>0</v>
      </c>
      <c r="V307" t="str">
        <f t="shared" si="90"/>
        <v/>
      </c>
      <c r="W307" t="str">
        <f t="shared" si="91"/>
        <v/>
      </c>
      <c r="X307">
        <f t="shared" si="92"/>
        <v>3</v>
      </c>
      <c r="Y307">
        <f t="shared" si="93"/>
        <v>0</v>
      </c>
      <c r="AA307">
        <f t="shared" si="94"/>
        <v>1</v>
      </c>
    </row>
    <row r="308" spans="1:27" x14ac:dyDescent="0.2">
      <c r="A308" t="s">
        <v>27</v>
      </c>
      <c r="B308" t="s">
        <v>43</v>
      </c>
      <c r="C308" t="s">
        <v>1433</v>
      </c>
      <c r="D308" t="s">
        <v>9</v>
      </c>
      <c r="E308" t="s">
        <v>3</v>
      </c>
      <c r="F308" t="s">
        <v>1424</v>
      </c>
      <c r="G308" t="s">
        <v>1281</v>
      </c>
      <c r="H308" s="4" t="str">
        <f t="shared" si="78"/>
        <v/>
      </c>
      <c r="I308" s="4" t="str">
        <f>IF(RIGHT(B308,1)="M",IF(AND(H308=1,E308="RFS",D308=INDEX('Station Depth Averages'!$A$3:$B$84,MATCH(B308,'Station Depth Averages'!$A$3:$A$84,0),2)),1,""),IF(AND(H308=1,OR(D308="SYN",D308="SRF",D308="MID")),1,IF(AND(H308=1,OR(E309="FDn",E309="LDn")),1,IF(AND(H308=1,OR(E308="FDn",E308="LDn")),1,""))))</f>
        <v/>
      </c>
      <c r="J308" s="4" t="str">
        <f t="shared" si="79"/>
        <v/>
      </c>
      <c r="K308" s="4" t="str">
        <f t="shared" si="80"/>
        <v/>
      </c>
      <c r="L308" s="4" t="str">
        <f t="shared" si="81"/>
        <v/>
      </c>
      <c r="M308" s="4" t="str">
        <f t="shared" si="82"/>
        <v/>
      </c>
      <c r="N308" s="4" t="str">
        <f t="shared" si="83"/>
        <v/>
      </c>
      <c r="O308" s="4" t="str">
        <f t="shared" si="84"/>
        <v/>
      </c>
      <c r="P308" s="4" t="str">
        <f t="shared" si="85"/>
        <v/>
      </c>
      <c r="Q308" s="4" t="str">
        <f t="shared" si="86"/>
        <v/>
      </c>
      <c r="R308" s="4" t="str">
        <f t="shared" si="87"/>
        <v/>
      </c>
      <c r="S308" s="4" t="str">
        <f t="shared" si="88"/>
        <v/>
      </c>
      <c r="T308" s="4">
        <f t="shared" si="89"/>
        <v>1</v>
      </c>
      <c r="U308">
        <f>IF(VLOOKUP(C308,'QA Table'!$Y$5:$Y$20,1,TRUE)=C308,1,0)</f>
        <v>0</v>
      </c>
      <c r="V308" t="str">
        <f t="shared" si="90"/>
        <v/>
      </c>
      <c r="W308" t="str">
        <f t="shared" si="91"/>
        <v/>
      </c>
      <c r="X308" t="str">
        <f t="shared" si="92"/>
        <v/>
      </c>
      <c r="Y308">
        <f t="shared" si="93"/>
        <v>0</v>
      </c>
      <c r="AA308" t="str">
        <f t="shared" si="94"/>
        <v/>
      </c>
    </row>
    <row r="309" spans="1:27" x14ac:dyDescent="0.2">
      <c r="A309" t="s">
        <v>27</v>
      </c>
      <c r="B309" t="s">
        <v>43</v>
      </c>
      <c r="C309" t="s">
        <v>1434</v>
      </c>
      <c r="D309" t="s">
        <v>10</v>
      </c>
      <c r="E309" t="s">
        <v>3</v>
      </c>
      <c r="F309" t="s">
        <v>1424</v>
      </c>
      <c r="G309" t="s">
        <v>1281</v>
      </c>
      <c r="H309" s="4" t="str">
        <f t="shared" si="78"/>
        <v/>
      </c>
      <c r="I309" s="4" t="str">
        <f>IF(RIGHT(B309,1)="M",IF(AND(H309=1,E309="RFS",D309=INDEX('Station Depth Averages'!$A$3:$B$84,MATCH(B309,'Station Depth Averages'!$A$3:$A$84,0),2)),1,""),IF(AND(H309=1,OR(D309="SYN",D309="SRF",D309="MID")),1,IF(AND(H309=1,OR(E310="FDn",E310="LDn")),1,IF(AND(H309=1,OR(E309="FDn",E309="LDn")),1,""))))</f>
        <v/>
      </c>
      <c r="J309" s="4" t="str">
        <f t="shared" si="79"/>
        <v/>
      </c>
      <c r="K309" s="4" t="str">
        <f t="shared" si="80"/>
        <v/>
      </c>
      <c r="L309" s="4" t="str">
        <f t="shared" si="81"/>
        <v/>
      </c>
      <c r="M309" s="4" t="str">
        <f t="shared" si="82"/>
        <v/>
      </c>
      <c r="N309" s="4" t="str">
        <f t="shared" si="83"/>
        <v/>
      </c>
      <c r="O309" s="4" t="str">
        <f t="shared" si="84"/>
        <v/>
      </c>
      <c r="P309" s="4" t="str">
        <f t="shared" si="85"/>
        <v/>
      </c>
      <c r="Q309" s="4" t="str">
        <f t="shared" si="86"/>
        <v/>
      </c>
      <c r="R309" s="4" t="str">
        <f t="shared" si="87"/>
        <v/>
      </c>
      <c r="S309" s="4" t="str">
        <f t="shared" si="88"/>
        <v/>
      </c>
      <c r="T309" s="4">
        <f t="shared" si="89"/>
        <v>1</v>
      </c>
      <c r="U309">
        <f>IF(VLOOKUP(C309,'QA Table'!$Y$5:$Y$20,1,TRUE)=C309,1,0)</f>
        <v>0</v>
      </c>
      <c r="V309" t="str">
        <f t="shared" si="90"/>
        <v/>
      </c>
      <c r="W309" t="str">
        <f t="shared" si="91"/>
        <v/>
      </c>
      <c r="X309" t="str">
        <f t="shared" si="92"/>
        <v/>
      </c>
      <c r="Y309">
        <f t="shared" si="93"/>
        <v>0</v>
      </c>
      <c r="AA309" t="str">
        <f t="shared" si="94"/>
        <v/>
      </c>
    </row>
    <row r="310" spans="1:27" x14ac:dyDescent="0.2">
      <c r="A310" t="s">
        <v>27</v>
      </c>
      <c r="B310" t="s">
        <v>43</v>
      </c>
      <c r="C310" t="s">
        <v>1435</v>
      </c>
      <c r="D310" t="s">
        <v>1034</v>
      </c>
      <c r="E310" t="s">
        <v>3</v>
      </c>
      <c r="F310" t="s">
        <v>1424</v>
      </c>
      <c r="G310" t="s">
        <v>1281</v>
      </c>
      <c r="H310" s="4" t="str">
        <f t="shared" si="78"/>
        <v/>
      </c>
      <c r="I310" s="4" t="str">
        <f>IF(RIGHT(B310,1)="M",IF(AND(H310=1,E310="RFS",D310=INDEX('Station Depth Averages'!$A$3:$B$84,MATCH(B310,'Station Depth Averages'!$A$3:$A$84,0),2)),1,""),IF(AND(H310=1,OR(D310="SYN",D310="SRF",D310="MID")),1,IF(AND(H310=1,OR(E311="FDn",E311="LDn")),1,IF(AND(H310=1,OR(E310="FDn",E310="LDn")),1,""))))</f>
        <v/>
      </c>
      <c r="J310" s="4" t="str">
        <f t="shared" si="79"/>
        <v/>
      </c>
      <c r="K310" s="4" t="str">
        <f t="shared" si="80"/>
        <v/>
      </c>
      <c r="L310" s="4" t="str">
        <f t="shared" si="81"/>
        <v/>
      </c>
      <c r="M310" s="4" t="str">
        <f t="shared" si="82"/>
        <v/>
      </c>
      <c r="N310" s="4" t="str">
        <f t="shared" si="83"/>
        <v/>
      </c>
      <c r="O310" s="4" t="str">
        <f t="shared" si="84"/>
        <v/>
      </c>
      <c r="P310" s="4" t="str">
        <f t="shared" si="85"/>
        <v/>
      </c>
      <c r="Q310" s="4" t="str">
        <f t="shared" si="86"/>
        <v/>
      </c>
      <c r="R310" s="4" t="str">
        <f t="shared" si="87"/>
        <v/>
      </c>
      <c r="S310" s="4">
        <f t="shared" si="88"/>
        <v>1</v>
      </c>
      <c r="T310" s="4" t="str">
        <f t="shared" si="89"/>
        <v/>
      </c>
      <c r="U310">
        <f>IF(VLOOKUP(C310,'QA Table'!$Y$5:$Y$20,1,TRUE)=C310,1,0)</f>
        <v>0</v>
      </c>
      <c r="V310" t="str">
        <f t="shared" si="90"/>
        <v/>
      </c>
      <c r="W310" t="str">
        <f t="shared" si="91"/>
        <v/>
      </c>
      <c r="X310" t="str">
        <f t="shared" si="92"/>
        <v/>
      </c>
      <c r="Y310">
        <f t="shared" si="93"/>
        <v>0</v>
      </c>
      <c r="AA310" t="str">
        <f t="shared" si="94"/>
        <v/>
      </c>
    </row>
    <row r="311" spans="1:27" x14ac:dyDescent="0.2">
      <c r="A311" t="s">
        <v>27</v>
      </c>
      <c r="B311" t="s">
        <v>43</v>
      </c>
      <c r="C311" t="s">
        <v>1436</v>
      </c>
      <c r="D311" t="s">
        <v>1034</v>
      </c>
      <c r="E311" t="s">
        <v>19</v>
      </c>
      <c r="F311" t="s">
        <v>1424</v>
      </c>
      <c r="G311" t="s">
        <v>1281</v>
      </c>
      <c r="H311" s="4" t="str">
        <f t="shared" si="78"/>
        <v/>
      </c>
      <c r="I311" s="4" t="str">
        <f>IF(RIGHT(B311,1)="M",IF(AND(H311=1,E311="RFS",D311=INDEX('Station Depth Averages'!$A$3:$B$84,MATCH(B311,'Station Depth Averages'!$A$3:$A$84,0),2)),1,""),IF(AND(H311=1,OR(D311="SYN",D311="SRF",D311="MID")),1,IF(AND(H311=1,OR(E312="FDn",E312="LDn")),1,IF(AND(H311=1,OR(E311="FDn",E311="LDn")),1,""))))</f>
        <v/>
      </c>
      <c r="J311" s="4" t="str">
        <f t="shared" si="79"/>
        <v/>
      </c>
      <c r="K311" s="4" t="str">
        <f t="shared" si="80"/>
        <v/>
      </c>
      <c r="L311" s="4" t="str">
        <f t="shared" si="81"/>
        <v/>
      </c>
      <c r="M311" s="4" t="str">
        <f t="shared" si="82"/>
        <v/>
      </c>
      <c r="N311" s="4" t="str">
        <f t="shared" si="83"/>
        <v/>
      </c>
      <c r="O311" s="4" t="str">
        <f t="shared" si="84"/>
        <v/>
      </c>
      <c r="P311" s="4" t="str">
        <f t="shared" si="85"/>
        <v/>
      </c>
      <c r="Q311" s="4" t="str">
        <f t="shared" si="86"/>
        <v/>
      </c>
      <c r="R311" s="4" t="str">
        <f t="shared" si="87"/>
        <v/>
      </c>
      <c r="S311" s="4">
        <f t="shared" si="88"/>
        <v>1</v>
      </c>
      <c r="T311" s="4" t="str">
        <f t="shared" si="89"/>
        <v/>
      </c>
      <c r="U311">
        <f>IF(VLOOKUP(C311,'QA Table'!$Y$5:$Y$20,1,TRUE)=C311,1,0)</f>
        <v>0</v>
      </c>
      <c r="V311" t="str">
        <f t="shared" si="90"/>
        <v/>
      </c>
      <c r="W311" t="str">
        <f t="shared" si="91"/>
        <v/>
      </c>
      <c r="X311" t="str">
        <f t="shared" si="92"/>
        <v/>
      </c>
      <c r="Y311">
        <f t="shared" si="93"/>
        <v>0</v>
      </c>
      <c r="AA311" t="str">
        <f t="shared" si="94"/>
        <v/>
      </c>
    </row>
    <row r="312" spans="1:27" x14ac:dyDescent="0.2">
      <c r="A312" t="s">
        <v>27</v>
      </c>
      <c r="B312" t="s">
        <v>44</v>
      </c>
      <c r="C312" t="s">
        <v>1437</v>
      </c>
      <c r="D312" t="s">
        <v>14</v>
      </c>
      <c r="E312" t="s">
        <v>15</v>
      </c>
      <c r="F312" t="s">
        <v>1438</v>
      </c>
      <c r="G312" t="s">
        <v>1281</v>
      </c>
      <c r="H312" s="4">
        <f t="shared" si="78"/>
        <v>1</v>
      </c>
      <c r="I312" s="4" t="str">
        <f>IF(RIGHT(B312,1)="M",IF(AND(H312=1,E312="RFS",D312=INDEX('Station Depth Averages'!$A$3:$B$84,MATCH(B312,'Station Depth Averages'!$A$3:$A$84,0),2)),1,""),IF(AND(H312=1,OR(D312="SYN",D312="SRF",D312="MID")),1,IF(AND(H312=1,OR(E313="FDn",E313="LDn")),1,IF(AND(H312=1,OR(E312="FDn",E312="LDn")),1,""))))</f>
        <v/>
      </c>
      <c r="J312" s="4">
        <f t="shared" si="79"/>
        <v>1</v>
      </c>
      <c r="K312" s="4" t="str">
        <f t="shared" si="80"/>
        <v/>
      </c>
      <c r="L312" s="4" t="str">
        <f t="shared" si="81"/>
        <v/>
      </c>
      <c r="M312" s="4" t="str">
        <f t="shared" si="82"/>
        <v/>
      </c>
      <c r="N312" s="4" t="str">
        <f t="shared" si="83"/>
        <v/>
      </c>
      <c r="O312" s="4" t="str">
        <f t="shared" si="84"/>
        <v/>
      </c>
      <c r="P312" s="4" t="str">
        <f t="shared" si="85"/>
        <v/>
      </c>
      <c r="Q312" s="4" t="str">
        <f t="shared" si="86"/>
        <v/>
      </c>
      <c r="R312" s="4" t="str">
        <f t="shared" si="87"/>
        <v/>
      </c>
      <c r="S312" s="4" t="str">
        <f t="shared" si="88"/>
        <v/>
      </c>
      <c r="T312" s="4" t="str">
        <f t="shared" si="89"/>
        <v/>
      </c>
      <c r="U312">
        <f>IF(VLOOKUP(C312,'QA Table'!$Y$5:$Y$20,1,TRUE)=C312,1,0)</f>
        <v>0</v>
      </c>
      <c r="V312" t="str">
        <f t="shared" si="90"/>
        <v/>
      </c>
      <c r="W312" t="str">
        <f t="shared" si="91"/>
        <v/>
      </c>
      <c r="X312">
        <f t="shared" si="92"/>
        <v>3</v>
      </c>
      <c r="Y312">
        <f t="shared" si="93"/>
        <v>0</v>
      </c>
      <c r="AA312">
        <f t="shared" si="94"/>
        <v>1</v>
      </c>
    </row>
    <row r="313" spans="1:27" x14ac:dyDescent="0.2">
      <c r="A313" t="s">
        <v>27</v>
      </c>
      <c r="B313" t="s">
        <v>44</v>
      </c>
      <c r="C313" t="s">
        <v>1093</v>
      </c>
      <c r="D313" t="s">
        <v>2</v>
      </c>
      <c r="E313" t="s">
        <v>3</v>
      </c>
      <c r="F313" t="s">
        <v>1438</v>
      </c>
      <c r="G313" t="s">
        <v>1281</v>
      </c>
      <c r="H313" s="4">
        <f t="shared" si="78"/>
        <v>1</v>
      </c>
      <c r="I313" s="4" t="str">
        <f>IF(RIGHT(B313,1)="M",IF(AND(H313=1,E313="RFS",D313=INDEX('Station Depth Averages'!$A$3:$B$84,MATCH(B313,'Station Depth Averages'!$A$3:$A$84,0),2)),1,""),IF(AND(H313=1,OR(D313="SYN",D313="SRF",D313="MID")),1,IF(AND(H313=1,OR(E314="FDn",E314="LDn")),1,IF(AND(H313=1,OR(E313="FDn",E313="LDn")),1,""))))</f>
        <v/>
      </c>
      <c r="J313" s="4">
        <f t="shared" si="79"/>
        <v>1</v>
      </c>
      <c r="K313" s="4" t="str">
        <f t="shared" si="80"/>
        <v/>
      </c>
      <c r="L313" s="4" t="str">
        <f t="shared" si="81"/>
        <v/>
      </c>
      <c r="M313" s="4" t="str">
        <f t="shared" si="82"/>
        <v/>
      </c>
      <c r="N313" s="4" t="str">
        <f t="shared" si="83"/>
        <v/>
      </c>
      <c r="O313" s="4" t="str">
        <f t="shared" si="84"/>
        <v/>
      </c>
      <c r="P313" s="4" t="str">
        <f t="shared" si="85"/>
        <v/>
      </c>
      <c r="Q313" s="4" t="str">
        <f t="shared" si="86"/>
        <v/>
      </c>
      <c r="R313" s="4" t="str">
        <f t="shared" si="87"/>
        <v/>
      </c>
      <c r="S313" s="4" t="str">
        <f t="shared" si="88"/>
        <v/>
      </c>
      <c r="T313" s="4" t="str">
        <f t="shared" si="89"/>
        <v/>
      </c>
      <c r="U313">
        <f>IF(VLOOKUP(C313,'QA Table'!$Y$5:$Y$20,1,TRUE)=C313,1,0)</f>
        <v>0</v>
      </c>
      <c r="V313" t="str">
        <f t="shared" si="90"/>
        <v/>
      </c>
      <c r="W313" t="str">
        <f t="shared" si="91"/>
        <v/>
      </c>
      <c r="X313">
        <f t="shared" si="92"/>
        <v>3</v>
      </c>
      <c r="Y313">
        <f t="shared" si="93"/>
        <v>0</v>
      </c>
      <c r="AA313">
        <f t="shared" si="94"/>
        <v>1</v>
      </c>
    </row>
    <row r="314" spans="1:27" x14ac:dyDescent="0.2">
      <c r="A314" t="s">
        <v>27</v>
      </c>
      <c r="B314" t="s">
        <v>44</v>
      </c>
      <c r="C314" t="s">
        <v>1439</v>
      </c>
      <c r="D314" t="s">
        <v>1050</v>
      </c>
      <c r="E314" t="s">
        <v>3</v>
      </c>
      <c r="F314" t="s">
        <v>1438</v>
      </c>
      <c r="G314" t="s">
        <v>1281</v>
      </c>
      <c r="H314" s="4">
        <f t="shared" si="78"/>
        <v>1</v>
      </c>
      <c r="I314" s="4" t="str">
        <f>IF(RIGHT(B314,1)="M",IF(AND(H314=1,E314="RFS",D314=INDEX('Station Depth Averages'!$A$3:$B$84,MATCH(B314,'Station Depth Averages'!$A$3:$A$84,0),2)),1,""),IF(AND(H314=1,OR(D314="SYN",D314="SRF",D314="MID")),1,IF(AND(H314=1,OR(E315="FDn",E315="LDn")),1,IF(AND(H314=1,OR(E314="FDn",E314="LDn")),1,""))))</f>
        <v/>
      </c>
      <c r="J314" s="4">
        <f t="shared" si="79"/>
        <v>1</v>
      </c>
      <c r="K314" s="4" t="str">
        <f t="shared" si="80"/>
        <v/>
      </c>
      <c r="L314" s="4" t="str">
        <f t="shared" si="81"/>
        <v/>
      </c>
      <c r="M314" s="4" t="str">
        <f t="shared" si="82"/>
        <v/>
      </c>
      <c r="N314" s="4" t="str">
        <f t="shared" si="83"/>
        <v/>
      </c>
      <c r="O314" s="4" t="str">
        <f t="shared" si="84"/>
        <v/>
      </c>
      <c r="P314" s="4" t="str">
        <f t="shared" si="85"/>
        <v/>
      </c>
      <c r="Q314" s="4" t="str">
        <f t="shared" si="86"/>
        <v/>
      </c>
      <c r="R314" s="4" t="str">
        <f t="shared" si="87"/>
        <v/>
      </c>
      <c r="S314" s="4" t="str">
        <f t="shared" si="88"/>
        <v/>
      </c>
      <c r="T314" s="4" t="str">
        <f t="shared" si="89"/>
        <v/>
      </c>
      <c r="U314">
        <f>IF(VLOOKUP(C314,'QA Table'!$Y$5:$Y$20,1,TRUE)=C314,1,0)</f>
        <v>0</v>
      </c>
      <c r="V314" t="str">
        <f t="shared" si="90"/>
        <v/>
      </c>
      <c r="W314" t="str">
        <f t="shared" si="91"/>
        <v/>
      </c>
      <c r="X314">
        <f t="shared" si="92"/>
        <v>3</v>
      </c>
      <c r="Y314">
        <f t="shared" si="93"/>
        <v>0</v>
      </c>
      <c r="AA314">
        <f t="shared" si="94"/>
        <v>1</v>
      </c>
    </row>
    <row r="315" spans="1:27" x14ac:dyDescent="0.2">
      <c r="A315" t="s">
        <v>27</v>
      </c>
      <c r="B315" t="s">
        <v>44</v>
      </c>
      <c r="C315" t="s">
        <v>1440</v>
      </c>
      <c r="D315" t="s">
        <v>4</v>
      </c>
      <c r="E315" t="s">
        <v>3</v>
      </c>
      <c r="F315" t="s">
        <v>1438</v>
      </c>
      <c r="G315" t="s">
        <v>1281</v>
      </c>
      <c r="H315" s="4">
        <f t="shared" si="78"/>
        <v>1</v>
      </c>
      <c r="I315" s="4" t="str">
        <f>IF(RIGHT(B315,1)="M",IF(AND(H315=1,E315="RFS",D315=INDEX('Station Depth Averages'!$A$3:$B$84,MATCH(B315,'Station Depth Averages'!$A$3:$A$84,0),2)),1,""),IF(AND(H315=1,OR(D315="SYN",D315="SRF",D315="MID")),1,IF(AND(H315=1,OR(E316="FDn",E316="LDn")),1,IF(AND(H315=1,OR(E315="FDn",E315="LDn")),1,""))))</f>
        <v/>
      </c>
      <c r="J315" s="4">
        <f t="shared" si="79"/>
        <v>1</v>
      </c>
      <c r="K315" s="4" t="str">
        <f t="shared" si="80"/>
        <v/>
      </c>
      <c r="L315" s="4">
        <f t="shared" si="81"/>
        <v>1</v>
      </c>
      <c r="M315" s="4">
        <f t="shared" si="82"/>
        <v>1</v>
      </c>
      <c r="N315" s="4">
        <f t="shared" si="83"/>
        <v>1</v>
      </c>
      <c r="O315" s="4">
        <f t="shared" si="84"/>
        <v>1</v>
      </c>
      <c r="P315" s="4">
        <f t="shared" si="85"/>
        <v>1</v>
      </c>
      <c r="Q315" s="4" t="str">
        <f t="shared" si="86"/>
        <v/>
      </c>
      <c r="R315" s="4" t="str">
        <f t="shared" si="87"/>
        <v/>
      </c>
      <c r="S315" s="4" t="str">
        <f t="shared" si="88"/>
        <v/>
      </c>
      <c r="T315" s="4" t="str">
        <f t="shared" si="89"/>
        <v/>
      </c>
      <c r="U315">
        <f>IF(VLOOKUP(C315,'QA Table'!$Y$5:$Y$20,1,TRUE)=C315,1,0)</f>
        <v>0</v>
      </c>
      <c r="V315" t="str">
        <f t="shared" si="90"/>
        <v/>
      </c>
      <c r="W315" t="str">
        <f t="shared" si="91"/>
        <v/>
      </c>
      <c r="X315">
        <f t="shared" si="92"/>
        <v>3</v>
      </c>
      <c r="Y315">
        <f t="shared" si="93"/>
        <v>0</v>
      </c>
      <c r="AA315">
        <f t="shared" si="94"/>
        <v>1</v>
      </c>
    </row>
    <row r="316" spans="1:27" x14ac:dyDescent="0.2">
      <c r="A316" t="s">
        <v>27</v>
      </c>
      <c r="B316" t="s">
        <v>44</v>
      </c>
      <c r="C316" t="s">
        <v>1441</v>
      </c>
      <c r="D316" t="s">
        <v>1051</v>
      </c>
      <c r="E316" t="s">
        <v>3</v>
      </c>
      <c r="F316" t="s">
        <v>1438</v>
      </c>
      <c r="G316" t="s">
        <v>1281</v>
      </c>
      <c r="H316" s="4">
        <f t="shared" si="78"/>
        <v>1</v>
      </c>
      <c r="I316" s="4" t="str">
        <f>IF(RIGHT(B316,1)="M",IF(AND(H316=1,E316="RFS",D316=INDEX('Station Depth Averages'!$A$3:$B$84,MATCH(B316,'Station Depth Averages'!$A$3:$A$84,0),2)),1,""),IF(AND(H316=1,OR(D316="SYN",D316="SRF",D316="MID")),1,IF(AND(H316=1,OR(E317="FDn",E317="LDn")),1,IF(AND(H316=1,OR(E316="FDn",E316="LDn")),1,""))))</f>
        <v/>
      </c>
      <c r="J316" s="4">
        <f t="shared" si="79"/>
        <v>1</v>
      </c>
      <c r="K316" s="4" t="str">
        <f t="shared" si="80"/>
        <v/>
      </c>
      <c r="L316" s="4" t="str">
        <f t="shared" si="81"/>
        <v/>
      </c>
      <c r="M316" s="4" t="str">
        <f t="shared" si="82"/>
        <v/>
      </c>
      <c r="N316" s="4" t="str">
        <f t="shared" si="83"/>
        <v/>
      </c>
      <c r="O316" s="4" t="str">
        <f t="shared" si="84"/>
        <v/>
      </c>
      <c r="P316" s="4" t="str">
        <f t="shared" si="85"/>
        <v/>
      </c>
      <c r="Q316" s="4" t="str">
        <f t="shared" si="86"/>
        <v/>
      </c>
      <c r="R316" s="4" t="str">
        <f t="shared" si="87"/>
        <v/>
      </c>
      <c r="S316" s="4" t="str">
        <f t="shared" si="88"/>
        <v/>
      </c>
      <c r="T316" s="4" t="str">
        <f t="shared" si="89"/>
        <v/>
      </c>
      <c r="U316">
        <f>IF(VLOOKUP(C316,'QA Table'!$Y$5:$Y$20,1,TRUE)=C316,1,0)</f>
        <v>0</v>
      </c>
      <c r="V316" t="str">
        <f t="shared" si="90"/>
        <v/>
      </c>
      <c r="W316" t="str">
        <f t="shared" si="91"/>
        <v/>
      </c>
      <c r="X316">
        <f t="shared" si="92"/>
        <v>3</v>
      </c>
      <c r="Y316">
        <f t="shared" si="93"/>
        <v>0</v>
      </c>
      <c r="AA316">
        <f t="shared" si="94"/>
        <v>1</v>
      </c>
    </row>
    <row r="317" spans="1:27" x14ac:dyDescent="0.2">
      <c r="A317" t="s">
        <v>27</v>
      </c>
      <c r="B317" t="s">
        <v>44</v>
      </c>
      <c r="C317" t="s">
        <v>1442</v>
      </c>
      <c r="D317" t="s">
        <v>120</v>
      </c>
      <c r="E317" t="s">
        <v>3</v>
      </c>
      <c r="F317" t="s">
        <v>1438</v>
      </c>
      <c r="G317" t="s">
        <v>1281</v>
      </c>
      <c r="H317" s="4">
        <f t="shared" si="78"/>
        <v>1</v>
      </c>
      <c r="I317" s="4" t="str">
        <f>IF(RIGHT(B317,1)="M",IF(AND(H317=1,E317="RFS",D317=INDEX('Station Depth Averages'!$A$3:$B$84,MATCH(B317,'Station Depth Averages'!$A$3:$A$84,0),2)),1,""),IF(AND(H317=1,OR(D317="SYN",D317="SRF",D317="MID")),1,IF(AND(H317=1,OR(E318="FDn",E318="LDn")),1,IF(AND(H317=1,OR(E317="FDn",E317="LDn")),1,""))))</f>
        <v/>
      </c>
      <c r="J317" s="4">
        <f t="shared" si="79"/>
        <v>1</v>
      </c>
      <c r="K317" s="4" t="str">
        <f t="shared" si="80"/>
        <v/>
      </c>
      <c r="L317" s="4" t="str">
        <f t="shared" si="81"/>
        <v/>
      </c>
      <c r="M317" s="4" t="str">
        <f t="shared" si="82"/>
        <v/>
      </c>
      <c r="N317" s="4" t="str">
        <f t="shared" si="83"/>
        <v/>
      </c>
      <c r="O317" s="4" t="str">
        <f t="shared" si="84"/>
        <v/>
      </c>
      <c r="P317" s="4" t="str">
        <f t="shared" si="85"/>
        <v/>
      </c>
      <c r="Q317" s="4" t="str">
        <f t="shared" si="86"/>
        <v/>
      </c>
      <c r="R317" s="4" t="str">
        <f t="shared" si="87"/>
        <v/>
      </c>
      <c r="S317" s="4" t="str">
        <f t="shared" si="88"/>
        <v/>
      </c>
      <c r="T317" s="4" t="str">
        <f t="shared" si="89"/>
        <v/>
      </c>
      <c r="U317">
        <f>IF(VLOOKUP(C317,'QA Table'!$Y$5:$Y$20,1,TRUE)=C317,1,0)</f>
        <v>0</v>
      </c>
      <c r="V317" t="str">
        <f t="shared" si="90"/>
        <v/>
      </c>
      <c r="W317" t="str">
        <f t="shared" si="91"/>
        <v/>
      </c>
      <c r="X317">
        <f t="shared" si="92"/>
        <v>3</v>
      </c>
      <c r="Y317">
        <f t="shared" si="93"/>
        <v>0</v>
      </c>
      <c r="AA317">
        <f t="shared" si="94"/>
        <v>1</v>
      </c>
    </row>
    <row r="318" spans="1:27" x14ac:dyDescent="0.2">
      <c r="A318" t="s">
        <v>27</v>
      </c>
      <c r="B318" t="s">
        <v>44</v>
      </c>
      <c r="C318" t="s">
        <v>1443</v>
      </c>
      <c r="D318" t="s">
        <v>16</v>
      </c>
      <c r="E318" t="s">
        <v>3</v>
      </c>
      <c r="F318" t="s">
        <v>1438</v>
      </c>
      <c r="G318" t="s">
        <v>1281</v>
      </c>
      <c r="H318" s="4">
        <f t="shared" si="78"/>
        <v>1</v>
      </c>
      <c r="I318" s="4" t="str">
        <f>IF(RIGHT(B318,1)="M",IF(AND(H318=1,E318="RFS",D318=INDEX('Station Depth Averages'!$A$3:$B$84,MATCH(B318,'Station Depth Averages'!$A$3:$A$84,0),2)),1,""),IF(AND(H318=1,OR(D318="SYN",D318="SRF",D318="MID")),1,IF(AND(H318=1,OR(E319="FDn",E319="LDn")),1,IF(AND(H318=1,OR(E318="FDn",E318="LDn")),1,""))))</f>
        <v/>
      </c>
      <c r="J318" s="4">
        <f t="shared" si="79"/>
        <v>1</v>
      </c>
      <c r="K318" s="4" t="str">
        <f t="shared" si="80"/>
        <v/>
      </c>
      <c r="L318" s="4" t="str">
        <f t="shared" si="81"/>
        <v/>
      </c>
      <c r="M318" s="4" t="str">
        <f t="shared" si="82"/>
        <v/>
      </c>
      <c r="N318" s="4" t="str">
        <f t="shared" si="83"/>
        <v/>
      </c>
      <c r="O318" s="4" t="str">
        <f t="shared" si="84"/>
        <v/>
      </c>
      <c r="P318" s="4" t="str">
        <f t="shared" si="85"/>
        <v/>
      </c>
      <c r="Q318" s="4" t="str">
        <f t="shared" si="86"/>
        <v/>
      </c>
      <c r="R318" s="4" t="str">
        <f t="shared" si="87"/>
        <v/>
      </c>
      <c r="S318" s="4" t="str">
        <f t="shared" si="88"/>
        <v/>
      </c>
      <c r="T318" s="4" t="str">
        <f t="shared" si="89"/>
        <v/>
      </c>
      <c r="U318">
        <f>IF(VLOOKUP(C318,'QA Table'!$Y$5:$Y$20,1,TRUE)=C318,1,0)</f>
        <v>0</v>
      </c>
      <c r="V318" t="str">
        <f t="shared" si="90"/>
        <v/>
      </c>
      <c r="W318" t="str">
        <f t="shared" si="91"/>
        <v/>
      </c>
      <c r="X318">
        <f t="shared" si="92"/>
        <v>3</v>
      </c>
      <c r="Y318">
        <f t="shared" si="93"/>
        <v>0</v>
      </c>
      <c r="AA318">
        <f t="shared" si="94"/>
        <v>1</v>
      </c>
    </row>
    <row r="319" spans="1:27" x14ac:dyDescent="0.2">
      <c r="A319" t="s">
        <v>27</v>
      </c>
      <c r="B319" t="s">
        <v>44</v>
      </c>
      <c r="C319" t="s">
        <v>1444</v>
      </c>
      <c r="D319" t="s">
        <v>17</v>
      </c>
      <c r="E319" t="s">
        <v>3</v>
      </c>
      <c r="F319" t="s">
        <v>1438</v>
      </c>
      <c r="G319" t="s">
        <v>1281</v>
      </c>
      <c r="H319" s="4">
        <f t="shared" si="78"/>
        <v>1</v>
      </c>
      <c r="I319" s="4">
        <f>IF(RIGHT(B319,1)="M",IF(AND(H319=1,E319="RFS",D319=INDEX('Station Depth Averages'!$A$3:$B$84,MATCH(B319,'Station Depth Averages'!$A$3:$A$84,0),2)),1,""),IF(AND(H319=1,OR(D319="SYN",D319="SRF",D319="MID")),1,IF(AND(H319=1,OR(E320="FDn",E320="LDn")),1,IF(AND(H319=1,OR(E319="FDn",E319="LDn")),1,""))))</f>
        <v>1</v>
      </c>
      <c r="J319" s="4">
        <f t="shared" si="79"/>
        <v>1</v>
      </c>
      <c r="K319" s="4" t="str">
        <f t="shared" si="80"/>
        <v/>
      </c>
      <c r="L319" s="4" t="str">
        <f t="shared" si="81"/>
        <v/>
      </c>
      <c r="M319" s="4" t="str">
        <f t="shared" si="82"/>
        <v/>
      </c>
      <c r="N319" s="4" t="str">
        <f t="shared" si="83"/>
        <v/>
      </c>
      <c r="O319" s="4" t="str">
        <f t="shared" si="84"/>
        <v/>
      </c>
      <c r="P319" s="4" t="str">
        <f t="shared" si="85"/>
        <v/>
      </c>
      <c r="Q319" s="4" t="str">
        <f t="shared" si="86"/>
        <v/>
      </c>
      <c r="R319" s="4" t="str">
        <f t="shared" si="87"/>
        <v/>
      </c>
      <c r="S319" s="4" t="str">
        <f t="shared" si="88"/>
        <v/>
      </c>
      <c r="T319" s="4" t="str">
        <f t="shared" si="89"/>
        <v/>
      </c>
      <c r="U319">
        <f>IF(VLOOKUP(C319,'QA Table'!$Y$5:$Y$20,1,TRUE)=C319,1,0)</f>
        <v>0</v>
      </c>
      <c r="V319" t="str">
        <f t="shared" si="90"/>
        <v/>
      </c>
      <c r="W319" t="str">
        <f t="shared" si="91"/>
        <v/>
      </c>
      <c r="X319">
        <f t="shared" si="92"/>
        <v>3</v>
      </c>
      <c r="Y319">
        <f t="shared" si="93"/>
        <v>0</v>
      </c>
      <c r="AA319">
        <f t="shared" si="94"/>
        <v>1</v>
      </c>
    </row>
    <row r="320" spans="1:27" x14ac:dyDescent="0.2">
      <c r="A320" t="s">
        <v>27</v>
      </c>
      <c r="B320" t="s">
        <v>44</v>
      </c>
      <c r="C320" t="s">
        <v>1445</v>
      </c>
      <c r="D320" t="s">
        <v>18</v>
      </c>
      <c r="E320" t="s">
        <v>3</v>
      </c>
      <c r="F320" t="s">
        <v>1438</v>
      </c>
      <c r="G320" t="s">
        <v>1281</v>
      </c>
      <c r="H320" s="4">
        <f t="shared" si="78"/>
        <v>1</v>
      </c>
      <c r="I320" s="4" t="str">
        <f>IF(RIGHT(B320,1)="M",IF(AND(H320=1,E320="RFS",D320=INDEX('Station Depth Averages'!$A$3:$B$84,MATCH(B320,'Station Depth Averages'!$A$3:$A$84,0),2)),1,""),IF(AND(H320=1,OR(D320="SYN",D320="SRF",D320="MID")),1,IF(AND(H320=1,OR(E321="FDn",E321="LDn")),1,IF(AND(H320=1,OR(E320="FDn",E320="LDn")),1,""))))</f>
        <v/>
      </c>
      <c r="J320" s="4">
        <f t="shared" si="79"/>
        <v>1</v>
      </c>
      <c r="K320" s="4" t="str">
        <f t="shared" si="80"/>
        <v/>
      </c>
      <c r="L320" s="4" t="str">
        <f t="shared" si="81"/>
        <v/>
      </c>
      <c r="M320" s="4" t="str">
        <f t="shared" si="82"/>
        <v/>
      </c>
      <c r="N320" s="4" t="str">
        <f t="shared" si="83"/>
        <v/>
      </c>
      <c r="O320" s="4" t="str">
        <f t="shared" si="84"/>
        <v/>
      </c>
      <c r="P320" s="4" t="str">
        <f t="shared" si="85"/>
        <v/>
      </c>
      <c r="Q320" s="4" t="str">
        <f t="shared" si="86"/>
        <v/>
      </c>
      <c r="R320" s="4" t="str">
        <f t="shared" si="87"/>
        <v/>
      </c>
      <c r="S320" s="4" t="str">
        <f t="shared" si="88"/>
        <v/>
      </c>
      <c r="T320" s="4" t="str">
        <f t="shared" si="89"/>
        <v/>
      </c>
      <c r="U320">
        <f>IF(VLOOKUP(C320,'QA Table'!$Y$5:$Y$20,1,TRUE)=C320,1,0)</f>
        <v>0</v>
      </c>
      <c r="V320" t="str">
        <f t="shared" si="90"/>
        <v/>
      </c>
      <c r="W320" t="str">
        <f t="shared" si="91"/>
        <v/>
      </c>
      <c r="X320">
        <f t="shared" si="92"/>
        <v>3</v>
      </c>
      <c r="Y320">
        <f t="shared" si="93"/>
        <v>0</v>
      </c>
      <c r="AA320">
        <f t="shared" si="94"/>
        <v>1</v>
      </c>
    </row>
    <row r="321" spans="1:27" x14ac:dyDescent="0.2">
      <c r="A321" t="s">
        <v>27</v>
      </c>
      <c r="B321" t="s">
        <v>44</v>
      </c>
      <c r="C321" t="s">
        <v>1446</v>
      </c>
      <c r="D321" t="s">
        <v>5</v>
      </c>
      <c r="E321" t="s">
        <v>3</v>
      </c>
      <c r="F321" t="s">
        <v>1438</v>
      </c>
      <c r="G321" t="s">
        <v>1281</v>
      </c>
      <c r="H321" s="4">
        <f t="shared" si="78"/>
        <v>1</v>
      </c>
      <c r="I321" s="4" t="str">
        <f>IF(RIGHT(B321,1)="M",IF(AND(H321=1,E321="RFS",D321=INDEX('Station Depth Averages'!$A$3:$B$84,MATCH(B321,'Station Depth Averages'!$A$3:$A$84,0),2)),1,""),IF(AND(H321=1,OR(D321="SYN",D321="SRF",D321="MID")),1,IF(AND(H321=1,OR(E322="FDn",E322="LDn")),1,IF(AND(H321=1,OR(E321="FDn",E321="LDn")),1,""))))</f>
        <v/>
      </c>
      <c r="J321" s="4">
        <f t="shared" si="79"/>
        <v>1</v>
      </c>
      <c r="K321" s="4" t="str">
        <f t="shared" si="80"/>
        <v/>
      </c>
      <c r="L321" s="4" t="str">
        <f t="shared" si="81"/>
        <v/>
      </c>
      <c r="M321" s="4" t="str">
        <f t="shared" si="82"/>
        <v/>
      </c>
      <c r="N321" s="4" t="str">
        <f t="shared" si="83"/>
        <v/>
      </c>
      <c r="O321" s="4" t="str">
        <f t="shared" si="84"/>
        <v/>
      </c>
      <c r="P321" s="4" t="str">
        <f t="shared" si="85"/>
        <v/>
      </c>
      <c r="Q321" s="4" t="str">
        <f t="shared" si="86"/>
        <v/>
      </c>
      <c r="R321" s="4" t="str">
        <f t="shared" si="87"/>
        <v/>
      </c>
      <c r="S321" s="4" t="str">
        <f t="shared" si="88"/>
        <v/>
      </c>
      <c r="T321" s="4" t="str">
        <f t="shared" si="89"/>
        <v/>
      </c>
      <c r="U321">
        <f>IF(VLOOKUP(C321,'QA Table'!$Y$5:$Y$20,1,TRUE)=C321,1,0)</f>
        <v>0</v>
      </c>
      <c r="V321" t="str">
        <f t="shared" si="90"/>
        <v/>
      </c>
      <c r="W321" t="str">
        <f t="shared" si="91"/>
        <v/>
      </c>
      <c r="X321">
        <f t="shared" si="92"/>
        <v>3</v>
      </c>
      <c r="Y321">
        <f t="shared" si="93"/>
        <v>0</v>
      </c>
      <c r="AA321">
        <f t="shared" si="94"/>
        <v>1</v>
      </c>
    </row>
    <row r="322" spans="1:27" x14ac:dyDescent="0.2">
      <c r="A322" t="s">
        <v>27</v>
      </c>
      <c r="B322" t="s">
        <v>44</v>
      </c>
      <c r="C322" t="s">
        <v>1447</v>
      </c>
      <c r="D322" t="s">
        <v>6</v>
      </c>
      <c r="E322" t="s">
        <v>3</v>
      </c>
      <c r="F322" t="s">
        <v>1438</v>
      </c>
      <c r="G322" t="s">
        <v>1281</v>
      </c>
      <c r="H322" s="4">
        <f t="shared" si="78"/>
        <v>1</v>
      </c>
      <c r="I322" s="4" t="str">
        <f>IF(RIGHT(B322,1)="M",IF(AND(H322=1,E322="RFS",D322=INDEX('Station Depth Averages'!$A$3:$B$84,MATCH(B322,'Station Depth Averages'!$A$3:$A$84,0),2)),1,""),IF(AND(H322=1,OR(D322="SYN",D322="SRF",D322="MID")),1,IF(AND(H322=1,OR(E323="FDn",E323="LDn")),1,IF(AND(H322=1,OR(E322="FDn",E322="LDn")),1,""))))</f>
        <v/>
      </c>
      <c r="J322" s="4">
        <f t="shared" si="79"/>
        <v>1</v>
      </c>
      <c r="K322" s="4" t="str">
        <f t="shared" si="80"/>
        <v/>
      </c>
      <c r="L322" s="4" t="str">
        <f t="shared" si="81"/>
        <v/>
      </c>
      <c r="M322" s="4" t="str">
        <f t="shared" si="82"/>
        <v/>
      </c>
      <c r="N322" s="4" t="str">
        <f t="shared" si="83"/>
        <v/>
      </c>
      <c r="O322" s="4" t="str">
        <f t="shared" si="84"/>
        <v/>
      </c>
      <c r="P322" s="4" t="str">
        <f t="shared" si="85"/>
        <v/>
      </c>
      <c r="Q322" s="4" t="str">
        <f t="shared" si="86"/>
        <v/>
      </c>
      <c r="R322" s="4" t="str">
        <f t="shared" si="87"/>
        <v/>
      </c>
      <c r="S322" s="4" t="str">
        <f t="shared" si="88"/>
        <v/>
      </c>
      <c r="T322" s="4" t="str">
        <f t="shared" si="89"/>
        <v/>
      </c>
      <c r="U322">
        <f>IF(VLOOKUP(C322,'QA Table'!$Y$5:$Y$20,1,TRUE)=C322,1,0)</f>
        <v>0</v>
      </c>
      <c r="V322" t="str">
        <f t="shared" si="90"/>
        <v/>
      </c>
      <c r="W322" t="str">
        <f t="shared" si="91"/>
        <v/>
      </c>
      <c r="X322">
        <f t="shared" si="92"/>
        <v>3</v>
      </c>
      <c r="Y322">
        <f t="shared" si="93"/>
        <v>0</v>
      </c>
      <c r="AA322">
        <f t="shared" si="94"/>
        <v>1</v>
      </c>
    </row>
    <row r="323" spans="1:27" x14ac:dyDescent="0.2">
      <c r="A323" t="s">
        <v>27</v>
      </c>
      <c r="B323" t="s">
        <v>44</v>
      </c>
      <c r="C323" t="s">
        <v>1448</v>
      </c>
      <c r="D323" t="s">
        <v>8</v>
      </c>
      <c r="E323" t="s">
        <v>3</v>
      </c>
      <c r="F323" t="s">
        <v>1438</v>
      </c>
      <c r="G323" t="s">
        <v>1281</v>
      </c>
      <c r="H323" s="4">
        <f t="shared" si="78"/>
        <v>1</v>
      </c>
      <c r="I323" s="4" t="str">
        <f>IF(RIGHT(B323,1)="M",IF(AND(H323=1,E323="RFS",D323=INDEX('Station Depth Averages'!$A$3:$B$84,MATCH(B323,'Station Depth Averages'!$A$3:$A$84,0),2)),1,""),IF(AND(H323=1,OR(D323="SYN",D323="SRF",D323="MID")),1,IF(AND(H323=1,OR(E324="FDn",E324="LDn")),1,IF(AND(H323=1,OR(E323="FDn",E323="LDn")),1,""))))</f>
        <v/>
      </c>
      <c r="J323" s="4" t="str">
        <f t="shared" si="79"/>
        <v/>
      </c>
      <c r="K323" s="4">
        <f t="shared" si="80"/>
        <v>1</v>
      </c>
      <c r="L323" s="4" t="str">
        <f t="shared" si="81"/>
        <v/>
      </c>
      <c r="M323" s="4" t="str">
        <f t="shared" si="82"/>
        <v/>
      </c>
      <c r="N323" s="4" t="str">
        <f t="shared" si="83"/>
        <v/>
      </c>
      <c r="O323" s="4" t="str">
        <f t="shared" si="84"/>
        <v/>
      </c>
      <c r="P323" s="4" t="str">
        <f t="shared" si="85"/>
        <v/>
      </c>
      <c r="Q323" s="4">
        <f t="shared" si="86"/>
        <v>2</v>
      </c>
      <c r="R323" s="4" t="str">
        <f t="shared" si="87"/>
        <v/>
      </c>
      <c r="S323" s="4" t="str">
        <f t="shared" si="88"/>
        <v/>
      </c>
      <c r="T323" s="4" t="str">
        <f t="shared" si="89"/>
        <v/>
      </c>
      <c r="U323">
        <f>IF(VLOOKUP(C323,'QA Table'!$Y$5:$Y$20,1,TRUE)=C323,1,0)</f>
        <v>0</v>
      </c>
      <c r="V323" t="str">
        <f t="shared" si="90"/>
        <v/>
      </c>
      <c r="W323" t="str">
        <f t="shared" si="91"/>
        <v/>
      </c>
      <c r="X323">
        <f t="shared" si="92"/>
        <v>3</v>
      </c>
      <c r="Y323">
        <f t="shared" si="93"/>
        <v>0</v>
      </c>
      <c r="AA323">
        <f t="shared" si="94"/>
        <v>1</v>
      </c>
    </row>
    <row r="324" spans="1:27" x14ac:dyDescent="0.2">
      <c r="A324" t="s">
        <v>27</v>
      </c>
      <c r="B324" t="s">
        <v>44</v>
      </c>
      <c r="C324" t="s">
        <v>1449</v>
      </c>
      <c r="D324" t="s">
        <v>9</v>
      </c>
      <c r="E324" t="s">
        <v>3</v>
      </c>
      <c r="F324" t="s">
        <v>1438</v>
      </c>
      <c r="G324" t="s">
        <v>1281</v>
      </c>
      <c r="H324" s="4" t="str">
        <f t="shared" si="78"/>
        <v/>
      </c>
      <c r="I324" s="4" t="str">
        <f>IF(RIGHT(B324,1)="M",IF(AND(H324=1,E324="RFS",D324=INDEX('Station Depth Averages'!$A$3:$B$84,MATCH(B324,'Station Depth Averages'!$A$3:$A$84,0),2)),1,""),IF(AND(H324=1,OR(D324="SYN",D324="SRF",D324="MID")),1,IF(AND(H324=1,OR(E325="FDn",E325="LDn")),1,IF(AND(H324=1,OR(E324="FDn",E324="LDn")),1,""))))</f>
        <v/>
      </c>
      <c r="J324" s="4" t="str">
        <f t="shared" si="79"/>
        <v/>
      </c>
      <c r="K324" s="4" t="str">
        <f t="shared" si="80"/>
        <v/>
      </c>
      <c r="L324" s="4" t="str">
        <f t="shared" si="81"/>
        <v/>
      </c>
      <c r="M324" s="4" t="str">
        <f t="shared" si="82"/>
        <v/>
      </c>
      <c r="N324" s="4" t="str">
        <f t="shared" si="83"/>
        <v/>
      </c>
      <c r="O324" s="4" t="str">
        <f t="shared" si="84"/>
        <v/>
      </c>
      <c r="P324" s="4" t="str">
        <f t="shared" si="85"/>
        <v/>
      </c>
      <c r="Q324" s="4" t="str">
        <f t="shared" si="86"/>
        <v/>
      </c>
      <c r="R324" s="4" t="str">
        <f t="shared" si="87"/>
        <v/>
      </c>
      <c r="S324" s="4" t="str">
        <f t="shared" si="88"/>
        <v/>
      </c>
      <c r="T324" s="4">
        <f t="shared" si="89"/>
        <v>1</v>
      </c>
      <c r="U324">
        <f>IF(VLOOKUP(C324,'QA Table'!$Y$5:$Y$20,1,TRUE)=C324,1,0)</f>
        <v>0</v>
      </c>
      <c r="V324" t="str">
        <f t="shared" si="90"/>
        <v/>
      </c>
      <c r="W324" t="str">
        <f t="shared" si="91"/>
        <v/>
      </c>
      <c r="X324" t="str">
        <f t="shared" si="92"/>
        <v/>
      </c>
      <c r="Y324">
        <f t="shared" si="93"/>
        <v>0</v>
      </c>
      <c r="AA324" t="str">
        <f t="shared" si="94"/>
        <v/>
      </c>
    </row>
    <row r="325" spans="1:27" x14ac:dyDescent="0.2">
      <c r="A325" t="s">
        <v>27</v>
      </c>
      <c r="B325" t="s">
        <v>44</v>
      </c>
      <c r="C325" t="s">
        <v>1450</v>
      </c>
      <c r="D325" t="s">
        <v>10</v>
      </c>
      <c r="E325" t="s">
        <v>3</v>
      </c>
      <c r="F325" t="s">
        <v>1438</v>
      </c>
      <c r="G325" t="s">
        <v>1281</v>
      </c>
      <c r="H325" s="4" t="str">
        <f t="shared" si="78"/>
        <v/>
      </c>
      <c r="I325" s="4" t="str">
        <f>IF(RIGHT(B325,1)="M",IF(AND(H325=1,E325="RFS",D325=INDEX('Station Depth Averages'!$A$3:$B$84,MATCH(B325,'Station Depth Averages'!$A$3:$A$84,0),2)),1,""),IF(AND(H325=1,OR(D325="SYN",D325="SRF",D325="MID")),1,IF(AND(H325=1,OR(E326="FDn",E326="LDn")),1,IF(AND(H325=1,OR(E325="FDn",E325="LDn")),1,""))))</f>
        <v/>
      </c>
      <c r="J325" s="4" t="str">
        <f t="shared" si="79"/>
        <v/>
      </c>
      <c r="K325" s="4" t="str">
        <f t="shared" si="80"/>
        <v/>
      </c>
      <c r="L325" s="4" t="str">
        <f t="shared" si="81"/>
        <v/>
      </c>
      <c r="M325" s="4" t="str">
        <f t="shared" si="82"/>
        <v/>
      </c>
      <c r="N325" s="4" t="str">
        <f t="shared" si="83"/>
        <v/>
      </c>
      <c r="O325" s="4" t="str">
        <f t="shared" si="84"/>
        <v/>
      </c>
      <c r="P325" s="4" t="str">
        <f t="shared" si="85"/>
        <v/>
      </c>
      <c r="Q325" s="4" t="str">
        <f t="shared" si="86"/>
        <v/>
      </c>
      <c r="R325" s="4" t="str">
        <f t="shared" si="87"/>
        <v/>
      </c>
      <c r="S325" s="4" t="str">
        <f t="shared" si="88"/>
        <v/>
      </c>
      <c r="T325" s="4">
        <f t="shared" si="89"/>
        <v>1</v>
      </c>
      <c r="U325">
        <f>IF(VLOOKUP(C325,'QA Table'!$Y$5:$Y$20,1,TRUE)=C325,1,0)</f>
        <v>0</v>
      </c>
      <c r="V325" t="str">
        <f t="shared" si="90"/>
        <v/>
      </c>
      <c r="W325" t="str">
        <f t="shared" si="91"/>
        <v/>
      </c>
      <c r="X325" t="str">
        <f t="shared" si="92"/>
        <v/>
      </c>
      <c r="Y325">
        <f t="shared" si="93"/>
        <v>0</v>
      </c>
      <c r="AA325" t="str">
        <f t="shared" si="94"/>
        <v/>
      </c>
    </row>
    <row r="326" spans="1:27" x14ac:dyDescent="0.2">
      <c r="A326" t="s">
        <v>27</v>
      </c>
      <c r="B326" t="s">
        <v>44</v>
      </c>
      <c r="C326" t="s">
        <v>1451</v>
      </c>
      <c r="D326" t="s">
        <v>1034</v>
      </c>
      <c r="E326" t="s">
        <v>3</v>
      </c>
      <c r="F326" t="s">
        <v>1438</v>
      </c>
      <c r="G326" t="s">
        <v>1281</v>
      </c>
      <c r="H326" s="4" t="str">
        <f t="shared" si="78"/>
        <v/>
      </c>
      <c r="I326" s="4" t="str">
        <f>IF(RIGHT(B326,1)="M",IF(AND(H326=1,E326="RFS",D326=INDEX('Station Depth Averages'!$A$3:$B$84,MATCH(B326,'Station Depth Averages'!$A$3:$A$84,0),2)),1,""),IF(AND(H326=1,OR(D326="SYN",D326="SRF",D326="MID")),1,IF(AND(H326=1,OR(E327="FDn",E327="LDn")),1,IF(AND(H326=1,OR(E326="FDn",E326="LDn")),1,""))))</f>
        <v/>
      </c>
      <c r="J326" s="4" t="str">
        <f t="shared" si="79"/>
        <v/>
      </c>
      <c r="K326" s="4" t="str">
        <f t="shared" si="80"/>
        <v/>
      </c>
      <c r="L326" s="4" t="str">
        <f t="shared" si="81"/>
        <v/>
      </c>
      <c r="M326" s="4" t="str">
        <f t="shared" si="82"/>
        <v/>
      </c>
      <c r="N326" s="4" t="str">
        <f t="shared" si="83"/>
        <v/>
      </c>
      <c r="O326" s="4" t="str">
        <f t="shared" si="84"/>
        <v/>
      </c>
      <c r="P326" s="4" t="str">
        <f t="shared" si="85"/>
        <v/>
      </c>
      <c r="Q326" s="4" t="str">
        <f t="shared" si="86"/>
        <v/>
      </c>
      <c r="R326" s="4" t="str">
        <f t="shared" si="87"/>
        <v/>
      </c>
      <c r="S326" s="4">
        <f t="shared" si="88"/>
        <v>1</v>
      </c>
      <c r="T326" s="4" t="str">
        <f t="shared" si="89"/>
        <v/>
      </c>
      <c r="U326">
        <f>IF(VLOOKUP(C326,'QA Table'!$Y$5:$Y$20,1,TRUE)=C326,1,0)</f>
        <v>0</v>
      </c>
      <c r="V326" t="str">
        <f t="shared" si="90"/>
        <v/>
      </c>
      <c r="W326" t="str">
        <f t="shared" si="91"/>
        <v/>
      </c>
      <c r="X326" t="str">
        <f t="shared" si="92"/>
        <v/>
      </c>
      <c r="Y326">
        <f t="shared" si="93"/>
        <v>0</v>
      </c>
      <c r="AA326" t="str">
        <f t="shared" si="94"/>
        <v/>
      </c>
    </row>
    <row r="327" spans="1:27" x14ac:dyDescent="0.2">
      <c r="A327" t="s">
        <v>27</v>
      </c>
      <c r="B327" t="s">
        <v>44</v>
      </c>
      <c r="C327" t="s">
        <v>1452</v>
      </c>
      <c r="D327" t="s">
        <v>1034</v>
      </c>
      <c r="E327" t="s">
        <v>19</v>
      </c>
      <c r="F327" t="s">
        <v>1438</v>
      </c>
      <c r="G327" t="s">
        <v>1281</v>
      </c>
      <c r="H327" s="4" t="str">
        <f t="shared" ref="H327:H390" si="95">IF(OR(RIGHT(C327,1)="A",RIGHT(C327,1)="B",RIGHT(C327,1)="C",D327="Benthos",D327="Sediment",D327="Sediments",D327="D100",D327="D20",D327="Mysis",E327="FD1",E327="LD1"),"",1)</f>
        <v/>
      </c>
      <c r="I327" s="4" t="str">
        <f>IF(RIGHT(B327,1)="M",IF(AND(H327=1,E327="RFS",D327=INDEX('Station Depth Averages'!$A$3:$B$84,MATCH(B327,'Station Depth Averages'!$A$3:$A$84,0),2)),1,""),IF(AND(H327=1,OR(D327="SYN",D327="SRF",D327="MID")),1,IF(AND(H327=1,OR(E328="FDn",E328="LDn")),1,IF(AND(H327=1,OR(E327="FDn",E327="LDn")),1,""))))</f>
        <v/>
      </c>
      <c r="J327" s="4" t="str">
        <f t="shared" ref="J327:J390" si="96">IF(OR(D327="INT",D327="Benthos",D327="D100",D327="D20",E327="LDn",D327="mysis",D327="sediment",D327="sediments",OR(RIGHT(C327,1)="A",RIGHT(C327,1)="B",RIGHT(C327,1)="C",E327="FD1",E327="LD1")),"",1)</f>
        <v/>
      </c>
      <c r="K327" s="4" t="str">
        <f t="shared" ref="K327:K390" si="97">IF(D327="INT",1,"")</f>
        <v/>
      </c>
      <c r="L327" s="4" t="str">
        <f t="shared" ref="L327:L390" si="98">IF(AND(LEFT(B327,1)="E",A327&lt;&gt;"E",RIGHT(B327,1)="M"),IF(AND(A327="w",D327="MID",E327="RFS"),1,IF(AND(A327="C",D327="5M",E327="RFS"),1,"")),IF(AND(RIGHT(B327,1)="M",D327="10M",E327="RFS"),1,""))</f>
        <v/>
      </c>
      <c r="M327" s="4" t="str">
        <f t="shared" ref="M327:M390" si="99">IF(L327=1,1,"")</f>
        <v/>
      </c>
      <c r="N327" s="4" t="str">
        <f t="shared" ref="N327:N390" si="100">IF(M327=1,1,"")</f>
        <v/>
      </c>
      <c r="O327" s="4" t="str">
        <f t="shared" ref="O327:O390" si="101">IF(N327=1,1,"")</f>
        <v/>
      </c>
      <c r="P327" s="4" t="str">
        <f t="shared" ref="P327:P390" si="102">IF(O327=1,1,"")</f>
        <v/>
      </c>
      <c r="Q327" s="4" t="str">
        <f t="shared" ref="Q327:Q390" si="103">IF(AND(OR(D327="INT",D327="DCL"),OR(LEFT(B327,2)="SU",LEFT(B327,2)="HU",LEFT(B327,2)="MI",LEFT(B327,2)="CS",LEFT(B327,2)="ON")),2,IF(AND(OR(D327="INT",D327="DCL"),LEFT(B327,2)="ER"),1,""))</f>
        <v/>
      </c>
      <c r="R327" s="4" t="str">
        <f t="shared" ref="R327:R390" si="104">IF(D327="benthos",1,"")</f>
        <v/>
      </c>
      <c r="S327" s="4">
        <f t="shared" ref="S327:S390" si="105">IF(D327="mysis",1,"")</f>
        <v>1</v>
      </c>
      <c r="T327" s="4" t="str">
        <f t="shared" ref="T327:T390" si="106">IF(AND(OR(D327="d20",D327="d100"),LEFT(B327,2)="SU"),2,IF(OR(D327="D20",D327="d100"),1,""))</f>
        <v/>
      </c>
      <c r="U327">
        <f>IF(VLOOKUP(C327,'QA Table'!$Y$5:$Y$20,1,TRUE)=C327,1,0)</f>
        <v>0</v>
      </c>
      <c r="V327" t="str">
        <f t="shared" ref="V327:V390" si="107">IF(AND(D327="Sediment",RIGHT(C327,1)="8"),1,"")</f>
        <v/>
      </c>
      <c r="W327" t="str">
        <f t="shared" ref="W327:W390" si="108">IF(AND(D327="Sediment",RIGHT(C327,1)="9"),1,"")</f>
        <v/>
      </c>
      <c r="X327" t="str">
        <f t="shared" ref="X327:X390" si="109">IF(AND(H327=1,OR(LEFT(B327,1)="M",LEFT(B327,1)="E",LEFT(B327,1)="O",LEFT(B327,1)="C")),4,IF(AND(H327=1,OR(LEFT(B327,1)="H",LEFT(B327,1)="S")),3,""))</f>
        <v/>
      </c>
      <c r="Y327">
        <f t="shared" ref="Y327:Y390" si="110">IF(U327=1,1,IF(AND(E327="LD1",U326=1),1,IF(AND(E327="FD1",U325=1),1,0)))</f>
        <v>0</v>
      </c>
      <c r="AA327" t="str">
        <f t="shared" ref="AA327:AA390" si="111">IF(X327&lt;&gt;"",1,"")</f>
        <v/>
      </c>
    </row>
    <row r="328" spans="1:27" x14ac:dyDescent="0.2">
      <c r="A328" t="s">
        <v>27</v>
      </c>
      <c r="B328" t="s">
        <v>45</v>
      </c>
      <c r="C328" t="s">
        <v>1453</v>
      </c>
      <c r="D328" t="s">
        <v>2</v>
      </c>
      <c r="E328" t="s">
        <v>3</v>
      </c>
      <c r="F328" t="s">
        <v>1454</v>
      </c>
      <c r="G328" t="s">
        <v>1281</v>
      </c>
      <c r="H328" s="4">
        <f t="shared" si="95"/>
        <v>1</v>
      </c>
      <c r="I328" s="4">
        <f>IF(RIGHT(B328,1)="M",IF(AND(H328=1,E328="RFS",D328=INDEX('Station Depth Averages'!$A$3:$B$84,MATCH(B328,'Station Depth Averages'!$A$3:$A$84,0),2)),1,""),IF(AND(H328=1,OR(D328="SYN",D328="SRF",D328="MID")),1,IF(AND(H328=1,OR(E329="FDn",E329="LDn")),1,IF(AND(H328=1,OR(E328="FDn",E328="LDn")),1,""))))</f>
        <v>1</v>
      </c>
      <c r="J328" s="4">
        <f t="shared" si="96"/>
        <v>1</v>
      </c>
      <c r="K328" s="4" t="str">
        <f t="shared" si="97"/>
        <v/>
      </c>
      <c r="L328" s="4" t="str">
        <f t="shared" si="98"/>
        <v/>
      </c>
      <c r="M328" s="4" t="str">
        <f t="shared" si="99"/>
        <v/>
      </c>
      <c r="N328" s="4" t="str">
        <f t="shared" si="100"/>
        <v/>
      </c>
      <c r="O328" s="4" t="str">
        <f t="shared" si="101"/>
        <v/>
      </c>
      <c r="P328" s="4" t="str">
        <f t="shared" si="102"/>
        <v/>
      </c>
      <c r="Q328" s="4" t="str">
        <f t="shared" si="103"/>
        <v/>
      </c>
      <c r="R328" s="4" t="str">
        <f t="shared" si="104"/>
        <v/>
      </c>
      <c r="S328" s="4" t="str">
        <f t="shared" si="105"/>
        <v/>
      </c>
      <c r="T328" s="4" t="str">
        <f t="shared" si="106"/>
        <v/>
      </c>
      <c r="U328">
        <f>IF(VLOOKUP(C328,'QA Table'!$Y$5:$Y$20,1,TRUE)=C328,1,0)</f>
        <v>0</v>
      </c>
      <c r="V328" t="str">
        <f t="shared" si="107"/>
        <v/>
      </c>
      <c r="W328" t="str">
        <f t="shared" si="108"/>
        <v/>
      </c>
      <c r="X328">
        <f t="shared" si="109"/>
        <v>3</v>
      </c>
      <c r="Y328">
        <f t="shared" si="110"/>
        <v>0</v>
      </c>
      <c r="AA328">
        <f t="shared" si="111"/>
        <v>1</v>
      </c>
    </row>
    <row r="329" spans="1:27" x14ac:dyDescent="0.2">
      <c r="A329" t="s">
        <v>27</v>
      </c>
      <c r="B329" t="s">
        <v>45</v>
      </c>
      <c r="C329" t="s">
        <v>1455</v>
      </c>
      <c r="D329" t="s">
        <v>1050</v>
      </c>
      <c r="E329" t="s">
        <v>3</v>
      </c>
      <c r="F329" t="s">
        <v>1454</v>
      </c>
      <c r="G329" t="s">
        <v>1281</v>
      </c>
      <c r="H329" s="4" t="str">
        <f t="shared" si="95"/>
        <v/>
      </c>
      <c r="I329" s="4" t="str">
        <f>IF(RIGHT(B329,1)="M",IF(AND(H329=1,E329="RFS",D329=INDEX('Station Depth Averages'!$A$3:$B$84,MATCH(B329,'Station Depth Averages'!$A$3:$A$84,0),2)),1,""),IF(AND(H329=1,OR(D329="SYN",D329="SRF",D329="MID")),1,IF(AND(H329=1,OR(E330="FDn",E330="LDn")),1,IF(AND(H329=1,OR(E329="FDn",E329="LDn")),1,""))))</f>
        <v/>
      </c>
      <c r="J329" s="4" t="str">
        <f t="shared" si="96"/>
        <v/>
      </c>
      <c r="K329" s="4" t="str">
        <f t="shared" si="97"/>
        <v/>
      </c>
      <c r="L329" s="4" t="str">
        <f t="shared" si="98"/>
        <v/>
      </c>
      <c r="M329" s="4" t="str">
        <f t="shared" si="99"/>
        <v/>
      </c>
      <c r="N329" s="4" t="str">
        <f t="shared" si="100"/>
        <v/>
      </c>
      <c r="O329" s="4" t="str">
        <f t="shared" si="101"/>
        <v/>
      </c>
      <c r="P329" s="4" t="str">
        <f t="shared" si="102"/>
        <v/>
      </c>
      <c r="Q329" s="4" t="str">
        <f t="shared" si="103"/>
        <v/>
      </c>
      <c r="R329" s="4" t="str">
        <f t="shared" si="104"/>
        <v/>
      </c>
      <c r="S329" s="4" t="str">
        <f t="shared" si="105"/>
        <v/>
      </c>
      <c r="T329" s="4" t="str">
        <f t="shared" si="106"/>
        <v/>
      </c>
      <c r="U329">
        <f>IF(VLOOKUP(C329,'QA Table'!$Y$5:$Y$20,1,TRUE)=C329,1,0)</f>
        <v>0</v>
      </c>
      <c r="V329" t="str">
        <f t="shared" si="107"/>
        <v/>
      </c>
      <c r="W329" t="str">
        <f t="shared" si="108"/>
        <v/>
      </c>
      <c r="X329" t="str">
        <f t="shared" si="109"/>
        <v/>
      </c>
      <c r="Y329">
        <f t="shared" si="110"/>
        <v>0</v>
      </c>
      <c r="AA329" t="str">
        <f t="shared" si="111"/>
        <v/>
      </c>
    </row>
    <row r="330" spans="1:27" x14ac:dyDescent="0.2">
      <c r="A330" t="s">
        <v>27</v>
      </c>
      <c r="B330" t="s">
        <v>45</v>
      </c>
      <c r="C330" t="s">
        <v>1456</v>
      </c>
      <c r="D330" t="s">
        <v>4</v>
      </c>
      <c r="E330" t="s">
        <v>3</v>
      </c>
      <c r="F330" t="s">
        <v>1454</v>
      </c>
      <c r="G330" t="s">
        <v>1281</v>
      </c>
      <c r="H330" s="4" t="str">
        <f t="shared" si="95"/>
        <v/>
      </c>
      <c r="I330" s="4" t="str">
        <f>IF(RIGHT(B330,1)="M",IF(AND(H330=1,E330="RFS",D330=INDEX('Station Depth Averages'!$A$3:$B$84,MATCH(B330,'Station Depth Averages'!$A$3:$A$84,0),2)),1,""),IF(AND(H330=1,OR(D330="SYN",D330="SRF",D330="MID")),1,IF(AND(H330=1,OR(E331="FDn",E331="LDn")),1,IF(AND(H330=1,OR(E330="FDn",E330="LDn")),1,""))))</f>
        <v/>
      </c>
      <c r="J330" s="4" t="str">
        <f t="shared" si="96"/>
        <v/>
      </c>
      <c r="K330" s="4" t="str">
        <f t="shared" si="97"/>
        <v/>
      </c>
      <c r="L330" s="4" t="str">
        <f t="shared" si="98"/>
        <v/>
      </c>
      <c r="M330" s="4" t="str">
        <f t="shared" si="99"/>
        <v/>
      </c>
      <c r="N330" s="4" t="str">
        <f t="shared" si="100"/>
        <v/>
      </c>
      <c r="O330" s="4" t="str">
        <f t="shared" si="101"/>
        <v/>
      </c>
      <c r="P330" s="4" t="str">
        <f t="shared" si="102"/>
        <v/>
      </c>
      <c r="Q330" s="4" t="str">
        <f t="shared" si="103"/>
        <v/>
      </c>
      <c r="R330" s="4" t="str">
        <f t="shared" si="104"/>
        <v/>
      </c>
      <c r="S330" s="4" t="str">
        <f t="shared" si="105"/>
        <v/>
      </c>
      <c r="T330" s="4" t="str">
        <f t="shared" si="106"/>
        <v/>
      </c>
      <c r="U330">
        <f>IF(VLOOKUP(C330,'QA Table'!$Y$5:$Y$20,1,TRUE)=C330,1,0)</f>
        <v>0</v>
      </c>
      <c r="V330" t="str">
        <f t="shared" si="107"/>
        <v/>
      </c>
      <c r="W330" t="str">
        <f t="shared" si="108"/>
        <v/>
      </c>
      <c r="X330" t="str">
        <f t="shared" si="109"/>
        <v/>
      </c>
      <c r="Y330">
        <f t="shared" si="110"/>
        <v>0</v>
      </c>
      <c r="AA330" t="str">
        <f t="shared" si="111"/>
        <v/>
      </c>
    </row>
    <row r="331" spans="1:27" x14ac:dyDescent="0.2">
      <c r="A331" t="s">
        <v>27</v>
      </c>
      <c r="B331" t="s">
        <v>45</v>
      </c>
      <c r="C331" t="s">
        <v>1457</v>
      </c>
      <c r="D331" t="s">
        <v>1051</v>
      </c>
      <c r="E331" t="s">
        <v>3</v>
      </c>
      <c r="F331" t="s">
        <v>1454</v>
      </c>
      <c r="G331" t="s">
        <v>1281</v>
      </c>
      <c r="H331" s="4" t="str">
        <f t="shared" si="95"/>
        <v/>
      </c>
      <c r="I331" s="4" t="str">
        <f>IF(RIGHT(B331,1)="M",IF(AND(H331=1,E331="RFS",D331=INDEX('Station Depth Averages'!$A$3:$B$84,MATCH(B331,'Station Depth Averages'!$A$3:$A$84,0),2)),1,""),IF(AND(H331=1,OR(D331="SYN",D331="SRF",D331="MID")),1,IF(AND(H331=1,OR(E332="FDn",E332="LDn")),1,IF(AND(H331=1,OR(E331="FDn",E331="LDn")),1,""))))</f>
        <v/>
      </c>
      <c r="J331" s="4" t="str">
        <f t="shared" si="96"/>
        <v/>
      </c>
      <c r="K331" s="4" t="str">
        <f t="shared" si="97"/>
        <v/>
      </c>
      <c r="L331" s="4" t="str">
        <f t="shared" si="98"/>
        <v/>
      </c>
      <c r="M331" s="4" t="str">
        <f t="shared" si="99"/>
        <v/>
      </c>
      <c r="N331" s="4" t="str">
        <f t="shared" si="100"/>
        <v/>
      </c>
      <c r="O331" s="4" t="str">
        <f t="shared" si="101"/>
        <v/>
      </c>
      <c r="P331" s="4" t="str">
        <f t="shared" si="102"/>
        <v/>
      </c>
      <c r="Q331" s="4" t="str">
        <f t="shared" si="103"/>
        <v/>
      </c>
      <c r="R331" s="4" t="str">
        <f t="shared" si="104"/>
        <v/>
      </c>
      <c r="S331" s="4" t="str">
        <f t="shared" si="105"/>
        <v/>
      </c>
      <c r="T331" s="4" t="str">
        <f t="shared" si="106"/>
        <v/>
      </c>
      <c r="U331">
        <f>IF(VLOOKUP(C331,'QA Table'!$Y$5:$Y$20,1,TRUE)=C331,1,0)</f>
        <v>0</v>
      </c>
      <c r="V331" t="str">
        <f t="shared" si="107"/>
        <v/>
      </c>
      <c r="W331" t="str">
        <f t="shared" si="108"/>
        <v/>
      </c>
      <c r="X331" t="str">
        <f t="shared" si="109"/>
        <v/>
      </c>
      <c r="Y331">
        <f t="shared" si="110"/>
        <v>0</v>
      </c>
      <c r="AA331" t="str">
        <f t="shared" si="111"/>
        <v/>
      </c>
    </row>
    <row r="332" spans="1:27" x14ac:dyDescent="0.2">
      <c r="A332" t="s">
        <v>27</v>
      </c>
      <c r="B332" t="s">
        <v>45</v>
      </c>
      <c r="C332" t="s">
        <v>1458</v>
      </c>
      <c r="D332" t="s">
        <v>119</v>
      </c>
      <c r="E332" t="s">
        <v>3</v>
      </c>
      <c r="F332" t="s">
        <v>1454</v>
      </c>
      <c r="G332" t="s">
        <v>1281</v>
      </c>
      <c r="H332" s="4">
        <f t="shared" si="95"/>
        <v>1</v>
      </c>
      <c r="I332" s="4">
        <f>IF(RIGHT(B332,1)="M",IF(AND(H332=1,E332="RFS",D332=INDEX('Station Depth Averages'!$A$3:$B$84,MATCH(B332,'Station Depth Averages'!$A$3:$A$84,0),2)),1,""),IF(AND(H332=1,OR(D332="SYN",D332="SRF",D332="MID")),1,IF(AND(H332=1,OR(E333="FDn",E333="LDn")),1,IF(AND(H332=1,OR(E332="FDn",E332="LDn")),1,""))))</f>
        <v>1</v>
      </c>
      <c r="J332" s="4">
        <f t="shared" si="96"/>
        <v>1</v>
      </c>
      <c r="K332" s="4" t="str">
        <f t="shared" si="97"/>
        <v/>
      </c>
      <c r="L332" s="4" t="str">
        <f t="shared" si="98"/>
        <v/>
      </c>
      <c r="M332" s="4" t="str">
        <f t="shared" si="99"/>
        <v/>
      </c>
      <c r="N332" s="4" t="str">
        <f t="shared" si="100"/>
        <v/>
      </c>
      <c r="O332" s="4" t="str">
        <f t="shared" si="101"/>
        <v/>
      </c>
      <c r="P332" s="4" t="str">
        <f t="shared" si="102"/>
        <v/>
      </c>
      <c r="Q332" s="4" t="str">
        <f t="shared" si="103"/>
        <v/>
      </c>
      <c r="R332" s="4" t="str">
        <f t="shared" si="104"/>
        <v/>
      </c>
      <c r="S332" s="4" t="str">
        <f t="shared" si="105"/>
        <v/>
      </c>
      <c r="T332" s="4" t="str">
        <f t="shared" si="106"/>
        <v/>
      </c>
      <c r="U332">
        <f>IF(VLOOKUP(C332,'QA Table'!$Y$5:$Y$20,1,TRUE)=C332,1,0)</f>
        <v>0</v>
      </c>
      <c r="V332" t="str">
        <f t="shared" si="107"/>
        <v/>
      </c>
      <c r="W332" t="str">
        <f t="shared" si="108"/>
        <v/>
      </c>
      <c r="X332">
        <f t="shared" si="109"/>
        <v>3</v>
      </c>
      <c r="Y332">
        <f t="shared" si="110"/>
        <v>0</v>
      </c>
      <c r="AA332">
        <f t="shared" si="111"/>
        <v>1</v>
      </c>
    </row>
    <row r="333" spans="1:27" x14ac:dyDescent="0.2">
      <c r="A333" t="s">
        <v>27</v>
      </c>
      <c r="B333" t="s">
        <v>45</v>
      </c>
      <c r="C333" t="s">
        <v>1459</v>
      </c>
      <c r="D333" t="s">
        <v>5</v>
      </c>
      <c r="E333" t="s">
        <v>3</v>
      </c>
      <c r="F333" t="s">
        <v>1454</v>
      </c>
      <c r="G333" t="s">
        <v>1281</v>
      </c>
      <c r="H333" s="4">
        <f t="shared" si="95"/>
        <v>1</v>
      </c>
      <c r="I333" s="4" t="str">
        <f>IF(RIGHT(B333,1)="M",IF(AND(H333=1,E333="RFS",D333=INDEX('Station Depth Averages'!$A$3:$B$84,MATCH(B333,'Station Depth Averages'!$A$3:$A$84,0),2)),1,""),IF(AND(H333=1,OR(D333="SYN",D333="SRF",D333="MID")),1,IF(AND(H333=1,OR(E334="FDn",E334="LDn")),1,IF(AND(H333=1,OR(E333="FDn",E333="LDn")),1,""))))</f>
        <v/>
      </c>
      <c r="J333" s="4">
        <f t="shared" si="96"/>
        <v>1</v>
      </c>
      <c r="K333" s="4" t="str">
        <f t="shared" si="97"/>
        <v/>
      </c>
      <c r="L333" s="4" t="str">
        <f t="shared" si="98"/>
        <v/>
      </c>
      <c r="M333" s="4" t="str">
        <f t="shared" si="99"/>
        <v/>
      </c>
      <c r="N333" s="4" t="str">
        <f t="shared" si="100"/>
        <v/>
      </c>
      <c r="O333" s="4" t="str">
        <f t="shared" si="101"/>
        <v/>
      </c>
      <c r="P333" s="4" t="str">
        <f t="shared" si="102"/>
        <v/>
      </c>
      <c r="Q333" s="4" t="str">
        <f t="shared" si="103"/>
        <v/>
      </c>
      <c r="R333" s="4" t="str">
        <f t="shared" si="104"/>
        <v/>
      </c>
      <c r="S333" s="4" t="str">
        <f t="shared" si="105"/>
        <v/>
      </c>
      <c r="T333" s="4" t="str">
        <f t="shared" si="106"/>
        <v/>
      </c>
      <c r="U333">
        <f>IF(VLOOKUP(C333,'QA Table'!$Y$5:$Y$20,1,TRUE)=C333,1,0)</f>
        <v>0</v>
      </c>
      <c r="V333" t="str">
        <f t="shared" si="107"/>
        <v/>
      </c>
      <c r="W333" t="str">
        <f t="shared" si="108"/>
        <v/>
      </c>
      <c r="X333">
        <f t="shared" si="109"/>
        <v>3</v>
      </c>
      <c r="Y333">
        <f t="shared" si="110"/>
        <v>0</v>
      </c>
      <c r="AA333">
        <f t="shared" si="111"/>
        <v>1</v>
      </c>
    </row>
    <row r="334" spans="1:27" x14ac:dyDescent="0.2">
      <c r="A334" t="s">
        <v>27</v>
      </c>
      <c r="B334" t="s">
        <v>45</v>
      </c>
      <c r="C334" t="s">
        <v>1460</v>
      </c>
      <c r="D334" t="s">
        <v>6</v>
      </c>
      <c r="E334" t="s">
        <v>3</v>
      </c>
      <c r="F334" t="s">
        <v>1454</v>
      </c>
      <c r="G334" t="s">
        <v>1281</v>
      </c>
      <c r="H334" s="4">
        <f t="shared" si="95"/>
        <v>1</v>
      </c>
      <c r="I334" s="4" t="str">
        <f>IF(RIGHT(B334,1)="M",IF(AND(H334=1,E334="RFS",D334=INDEX('Station Depth Averages'!$A$3:$B$84,MATCH(B334,'Station Depth Averages'!$A$3:$A$84,0),2)),1,""),IF(AND(H334=1,OR(D334="SYN",D334="SRF",D334="MID")),1,IF(AND(H334=1,OR(E335="FDn",E335="LDn")),1,IF(AND(H334=1,OR(E334="FDn",E334="LDn")),1,""))))</f>
        <v/>
      </c>
      <c r="J334" s="4">
        <f t="shared" si="96"/>
        <v>1</v>
      </c>
      <c r="K334" s="4" t="str">
        <f t="shared" si="97"/>
        <v/>
      </c>
      <c r="L334" s="4" t="str">
        <f t="shared" si="98"/>
        <v/>
      </c>
      <c r="M334" s="4" t="str">
        <f t="shared" si="99"/>
        <v/>
      </c>
      <c r="N334" s="4" t="str">
        <f t="shared" si="100"/>
        <v/>
      </c>
      <c r="O334" s="4" t="str">
        <f t="shared" si="101"/>
        <v/>
      </c>
      <c r="P334" s="4" t="str">
        <f t="shared" si="102"/>
        <v/>
      </c>
      <c r="Q334" s="4" t="str">
        <f t="shared" si="103"/>
        <v/>
      </c>
      <c r="R334" s="4" t="str">
        <f t="shared" si="104"/>
        <v/>
      </c>
      <c r="S334" s="4" t="str">
        <f t="shared" si="105"/>
        <v/>
      </c>
      <c r="T334" s="4" t="str">
        <f t="shared" si="106"/>
        <v/>
      </c>
      <c r="U334">
        <f>IF(VLOOKUP(C334,'QA Table'!$Y$5:$Y$20,1,TRUE)=C334,1,0)</f>
        <v>0</v>
      </c>
      <c r="V334" t="str">
        <f t="shared" si="107"/>
        <v/>
      </c>
      <c r="W334" t="str">
        <f t="shared" si="108"/>
        <v/>
      </c>
      <c r="X334">
        <f t="shared" si="109"/>
        <v>3</v>
      </c>
      <c r="Y334">
        <f t="shared" si="110"/>
        <v>0</v>
      </c>
      <c r="AA334">
        <f t="shared" si="111"/>
        <v>1</v>
      </c>
    </row>
    <row r="335" spans="1:27" x14ac:dyDescent="0.2">
      <c r="A335" t="s">
        <v>27</v>
      </c>
      <c r="B335" t="s">
        <v>45</v>
      </c>
      <c r="C335" t="s">
        <v>1461</v>
      </c>
      <c r="D335" t="s">
        <v>8</v>
      </c>
      <c r="E335" t="s">
        <v>3</v>
      </c>
      <c r="F335" t="s">
        <v>1454</v>
      </c>
      <c r="G335" t="s">
        <v>1281</v>
      </c>
      <c r="H335" s="4">
        <f t="shared" si="95"/>
        <v>1</v>
      </c>
      <c r="I335" s="4" t="str">
        <f>IF(RIGHT(B335,1)="M",IF(AND(H335=1,E335="RFS",D335=INDEX('Station Depth Averages'!$A$3:$B$84,MATCH(B335,'Station Depth Averages'!$A$3:$A$84,0),2)),1,""),IF(AND(H335=1,OR(D335="SYN",D335="SRF",D335="MID")),1,IF(AND(H335=1,OR(E336="FDn",E336="LDn")),1,IF(AND(H335=1,OR(E335="FDn",E335="LDn")),1,""))))</f>
        <v/>
      </c>
      <c r="J335" s="4" t="str">
        <f t="shared" si="96"/>
        <v/>
      </c>
      <c r="K335" s="4">
        <f t="shared" si="97"/>
        <v>1</v>
      </c>
      <c r="L335" s="4" t="str">
        <f t="shared" si="98"/>
        <v/>
      </c>
      <c r="M335" s="4" t="str">
        <f t="shared" si="99"/>
        <v/>
      </c>
      <c r="N335" s="4" t="str">
        <f t="shared" si="100"/>
        <v/>
      </c>
      <c r="O335" s="4" t="str">
        <f t="shared" si="101"/>
        <v/>
      </c>
      <c r="P335" s="4" t="str">
        <f t="shared" si="102"/>
        <v/>
      </c>
      <c r="Q335" s="4">
        <f t="shared" si="103"/>
        <v>2</v>
      </c>
      <c r="R335" s="4" t="str">
        <f t="shared" si="104"/>
        <v/>
      </c>
      <c r="S335" s="4" t="str">
        <f t="shared" si="105"/>
        <v/>
      </c>
      <c r="T335" s="4" t="str">
        <f t="shared" si="106"/>
        <v/>
      </c>
      <c r="U335">
        <f>IF(VLOOKUP(C335,'QA Table'!$Y$5:$Y$20,1,TRUE)=C335,1,0)</f>
        <v>0</v>
      </c>
      <c r="V335" t="str">
        <f t="shared" si="107"/>
        <v/>
      </c>
      <c r="W335" t="str">
        <f t="shared" si="108"/>
        <v/>
      </c>
      <c r="X335">
        <f t="shared" si="109"/>
        <v>3</v>
      </c>
      <c r="Y335">
        <f t="shared" si="110"/>
        <v>0</v>
      </c>
      <c r="AA335">
        <f t="shared" si="111"/>
        <v>1</v>
      </c>
    </row>
    <row r="336" spans="1:27" x14ac:dyDescent="0.2">
      <c r="A336" t="s">
        <v>27</v>
      </c>
      <c r="B336" t="s">
        <v>45</v>
      </c>
      <c r="C336" t="s">
        <v>1462</v>
      </c>
      <c r="D336" t="s">
        <v>9</v>
      </c>
      <c r="E336" t="s">
        <v>3</v>
      </c>
      <c r="F336" t="s">
        <v>1454</v>
      </c>
      <c r="G336" t="s">
        <v>1281</v>
      </c>
      <c r="H336" s="4" t="str">
        <f t="shared" si="95"/>
        <v/>
      </c>
      <c r="I336" s="4" t="str">
        <f>IF(RIGHT(B336,1)="M",IF(AND(H336=1,E336="RFS",D336=INDEX('Station Depth Averages'!$A$3:$B$84,MATCH(B336,'Station Depth Averages'!$A$3:$A$84,0),2)),1,""),IF(AND(H336=1,OR(D336="SYN",D336="SRF",D336="MID")),1,IF(AND(H336=1,OR(E337="FDn",E337="LDn")),1,IF(AND(H336=1,OR(E336="FDn",E336="LDn")),1,""))))</f>
        <v/>
      </c>
      <c r="J336" s="4" t="str">
        <f t="shared" si="96"/>
        <v/>
      </c>
      <c r="K336" s="4" t="str">
        <f t="shared" si="97"/>
        <v/>
      </c>
      <c r="L336" s="4" t="str">
        <f t="shared" si="98"/>
        <v/>
      </c>
      <c r="M336" s="4" t="str">
        <f t="shared" si="99"/>
        <v/>
      </c>
      <c r="N336" s="4" t="str">
        <f t="shared" si="100"/>
        <v/>
      </c>
      <c r="O336" s="4" t="str">
        <f t="shared" si="101"/>
        <v/>
      </c>
      <c r="P336" s="4" t="str">
        <f t="shared" si="102"/>
        <v/>
      </c>
      <c r="Q336" s="4" t="str">
        <f t="shared" si="103"/>
        <v/>
      </c>
      <c r="R336" s="4" t="str">
        <f t="shared" si="104"/>
        <v/>
      </c>
      <c r="S336" s="4" t="str">
        <f t="shared" si="105"/>
        <v/>
      </c>
      <c r="T336" s="4">
        <f t="shared" si="106"/>
        <v>1</v>
      </c>
      <c r="U336">
        <f>IF(VLOOKUP(C336,'QA Table'!$Y$5:$Y$20,1,TRUE)=C336,1,0)</f>
        <v>0</v>
      </c>
      <c r="V336" t="str">
        <f t="shared" si="107"/>
        <v/>
      </c>
      <c r="W336" t="str">
        <f t="shared" si="108"/>
        <v/>
      </c>
      <c r="X336" t="str">
        <f t="shared" si="109"/>
        <v/>
      </c>
      <c r="Y336">
        <f t="shared" si="110"/>
        <v>0</v>
      </c>
      <c r="AA336" t="str">
        <f t="shared" si="111"/>
        <v/>
      </c>
    </row>
    <row r="337" spans="1:27" x14ac:dyDescent="0.2">
      <c r="A337" t="s">
        <v>27</v>
      </c>
      <c r="B337" t="s">
        <v>45</v>
      </c>
      <c r="C337" t="s">
        <v>1463</v>
      </c>
      <c r="D337" t="s">
        <v>10</v>
      </c>
      <c r="E337" t="s">
        <v>3</v>
      </c>
      <c r="F337" t="s">
        <v>1454</v>
      </c>
      <c r="G337" t="s">
        <v>1281</v>
      </c>
      <c r="H337" s="4" t="str">
        <f t="shared" si="95"/>
        <v/>
      </c>
      <c r="I337" s="4" t="str">
        <f>IF(RIGHT(B337,1)="M",IF(AND(H337=1,E337="RFS",D337=INDEX('Station Depth Averages'!$A$3:$B$84,MATCH(B337,'Station Depth Averages'!$A$3:$A$84,0),2)),1,""),IF(AND(H337=1,OR(D337="SYN",D337="SRF",D337="MID")),1,IF(AND(H337=1,OR(E338="FDn",E338="LDn")),1,IF(AND(H337=1,OR(E337="FDn",E337="LDn")),1,""))))</f>
        <v/>
      </c>
      <c r="J337" s="4" t="str">
        <f t="shared" si="96"/>
        <v/>
      </c>
      <c r="K337" s="4" t="str">
        <f t="shared" si="97"/>
        <v/>
      </c>
      <c r="L337" s="4" t="str">
        <f t="shared" si="98"/>
        <v/>
      </c>
      <c r="M337" s="4" t="str">
        <f t="shared" si="99"/>
        <v/>
      </c>
      <c r="N337" s="4" t="str">
        <f t="shared" si="100"/>
        <v/>
      </c>
      <c r="O337" s="4" t="str">
        <f t="shared" si="101"/>
        <v/>
      </c>
      <c r="P337" s="4" t="str">
        <f t="shared" si="102"/>
        <v/>
      </c>
      <c r="Q337" s="4" t="str">
        <f t="shared" si="103"/>
        <v/>
      </c>
      <c r="R337" s="4" t="str">
        <f t="shared" si="104"/>
        <v/>
      </c>
      <c r="S337" s="4" t="str">
        <f t="shared" si="105"/>
        <v/>
      </c>
      <c r="T337" s="4">
        <f t="shared" si="106"/>
        <v>1</v>
      </c>
      <c r="U337">
        <f>IF(VLOOKUP(C337,'QA Table'!$Y$5:$Y$20,1,TRUE)=C337,1,0)</f>
        <v>0</v>
      </c>
      <c r="V337" t="str">
        <f t="shared" si="107"/>
        <v/>
      </c>
      <c r="W337" t="str">
        <f t="shared" si="108"/>
        <v/>
      </c>
      <c r="X337" t="str">
        <f t="shared" si="109"/>
        <v/>
      </c>
      <c r="Y337">
        <f t="shared" si="110"/>
        <v>0</v>
      </c>
      <c r="AA337" t="str">
        <f t="shared" si="111"/>
        <v/>
      </c>
    </row>
    <row r="338" spans="1:27" x14ac:dyDescent="0.2">
      <c r="A338" t="s">
        <v>27</v>
      </c>
      <c r="B338" t="s">
        <v>45</v>
      </c>
      <c r="C338" t="s">
        <v>1464</v>
      </c>
      <c r="D338" t="s">
        <v>1034</v>
      </c>
      <c r="E338" t="s">
        <v>3</v>
      </c>
      <c r="F338" t="s">
        <v>1454</v>
      </c>
      <c r="G338" t="s">
        <v>1281</v>
      </c>
      <c r="H338" s="4" t="str">
        <f t="shared" si="95"/>
        <v/>
      </c>
      <c r="I338" s="4" t="str">
        <f>IF(RIGHT(B338,1)="M",IF(AND(H338=1,E338="RFS",D338=INDEX('Station Depth Averages'!$A$3:$B$84,MATCH(B338,'Station Depth Averages'!$A$3:$A$84,0),2)),1,""),IF(AND(H338=1,OR(D338="SYN",D338="SRF",D338="MID")),1,IF(AND(H338=1,OR(E339="FDn",E339="LDn")),1,IF(AND(H338=1,OR(E338="FDn",E338="LDn")),1,""))))</f>
        <v/>
      </c>
      <c r="J338" s="4" t="str">
        <f t="shared" si="96"/>
        <v/>
      </c>
      <c r="K338" s="4" t="str">
        <f t="shared" si="97"/>
        <v/>
      </c>
      <c r="L338" s="4" t="str">
        <f t="shared" si="98"/>
        <v/>
      </c>
      <c r="M338" s="4" t="str">
        <f t="shared" si="99"/>
        <v/>
      </c>
      <c r="N338" s="4" t="str">
        <f t="shared" si="100"/>
        <v/>
      </c>
      <c r="O338" s="4" t="str">
        <f t="shared" si="101"/>
        <v/>
      </c>
      <c r="P338" s="4" t="str">
        <f t="shared" si="102"/>
        <v/>
      </c>
      <c r="Q338" s="4" t="str">
        <f t="shared" si="103"/>
        <v/>
      </c>
      <c r="R338" s="4" t="str">
        <f t="shared" si="104"/>
        <v/>
      </c>
      <c r="S338" s="4">
        <f t="shared" si="105"/>
        <v>1</v>
      </c>
      <c r="T338" s="4" t="str">
        <f t="shared" si="106"/>
        <v/>
      </c>
      <c r="U338">
        <f>IF(VLOOKUP(C338,'QA Table'!$Y$5:$Y$20,1,TRUE)=C338,1,0)</f>
        <v>0</v>
      </c>
      <c r="V338" t="str">
        <f t="shared" si="107"/>
        <v/>
      </c>
      <c r="W338" t="str">
        <f t="shared" si="108"/>
        <v/>
      </c>
      <c r="X338" t="str">
        <f t="shared" si="109"/>
        <v/>
      </c>
      <c r="Y338">
        <f t="shared" si="110"/>
        <v>0</v>
      </c>
      <c r="AA338" t="str">
        <f t="shared" si="111"/>
        <v/>
      </c>
    </row>
    <row r="339" spans="1:27" x14ac:dyDescent="0.2">
      <c r="A339" t="s">
        <v>27</v>
      </c>
      <c r="B339" t="s">
        <v>45</v>
      </c>
      <c r="C339" t="s">
        <v>1465</v>
      </c>
      <c r="D339" t="s">
        <v>1034</v>
      </c>
      <c r="E339" t="s">
        <v>19</v>
      </c>
      <c r="F339" t="s">
        <v>1454</v>
      </c>
      <c r="G339" t="s">
        <v>1281</v>
      </c>
      <c r="H339" s="4" t="str">
        <f t="shared" si="95"/>
        <v/>
      </c>
      <c r="I339" s="4" t="str">
        <f>IF(RIGHT(B339,1)="M",IF(AND(H339=1,E339="RFS",D339=INDEX('Station Depth Averages'!$A$3:$B$84,MATCH(B339,'Station Depth Averages'!$A$3:$A$84,0),2)),1,""),IF(AND(H339=1,OR(D339="SYN",D339="SRF",D339="MID")),1,IF(AND(H339=1,OR(E340="FDn",E340="LDn")),1,IF(AND(H339=1,OR(E339="FDn",E339="LDn")),1,""))))</f>
        <v/>
      </c>
      <c r="J339" s="4" t="str">
        <f t="shared" si="96"/>
        <v/>
      </c>
      <c r="K339" s="4" t="str">
        <f t="shared" si="97"/>
        <v/>
      </c>
      <c r="L339" s="4" t="str">
        <f t="shared" si="98"/>
        <v/>
      </c>
      <c r="M339" s="4" t="str">
        <f t="shared" si="99"/>
        <v/>
      </c>
      <c r="N339" s="4" t="str">
        <f t="shared" si="100"/>
        <v/>
      </c>
      <c r="O339" s="4" t="str">
        <f t="shared" si="101"/>
        <v/>
      </c>
      <c r="P339" s="4" t="str">
        <f t="shared" si="102"/>
        <v/>
      </c>
      <c r="Q339" s="4" t="str">
        <f t="shared" si="103"/>
        <v/>
      </c>
      <c r="R339" s="4" t="str">
        <f t="shared" si="104"/>
        <v/>
      </c>
      <c r="S339" s="4">
        <f t="shared" si="105"/>
        <v>1</v>
      </c>
      <c r="T339" s="4" t="str">
        <f t="shared" si="106"/>
        <v/>
      </c>
      <c r="U339">
        <f>IF(VLOOKUP(C339,'QA Table'!$Y$5:$Y$20,1,TRUE)=C339,1,0)</f>
        <v>0</v>
      </c>
      <c r="V339" t="str">
        <f t="shared" si="107"/>
        <v/>
      </c>
      <c r="W339" t="str">
        <f t="shared" si="108"/>
        <v/>
      </c>
      <c r="X339" t="str">
        <f t="shared" si="109"/>
        <v/>
      </c>
      <c r="Y339">
        <f t="shared" si="110"/>
        <v>0</v>
      </c>
      <c r="AA339" t="str">
        <f t="shared" si="111"/>
        <v/>
      </c>
    </row>
    <row r="340" spans="1:27" x14ac:dyDescent="0.2">
      <c r="A340" t="s">
        <v>0</v>
      </c>
      <c r="B340" t="s">
        <v>196</v>
      </c>
      <c r="C340" t="s">
        <v>1466</v>
      </c>
      <c r="D340" t="s">
        <v>118</v>
      </c>
      <c r="E340" t="s">
        <v>3</v>
      </c>
      <c r="F340" t="s">
        <v>1467</v>
      </c>
      <c r="G340" t="s">
        <v>1281</v>
      </c>
      <c r="H340" s="4" t="str">
        <f t="shared" si="95"/>
        <v/>
      </c>
      <c r="I340" s="4" t="str">
        <f>IF(RIGHT(B340,1)="M",IF(AND(H340=1,E340="RFS",D340=INDEX('Station Depth Averages'!$A$3:$B$84,MATCH(B340,'Station Depth Averages'!$A$3:$A$84,0),2)),1,""),IF(AND(H340=1,OR(D340="SYN",D340="SRF",D340="MID")),1,IF(AND(H340=1,OR(E341="FDn",E341="LDn")),1,IF(AND(H340=1,OR(E340="FDn",E340="LDn")),1,""))))</f>
        <v/>
      </c>
      <c r="J340" s="4" t="str">
        <f t="shared" si="96"/>
        <v/>
      </c>
      <c r="K340" s="4" t="str">
        <f t="shared" si="97"/>
        <v/>
      </c>
      <c r="L340" s="4" t="str">
        <f t="shared" si="98"/>
        <v/>
      </c>
      <c r="M340" s="4" t="str">
        <f t="shared" si="99"/>
        <v/>
      </c>
      <c r="N340" s="4" t="str">
        <f t="shared" si="100"/>
        <v/>
      </c>
      <c r="O340" s="4" t="str">
        <f t="shared" si="101"/>
        <v/>
      </c>
      <c r="P340" s="4" t="str">
        <f t="shared" si="102"/>
        <v/>
      </c>
      <c r="Q340" s="4" t="str">
        <f t="shared" si="103"/>
        <v/>
      </c>
      <c r="R340" s="4">
        <f t="shared" si="104"/>
        <v>1</v>
      </c>
      <c r="S340" s="4" t="str">
        <f t="shared" si="105"/>
        <v/>
      </c>
      <c r="T340" s="4" t="str">
        <f t="shared" si="106"/>
        <v/>
      </c>
      <c r="U340">
        <f>IF(VLOOKUP(C340,'QA Table'!$Y$5:$Y$20,1,TRUE)=C340,1,0)</f>
        <v>0</v>
      </c>
      <c r="V340" t="str">
        <f t="shared" si="107"/>
        <v/>
      </c>
      <c r="W340" t="str">
        <f t="shared" si="108"/>
        <v/>
      </c>
      <c r="X340" t="str">
        <f t="shared" si="109"/>
        <v/>
      </c>
      <c r="Y340">
        <f t="shared" si="110"/>
        <v>0</v>
      </c>
      <c r="AA340" t="str">
        <f t="shared" si="111"/>
        <v/>
      </c>
    </row>
    <row r="341" spans="1:27" x14ac:dyDescent="0.2">
      <c r="A341" t="s">
        <v>0</v>
      </c>
      <c r="B341" t="s">
        <v>196</v>
      </c>
      <c r="C341" t="s">
        <v>1468</v>
      </c>
      <c r="D341" t="s">
        <v>118</v>
      </c>
      <c r="E341" t="s">
        <v>19</v>
      </c>
      <c r="F341" t="s">
        <v>1467</v>
      </c>
      <c r="G341" t="s">
        <v>1281</v>
      </c>
      <c r="H341" s="4" t="str">
        <f t="shared" si="95"/>
        <v/>
      </c>
      <c r="I341" s="4" t="str">
        <f>IF(RIGHT(B341,1)="M",IF(AND(H341=1,E341="RFS",D341=INDEX('Station Depth Averages'!$A$3:$B$84,MATCH(B341,'Station Depth Averages'!$A$3:$A$84,0),2)),1,""),IF(AND(H341=1,OR(D341="SYN",D341="SRF",D341="MID")),1,IF(AND(H341=1,OR(E342="FDn",E342="LDn")),1,IF(AND(H341=1,OR(E341="FDn",E341="LDn")),1,""))))</f>
        <v/>
      </c>
      <c r="J341" s="4" t="str">
        <f t="shared" si="96"/>
        <v/>
      </c>
      <c r="K341" s="4" t="str">
        <f t="shared" si="97"/>
        <v/>
      </c>
      <c r="L341" s="4" t="str">
        <f t="shared" si="98"/>
        <v/>
      </c>
      <c r="M341" s="4" t="str">
        <f t="shared" si="99"/>
        <v/>
      </c>
      <c r="N341" s="4" t="str">
        <f t="shared" si="100"/>
        <v/>
      </c>
      <c r="O341" s="4" t="str">
        <f t="shared" si="101"/>
        <v/>
      </c>
      <c r="P341" s="4" t="str">
        <f t="shared" si="102"/>
        <v/>
      </c>
      <c r="Q341" s="4" t="str">
        <f t="shared" si="103"/>
        <v/>
      </c>
      <c r="R341" s="4">
        <f t="shared" si="104"/>
        <v>1</v>
      </c>
      <c r="S341" s="4" t="str">
        <f t="shared" si="105"/>
        <v/>
      </c>
      <c r="T341" s="4" t="str">
        <f t="shared" si="106"/>
        <v/>
      </c>
      <c r="U341">
        <f>IF(VLOOKUP(C341,'QA Table'!$Y$5:$Y$20,1,TRUE)=C341,1,0)</f>
        <v>0</v>
      </c>
      <c r="V341" t="str">
        <f t="shared" si="107"/>
        <v/>
      </c>
      <c r="W341" t="str">
        <f t="shared" si="108"/>
        <v/>
      </c>
      <c r="X341" t="str">
        <f t="shared" si="109"/>
        <v/>
      </c>
      <c r="Y341">
        <f t="shared" si="110"/>
        <v>0</v>
      </c>
      <c r="AA341" t="str">
        <f t="shared" si="111"/>
        <v/>
      </c>
    </row>
    <row r="342" spans="1:27" x14ac:dyDescent="0.2">
      <c r="A342" t="s">
        <v>0</v>
      </c>
      <c r="B342" t="s">
        <v>196</v>
      </c>
      <c r="C342" t="s">
        <v>1469</v>
      </c>
      <c r="D342" t="s">
        <v>118</v>
      </c>
      <c r="E342" t="s">
        <v>20</v>
      </c>
      <c r="F342" t="s">
        <v>1467</v>
      </c>
      <c r="G342" t="s">
        <v>1281</v>
      </c>
      <c r="H342" s="4" t="str">
        <f t="shared" si="95"/>
        <v/>
      </c>
      <c r="I342" s="4" t="str">
        <f>IF(RIGHT(B342,1)="M",IF(AND(H342=1,E342="RFS",D342=INDEX('Station Depth Averages'!$A$3:$B$84,MATCH(B342,'Station Depth Averages'!$A$3:$A$84,0),2)),1,""),IF(AND(H342=1,OR(D342="SYN",D342="SRF",D342="MID")),1,IF(AND(H342=1,OR(E343="FDn",E343="LDn")),1,IF(AND(H342=1,OR(E342="FDn",E342="LDn")),1,""))))</f>
        <v/>
      </c>
      <c r="J342" s="4" t="str">
        <f t="shared" si="96"/>
        <v/>
      </c>
      <c r="K342" s="4" t="str">
        <f t="shared" si="97"/>
        <v/>
      </c>
      <c r="L342" s="4" t="str">
        <f t="shared" si="98"/>
        <v/>
      </c>
      <c r="M342" s="4" t="str">
        <f t="shared" si="99"/>
        <v/>
      </c>
      <c r="N342" s="4" t="str">
        <f t="shared" si="100"/>
        <v/>
      </c>
      <c r="O342" s="4" t="str">
        <f t="shared" si="101"/>
        <v/>
      </c>
      <c r="P342" s="4" t="str">
        <f t="shared" si="102"/>
        <v/>
      </c>
      <c r="Q342" s="4" t="str">
        <f t="shared" si="103"/>
        <v/>
      </c>
      <c r="R342" s="4">
        <f t="shared" si="104"/>
        <v>1</v>
      </c>
      <c r="S342" s="4" t="str">
        <f t="shared" si="105"/>
        <v/>
      </c>
      <c r="T342" s="4" t="str">
        <f t="shared" si="106"/>
        <v/>
      </c>
      <c r="U342">
        <f>IF(VLOOKUP(C342,'QA Table'!$Y$5:$Y$20,1,TRUE)=C342,1,0)</f>
        <v>0</v>
      </c>
      <c r="V342" t="str">
        <f t="shared" si="107"/>
        <v/>
      </c>
      <c r="W342" t="str">
        <f t="shared" si="108"/>
        <v/>
      </c>
      <c r="X342" t="str">
        <f t="shared" si="109"/>
        <v/>
      </c>
      <c r="Y342">
        <f t="shared" si="110"/>
        <v>0</v>
      </c>
      <c r="AA342" t="str">
        <f t="shared" si="111"/>
        <v/>
      </c>
    </row>
    <row r="343" spans="1:27" x14ac:dyDescent="0.2">
      <c r="A343" t="s">
        <v>0</v>
      </c>
      <c r="B343" t="s">
        <v>196</v>
      </c>
      <c r="C343" t="s">
        <v>1470</v>
      </c>
      <c r="D343" t="s">
        <v>1032</v>
      </c>
      <c r="E343" t="s">
        <v>3</v>
      </c>
      <c r="F343" t="s">
        <v>1467</v>
      </c>
      <c r="G343" t="s">
        <v>1281</v>
      </c>
      <c r="H343" s="4" t="str">
        <f t="shared" si="95"/>
        <v/>
      </c>
      <c r="I343" s="4" t="str">
        <f>IF(RIGHT(B343,1)="M",IF(AND(H343=1,E343="RFS",D343=INDEX('Station Depth Averages'!$A$3:$B$84,MATCH(B343,'Station Depth Averages'!$A$3:$A$84,0),2)),1,""),IF(AND(H343=1,OR(D343="SYN",D343="SRF",D343="MID")),1,IF(AND(H343=1,OR(E344="FDn",E344="LDn")),1,IF(AND(H343=1,OR(E343="FDn",E343="LDn")),1,""))))</f>
        <v/>
      </c>
      <c r="J343" s="4" t="str">
        <f t="shared" si="96"/>
        <v/>
      </c>
      <c r="K343" s="4" t="str">
        <f t="shared" si="97"/>
        <v/>
      </c>
      <c r="L343" s="4" t="str">
        <f t="shared" si="98"/>
        <v/>
      </c>
      <c r="M343" s="4" t="str">
        <f t="shared" si="99"/>
        <v/>
      </c>
      <c r="N343" s="4" t="str">
        <f t="shared" si="100"/>
        <v/>
      </c>
      <c r="O343" s="4" t="str">
        <f t="shared" si="101"/>
        <v/>
      </c>
      <c r="P343" s="4" t="str">
        <f t="shared" si="102"/>
        <v/>
      </c>
      <c r="Q343" s="4" t="str">
        <f t="shared" si="103"/>
        <v/>
      </c>
      <c r="R343" s="4" t="str">
        <f t="shared" si="104"/>
        <v/>
      </c>
      <c r="S343" s="4" t="str">
        <f t="shared" si="105"/>
        <v/>
      </c>
      <c r="T343" s="4" t="str">
        <f t="shared" si="106"/>
        <v/>
      </c>
      <c r="U343">
        <f>IF(VLOOKUP(C343,'QA Table'!$Y$5:$Y$20,1,TRUE)=C343,1,0)</f>
        <v>0</v>
      </c>
      <c r="V343">
        <f t="shared" si="107"/>
        <v>1</v>
      </c>
      <c r="W343" t="str">
        <f t="shared" si="108"/>
        <v/>
      </c>
      <c r="X343" t="str">
        <f t="shared" si="109"/>
        <v/>
      </c>
      <c r="Y343">
        <f t="shared" si="110"/>
        <v>0</v>
      </c>
      <c r="AA343" t="str">
        <f t="shared" si="111"/>
        <v/>
      </c>
    </row>
    <row r="344" spans="1:27" x14ac:dyDescent="0.2">
      <c r="A344" t="s">
        <v>0</v>
      </c>
      <c r="B344" t="s">
        <v>196</v>
      </c>
      <c r="C344" t="s">
        <v>1471</v>
      </c>
      <c r="D344" t="s">
        <v>1032</v>
      </c>
      <c r="E344" t="s">
        <v>3</v>
      </c>
      <c r="F344" t="s">
        <v>1467</v>
      </c>
      <c r="G344" t="s">
        <v>1281</v>
      </c>
      <c r="H344" s="4" t="str">
        <f t="shared" si="95"/>
        <v/>
      </c>
      <c r="I344" s="4" t="str">
        <f>IF(RIGHT(B344,1)="M",IF(AND(H344=1,E344="RFS",D344=INDEX('Station Depth Averages'!$A$3:$B$84,MATCH(B344,'Station Depth Averages'!$A$3:$A$84,0),2)),1,""),IF(AND(H344=1,OR(D344="SYN",D344="SRF",D344="MID")),1,IF(AND(H344=1,OR(E345="FDn",E345="LDn")),1,IF(AND(H344=1,OR(E344="FDn",E344="LDn")),1,""))))</f>
        <v/>
      </c>
      <c r="J344" s="4" t="str">
        <f t="shared" si="96"/>
        <v/>
      </c>
      <c r="K344" s="4" t="str">
        <f t="shared" si="97"/>
        <v/>
      </c>
      <c r="L344" s="4" t="str">
        <f t="shared" si="98"/>
        <v/>
      </c>
      <c r="M344" s="4" t="str">
        <f t="shared" si="99"/>
        <v/>
      </c>
      <c r="N344" s="4" t="str">
        <f t="shared" si="100"/>
        <v/>
      </c>
      <c r="O344" s="4" t="str">
        <f t="shared" si="101"/>
        <v/>
      </c>
      <c r="P344" s="4" t="str">
        <f t="shared" si="102"/>
        <v/>
      </c>
      <c r="Q344" s="4" t="str">
        <f t="shared" si="103"/>
        <v/>
      </c>
      <c r="R344" s="4" t="str">
        <f t="shared" si="104"/>
        <v/>
      </c>
      <c r="S344" s="4" t="str">
        <f t="shared" si="105"/>
        <v/>
      </c>
      <c r="T344" s="4" t="str">
        <f t="shared" si="106"/>
        <v/>
      </c>
      <c r="U344">
        <f>IF(VLOOKUP(C344,'QA Table'!$Y$5:$Y$20,1,TRUE)=C344,1,0)</f>
        <v>0</v>
      </c>
      <c r="V344" t="str">
        <f t="shared" si="107"/>
        <v/>
      </c>
      <c r="W344">
        <f t="shared" si="108"/>
        <v>1</v>
      </c>
      <c r="X344" t="str">
        <f t="shared" si="109"/>
        <v/>
      </c>
      <c r="Y344">
        <f t="shared" si="110"/>
        <v>0</v>
      </c>
      <c r="AA344" t="str">
        <f t="shared" si="111"/>
        <v/>
      </c>
    </row>
    <row r="345" spans="1:27" x14ac:dyDescent="0.2">
      <c r="A345" t="s">
        <v>46</v>
      </c>
      <c r="B345" t="s">
        <v>47</v>
      </c>
      <c r="C345" t="s">
        <v>1472</v>
      </c>
      <c r="D345" t="s">
        <v>2</v>
      </c>
      <c r="E345" t="s">
        <v>3</v>
      </c>
      <c r="F345" t="s">
        <v>1473</v>
      </c>
      <c r="G345" t="s">
        <v>1474</v>
      </c>
      <c r="H345" s="4">
        <f t="shared" si="95"/>
        <v>1</v>
      </c>
      <c r="I345" s="4" t="str">
        <f>IF(RIGHT(B345,1)="M",IF(AND(H345=1,E345="RFS",D345=INDEX('Station Depth Averages'!$A$3:$B$84,MATCH(B345,'Station Depth Averages'!$A$3:$A$84,0),2)),1,""),IF(AND(H345=1,OR(D345="SYN",D345="SRF",D345="MID")),1,IF(AND(H345=1,OR(E346="FDn",E346="LDn")),1,IF(AND(H345=1,OR(E345="FDn",E345="LDn")),1,""))))</f>
        <v/>
      </c>
      <c r="J345" s="4">
        <f t="shared" si="96"/>
        <v>1</v>
      </c>
      <c r="K345" s="4" t="str">
        <f t="shared" si="97"/>
        <v/>
      </c>
      <c r="L345" s="4" t="str">
        <f t="shared" si="98"/>
        <v/>
      </c>
      <c r="M345" s="4" t="str">
        <f t="shared" si="99"/>
        <v/>
      </c>
      <c r="N345" s="4" t="str">
        <f t="shared" si="100"/>
        <v/>
      </c>
      <c r="O345" s="4" t="str">
        <f t="shared" si="101"/>
        <v/>
      </c>
      <c r="P345" s="4" t="str">
        <f t="shared" si="102"/>
        <v/>
      </c>
      <c r="Q345" s="4" t="str">
        <f t="shared" si="103"/>
        <v/>
      </c>
      <c r="R345" s="4" t="str">
        <f t="shared" si="104"/>
        <v/>
      </c>
      <c r="S345" s="4" t="str">
        <f t="shared" si="105"/>
        <v/>
      </c>
      <c r="T345" s="4" t="str">
        <f t="shared" si="106"/>
        <v/>
      </c>
      <c r="U345">
        <f>IF(VLOOKUP(C345,'QA Table'!$Y$5:$Y$20,1,TRUE)=C345,1,0)</f>
        <v>0</v>
      </c>
      <c r="V345" t="str">
        <f t="shared" si="107"/>
        <v/>
      </c>
      <c r="W345" t="str">
        <f t="shared" si="108"/>
        <v/>
      </c>
      <c r="X345">
        <f t="shared" si="109"/>
        <v>4</v>
      </c>
      <c r="Y345">
        <f t="shared" si="110"/>
        <v>0</v>
      </c>
      <c r="AA345">
        <f t="shared" si="111"/>
        <v>1</v>
      </c>
    </row>
    <row r="346" spans="1:27" x14ac:dyDescent="0.2">
      <c r="A346" t="s">
        <v>46</v>
      </c>
      <c r="B346" t="s">
        <v>47</v>
      </c>
      <c r="C346" t="s">
        <v>1475</v>
      </c>
      <c r="D346" t="s">
        <v>1050</v>
      </c>
      <c r="E346" t="s">
        <v>3</v>
      </c>
      <c r="F346" t="s">
        <v>1473</v>
      </c>
      <c r="G346" t="s">
        <v>1474</v>
      </c>
      <c r="H346" s="4">
        <f t="shared" si="95"/>
        <v>1</v>
      </c>
      <c r="I346" s="4" t="str">
        <f>IF(RIGHT(B346,1)="M",IF(AND(H346=1,E346="RFS",D346=INDEX('Station Depth Averages'!$A$3:$B$84,MATCH(B346,'Station Depth Averages'!$A$3:$A$84,0),2)),1,""),IF(AND(H346=1,OR(D346="SYN",D346="SRF",D346="MID")),1,IF(AND(H346=1,OR(E347="FDn",E347="LDn")),1,IF(AND(H346=1,OR(E346="FDn",E346="LDn")),1,""))))</f>
        <v/>
      </c>
      <c r="J346" s="4">
        <f t="shared" si="96"/>
        <v>1</v>
      </c>
      <c r="K346" s="4" t="str">
        <f t="shared" si="97"/>
        <v/>
      </c>
      <c r="L346" s="4" t="str">
        <f t="shared" si="98"/>
        <v/>
      </c>
      <c r="M346" s="4" t="str">
        <f t="shared" si="99"/>
        <v/>
      </c>
      <c r="N346" s="4" t="str">
        <f t="shared" si="100"/>
        <v/>
      </c>
      <c r="O346" s="4" t="str">
        <f t="shared" si="101"/>
        <v/>
      </c>
      <c r="P346" s="4" t="str">
        <f t="shared" si="102"/>
        <v/>
      </c>
      <c r="Q346" s="4" t="str">
        <f t="shared" si="103"/>
        <v/>
      </c>
      <c r="R346" s="4" t="str">
        <f t="shared" si="104"/>
        <v/>
      </c>
      <c r="S346" s="4" t="str">
        <f t="shared" si="105"/>
        <v/>
      </c>
      <c r="T346" s="4" t="str">
        <f t="shared" si="106"/>
        <v/>
      </c>
      <c r="U346">
        <f>IF(VLOOKUP(C346,'QA Table'!$Y$5:$Y$20,1,TRUE)=C346,1,0)</f>
        <v>0</v>
      </c>
      <c r="V346" t="str">
        <f t="shared" si="107"/>
        <v/>
      </c>
      <c r="W346" t="str">
        <f t="shared" si="108"/>
        <v/>
      </c>
      <c r="X346">
        <f t="shared" si="109"/>
        <v>4</v>
      </c>
      <c r="Y346">
        <f t="shared" si="110"/>
        <v>0</v>
      </c>
      <c r="AA346">
        <f t="shared" si="111"/>
        <v>1</v>
      </c>
    </row>
    <row r="347" spans="1:27" x14ac:dyDescent="0.2">
      <c r="A347" t="s">
        <v>46</v>
      </c>
      <c r="B347" t="s">
        <v>47</v>
      </c>
      <c r="C347" t="s">
        <v>1069</v>
      </c>
      <c r="D347" t="s">
        <v>4</v>
      </c>
      <c r="E347" t="s">
        <v>3</v>
      </c>
      <c r="F347" t="s">
        <v>1473</v>
      </c>
      <c r="G347" t="s">
        <v>1474</v>
      </c>
      <c r="H347" s="4">
        <f t="shared" si="95"/>
        <v>1</v>
      </c>
      <c r="I347" s="4" t="str">
        <f>IF(RIGHT(B347,1)="M",IF(AND(H347=1,E347="RFS",D347=INDEX('Station Depth Averages'!$A$3:$B$84,MATCH(B347,'Station Depth Averages'!$A$3:$A$84,0),2)),1,""),IF(AND(H347=1,OR(D347="SYN",D347="SRF",D347="MID")),1,IF(AND(H347=1,OR(E348="FDn",E348="LDn")),1,IF(AND(H347=1,OR(E347="FDn",E347="LDn")),1,""))))</f>
        <v/>
      </c>
      <c r="J347" s="4">
        <f t="shared" si="96"/>
        <v>1</v>
      </c>
      <c r="K347" s="4" t="str">
        <f t="shared" si="97"/>
        <v/>
      </c>
      <c r="L347" s="4">
        <f t="shared" si="98"/>
        <v>1</v>
      </c>
      <c r="M347" s="4">
        <f t="shared" si="99"/>
        <v>1</v>
      </c>
      <c r="N347" s="4">
        <f t="shared" si="100"/>
        <v>1</v>
      </c>
      <c r="O347" s="4">
        <f t="shared" si="101"/>
        <v>1</v>
      </c>
      <c r="P347" s="4">
        <f t="shared" si="102"/>
        <v>1</v>
      </c>
      <c r="Q347" s="4" t="str">
        <f t="shared" si="103"/>
        <v/>
      </c>
      <c r="R347" s="4" t="str">
        <f t="shared" si="104"/>
        <v/>
      </c>
      <c r="S347" s="4" t="str">
        <f t="shared" si="105"/>
        <v/>
      </c>
      <c r="T347" s="4" t="str">
        <f t="shared" si="106"/>
        <v/>
      </c>
      <c r="U347">
        <f>IF(VLOOKUP(C347,'QA Table'!$Y$5:$Y$20,1,TRUE)=C347,1,0)</f>
        <v>0</v>
      </c>
      <c r="V347" t="str">
        <f t="shared" si="107"/>
        <v/>
      </c>
      <c r="W347" t="str">
        <f t="shared" si="108"/>
        <v/>
      </c>
      <c r="X347">
        <f t="shared" si="109"/>
        <v>4</v>
      </c>
      <c r="Y347">
        <f t="shared" si="110"/>
        <v>0</v>
      </c>
      <c r="AA347">
        <f t="shared" si="111"/>
        <v>1</v>
      </c>
    </row>
    <row r="348" spans="1:27" x14ac:dyDescent="0.2">
      <c r="A348" t="s">
        <v>46</v>
      </c>
      <c r="B348" t="s">
        <v>47</v>
      </c>
      <c r="C348" t="s">
        <v>1476</v>
      </c>
      <c r="D348" t="s">
        <v>4</v>
      </c>
      <c r="E348" t="s">
        <v>7</v>
      </c>
      <c r="F348" t="s">
        <v>1473</v>
      </c>
      <c r="G348" t="s">
        <v>1474</v>
      </c>
      <c r="H348" s="4">
        <f t="shared" si="95"/>
        <v>1</v>
      </c>
      <c r="I348" s="4" t="str">
        <f>IF(RIGHT(B348,1)="M",IF(AND(H348=1,E348="RFS",D348=INDEX('Station Depth Averages'!$A$3:$B$84,MATCH(B348,'Station Depth Averages'!$A$3:$A$84,0),2)),1,""),IF(AND(H348=1,OR(D348="SYN",D348="SRF",D348="MID")),1,IF(AND(H348=1,OR(E349="FDn",E349="LDn")),1,IF(AND(H348=1,OR(E348="FDn",E348="LDn")),1,""))))</f>
        <v/>
      </c>
      <c r="J348" s="4">
        <f t="shared" si="96"/>
        <v>1</v>
      </c>
      <c r="K348" s="4" t="str">
        <f t="shared" si="97"/>
        <v/>
      </c>
      <c r="L348" s="4" t="str">
        <f t="shared" si="98"/>
        <v/>
      </c>
      <c r="M348" s="4" t="str">
        <f t="shared" si="99"/>
        <v/>
      </c>
      <c r="N348" s="4" t="str">
        <f t="shared" si="100"/>
        <v/>
      </c>
      <c r="O348" s="4" t="str">
        <f t="shared" si="101"/>
        <v/>
      </c>
      <c r="P348" s="4" t="str">
        <f t="shared" si="102"/>
        <v/>
      </c>
      <c r="Q348" s="4" t="str">
        <f t="shared" si="103"/>
        <v/>
      </c>
      <c r="R348" s="4" t="str">
        <f t="shared" si="104"/>
        <v/>
      </c>
      <c r="S348" s="4" t="str">
        <f t="shared" si="105"/>
        <v/>
      </c>
      <c r="T348" s="4" t="str">
        <f t="shared" si="106"/>
        <v/>
      </c>
      <c r="U348">
        <f>IF(VLOOKUP(C348,'QA Table'!$Y$5:$Y$20,1,TRUE)=C348,1,0)</f>
        <v>0</v>
      </c>
      <c r="V348" t="str">
        <f t="shared" si="107"/>
        <v/>
      </c>
      <c r="W348" t="str">
        <f t="shared" si="108"/>
        <v/>
      </c>
      <c r="X348">
        <f t="shared" si="109"/>
        <v>4</v>
      </c>
      <c r="Y348">
        <f t="shared" si="110"/>
        <v>0</v>
      </c>
      <c r="AA348">
        <f t="shared" si="111"/>
        <v>1</v>
      </c>
    </row>
    <row r="349" spans="1:27" x14ac:dyDescent="0.2">
      <c r="A349" t="s">
        <v>46</v>
      </c>
      <c r="B349" t="s">
        <v>47</v>
      </c>
      <c r="C349" t="s">
        <v>1477</v>
      </c>
      <c r="D349" t="s">
        <v>1051</v>
      </c>
      <c r="E349" t="s">
        <v>3</v>
      </c>
      <c r="F349" t="s">
        <v>1473</v>
      </c>
      <c r="G349" t="s">
        <v>1474</v>
      </c>
      <c r="H349" s="4">
        <f t="shared" si="95"/>
        <v>1</v>
      </c>
      <c r="I349" s="4" t="str">
        <f>IF(RIGHT(B349,1)="M",IF(AND(H349=1,E349="RFS",D349=INDEX('Station Depth Averages'!$A$3:$B$84,MATCH(B349,'Station Depth Averages'!$A$3:$A$84,0),2)),1,""),IF(AND(H349=1,OR(D349="SYN",D349="SRF",D349="MID")),1,IF(AND(H349=1,OR(E350="FDn",E350="LDn")),1,IF(AND(H349=1,OR(E349="FDn",E349="LDn")),1,""))))</f>
        <v/>
      </c>
      <c r="J349" s="4">
        <f t="shared" si="96"/>
        <v>1</v>
      </c>
      <c r="K349" s="4" t="str">
        <f t="shared" si="97"/>
        <v/>
      </c>
      <c r="L349" s="4" t="str">
        <f t="shared" si="98"/>
        <v/>
      </c>
      <c r="M349" s="4" t="str">
        <f t="shared" si="99"/>
        <v/>
      </c>
      <c r="N349" s="4" t="str">
        <f t="shared" si="100"/>
        <v/>
      </c>
      <c r="O349" s="4" t="str">
        <f t="shared" si="101"/>
        <v/>
      </c>
      <c r="P349" s="4" t="str">
        <f t="shared" si="102"/>
        <v/>
      </c>
      <c r="Q349" s="4" t="str">
        <f t="shared" si="103"/>
        <v/>
      </c>
      <c r="R349" s="4" t="str">
        <f t="shared" si="104"/>
        <v/>
      </c>
      <c r="S349" s="4" t="str">
        <f t="shared" si="105"/>
        <v/>
      </c>
      <c r="T349" s="4" t="str">
        <f t="shared" si="106"/>
        <v/>
      </c>
      <c r="U349">
        <f>IF(VLOOKUP(C349,'QA Table'!$Y$5:$Y$20,1,TRUE)=C349,1,0)</f>
        <v>0</v>
      </c>
      <c r="V349" t="str">
        <f t="shared" si="107"/>
        <v/>
      </c>
      <c r="W349" t="str">
        <f t="shared" si="108"/>
        <v/>
      </c>
      <c r="X349">
        <f t="shared" si="109"/>
        <v>4</v>
      </c>
      <c r="Y349">
        <f t="shared" si="110"/>
        <v>0</v>
      </c>
      <c r="AA349">
        <f t="shared" si="111"/>
        <v>1</v>
      </c>
    </row>
    <row r="350" spans="1:27" x14ac:dyDescent="0.2">
      <c r="A350" t="s">
        <v>46</v>
      </c>
      <c r="B350" t="s">
        <v>47</v>
      </c>
      <c r="C350" t="s">
        <v>1478</v>
      </c>
      <c r="D350" t="s">
        <v>120</v>
      </c>
      <c r="E350" t="s">
        <v>3</v>
      </c>
      <c r="F350" t="s">
        <v>1473</v>
      </c>
      <c r="G350" t="s">
        <v>1474</v>
      </c>
      <c r="H350" s="4">
        <f t="shared" si="95"/>
        <v>1</v>
      </c>
      <c r="I350" s="4">
        <f>IF(RIGHT(B350,1)="M",IF(AND(H350=1,E350="RFS",D350=INDEX('Station Depth Averages'!$A$3:$B$84,MATCH(B350,'Station Depth Averages'!$A$3:$A$84,0),2)),1,""),IF(AND(H350=1,OR(D350="SYN",D350="SRF",D350="MID")),1,IF(AND(H350=1,OR(E351="FDn",E351="LDn")),1,IF(AND(H350=1,OR(E350="FDn",E350="LDn")),1,""))))</f>
        <v>1</v>
      </c>
      <c r="J350" s="4">
        <f t="shared" si="96"/>
        <v>1</v>
      </c>
      <c r="K350" s="4" t="str">
        <f t="shared" si="97"/>
        <v/>
      </c>
      <c r="L350" s="4" t="str">
        <f t="shared" si="98"/>
        <v/>
      </c>
      <c r="M350" s="4" t="str">
        <f t="shared" si="99"/>
        <v/>
      </c>
      <c r="N350" s="4" t="str">
        <f t="shared" si="100"/>
        <v/>
      </c>
      <c r="O350" s="4" t="str">
        <f t="shared" si="101"/>
        <v/>
      </c>
      <c r="P350" s="4" t="str">
        <f t="shared" si="102"/>
        <v/>
      </c>
      <c r="Q350" s="4" t="str">
        <f t="shared" si="103"/>
        <v/>
      </c>
      <c r="R350" s="4" t="str">
        <f t="shared" si="104"/>
        <v/>
      </c>
      <c r="S350" s="4" t="str">
        <f t="shared" si="105"/>
        <v/>
      </c>
      <c r="T350" s="4" t="str">
        <f t="shared" si="106"/>
        <v/>
      </c>
      <c r="U350">
        <f>IF(VLOOKUP(C350,'QA Table'!$Y$5:$Y$20,1,TRUE)=C350,1,0)</f>
        <v>0</v>
      </c>
      <c r="V350" t="str">
        <f t="shared" si="107"/>
        <v/>
      </c>
      <c r="W350" t="str">
        <f t="shared" si="108"/>
        <v/>
      </c>
      <c r="X350">
        <f t="shared" si="109"/>
        <v>4</v>
      </c>
      <c r="Y350">
        <f t="shared" si="110"/>
        <v>0</v>
      </c>
      <c r="AA350">
        <f t="shared" si="111"/>
        <v>1</v>
      </c>
    </row>
    <row r="351" spans="1:27" x14ac:dyDescent="0.2">
      <c r="A351" t="s">
        <v>46</v>
      </c>
      <c r="B351" t="s">
        <v>47</v>
      </c>
      <c r="C351" t="s">
        <v>1479</v>
      </c>
      <c r="D351" t="s">
        <v>16</v>
      </c>
      <c r="E351" t="s">
        <v>3</v>
      </c>
      <c r="F351" t="s">
        <v>1473</v>
      </c>
      <c r="G351" t="s">
        <v>1474</v>
      </c>
      <c r="H351" s="4">
        <f t="shared" si="95"/>
        <v>1</v>
      </c>
      <c r="I351" s="4" t="str">
        <f>IF(RIGHT(B351,1)="M",IF(AND(H351=1,E351="RFS",D351=INDEX('Station Depth Averages'!$A$3:$B$84,MATCH(B351,'Station Depth Averages'!$A$3:$A$84,0),2)),1,""),IF(AND(H351=1,OR(D351="SYN",D351="SRF",D351="MID")),1,IF(AND(H351=1,OR(E352="FDn",E352="LDn")),1,IF(AND(H351=1,OR(E351="FDn",E351="LDn")),1,""))))</f>
        <v/>
      </c>
      <c r="J351" s="4">
        <f t="shared" si="96"/>
        <v>1</v>
      </c>
      <c r="K351" s="4" t="str">
        <f t="shared" si="97"/>
        <v/>
      </c>
      <c r="L351" s="4" t="str">
        <f t="shared" si="98"/>
        <v/>
      </c>
      <c r="M351" s="4" t="str">
        <f t="shared" si="99"/>
        <v/>
      </c>
      <c r="N351" s="4" t="str">
        <f t="shared" si="100"/>
        <v/>
      </c>
      <c r="O351" s="4" t="str">
        <f t="shared" si="101"/>
        <v/>
      </c>
      <c r="P351" s="4" t="str">
        <f t="shared" si="102"/>
        <v/>
      </c>
      <c r="Q351" s="4" t="str">
        <f t="shared" si="103"/>
        <v/>
      </c>
      <c r="R351" s="4" t="str">
        <f t="shared" si="104"/>
        <v/>
      </c>
      <c r="S351" s="4" t="str">
        <f t="shared" si="105"/>
        <v/>
      </c>
      <c r="T351" s="4" t="str">
        <f t="shared" si="106"/>
        <v/>
      </c>
      <c r="U351">
        <f>IF(VLOOKUP(C351,'QA Table'!$Y$5:$Y$20,1,TRUE)=C351,1,0)</f>
        <v>0</v>
      </c>
      <c r="V351" t="str">
        <f t="shared" si="107"/>
        <v/>
      </c>
      <c r="W351" t="str">
        <f t="shared" si="108"/>
        <v/>
      </c>
      <c r="X351">
        <f t="shared" si="109"/>
        <v>4</v>
      </c>
      <c r="Y351">
        <f t="shared" si="110"/>
        <v>0</v>
      </c>
      <c r="AA351">
        <f t="shared" si="111"/>
        <v>1</v>
      </c>
    </row>
    <row r="352" spans="1:27" x14ac:dyDescent="0.2">
      <c r="A352" t="s">
        <v>46</v>
      </c>
      <c r="B352" t="s">
        <v>47</v>
      </c>
      <c r="C352" t="s">
        <v>1480</v>
      </c>
      <c r="D352" t="s">
        <v>5</v>
      </c>
      <c r="E352" t="s">
        <v>3</v>
      </c>
      <c r="F352" t="s">
        <v>1473</v>
      </c>
      <c r="G352" t="s">
        <v>1474</v>
      </c>
      <c r="H352" s="4">
        <f t="shared" si="95"/>
        <v>1</v>
      </c>
      <c r="I352" s="4" t="str">
        <f>IF(RIGHT(B352,1)="M",IF(AND(H352=1,E352="RFS",D352=INDEX('Station Depth Averages'!$A$3:$B$84,MATCH(B352,'Station Depth Averages'!$A$3:$A$84,0),2)),1,""),IF(AND(H352=1,OR(D352="SYN",D352="SRF",D352="MID")),1,IF(AND(H352=1,OR(E353="FDn",E353="LDn")),1,IF(AND(H352=1,OR(E352="FDn",E352="LDn")),1,""))))</f>
        <v/>
      </c>
      <c r="J352" s="4">
        <f t="shared" si="96"/>
        <v>1</v>
      </c>
      <c r="K352" s="4" t="str">
        <f t="shared" si="97"/>
        <v/>
      </c>
      <c r="L352" s="4" t="str">
        <f t="shared" si="98"/>
        <v/>
      </c>
      <c r="M352" s="4" t="str">
        <f t="shared" si="99"/>
        <v/>
      </c>
      <c r="N352" s="4" t="str">
        <f t="shared" si="100"/>
        <v/>
      </c>
      <c r="O352" s="4" t="str">
        <f t="shared" si="101"/>
        <v/>
      </c>
      <c r="P352" s="4" t="str">
        <f t="shared" si="102"/>
        <v/>
      </c>
      <c r="Q352" s="4" t="str">
        <f t="shared" si="103"/>
        <v/>
      </c>
      <c r="R352" s="4" t="str">
        <f t="shared" si="104"/>
        <v/>
      </c>
      <c r="S352" s="4" t="str">
        <f t="shared" si="105"/>
        <v/>
      </c>
      <c r="T352" s="4" t="str">
        <f t="shared" si="106"/>
        <v/>
      </c>
      <c r="U352">
        <f>IF(VLOOKUP(C352,'QA Table'!$Y$5:$Y$20,1,TRUE)=C352,1,0)</f>
        <v>0</v>
      </c>
      <c r="V352" t="str">
        <f t="shared" si="107"/>
        <v/>
      </c>
      <c r="W352" t="str">
        <f t="shared" si="108"/>
        <v/>
      </c>
      <c r="X352">
        <f t="shared" si="109"/>
        <v>4</v>
      </c>
      <c r="Y352">
        <f t="shared" si="110"/>
        <v>0</v>
      </c>
      <c r="AA352">
        <f t="shared" si="111"/>
        <v>1</v>
      </c>
    </row>
    <row r="353" spans="1:27" x14ac:dyDescent="0.2">
      <c r="A353" t="s">
        <v>46</v>
      </c>
      <c r="B353" t="s">
        <v>47</v>
      </c>
      <c r="C353" t="s">
        <v>1481</v>
      </c>
      <c r="D353" t="s">
        <v>6</v>
      </c>
      <c r="E353" t="s">
        <v>3</v>
      </c>
      <c r="F353" t="s">
        <v>1473</v>
      </c>
      <c r="G353" t="s">
        <v>1474</v>
      </c>
      <c r="H353" s="4">
        <f t="shared" si="95"/>
        <v>1</v>
      </c>
      <c r="I353" s="4" t="str">
        <f>IF(RIGHT(B353,1)="M",IF(AND(H353=1,E353="RFS",D353=INDEX('Station Depth Averages'!$A$3:$B$84,MATCH(B353,'Station Depth Averages'!$A$3:$A$84,0),2)),1,""),IF(AND(H353=1,OR(D353="SYN",D353="SRF",D353="MID")),1,IF(AND(H353=1,OR(E354="FDn",E354="LDn")),1,IF(AND(H353=1,OR(E353="FDn",E353="LDn")),1,""))))</f>
        <v/>
      </c>
      <c r="J353" s="4">
        <f t="shared" si="96"/>
        <v>1</v>
      </c>
      <c r="K353" s="4" t="str">
        <f t="shared" si="97"/>
        <v/>
      </c>
      <c r="L353" s="4" t="str">
        <f t="shared" si="98"/>
        <v/>
      </c>
      <c r="M353" s="4" t="str">
        <f t="shared" si="99"/>
        <v/>
      </c>
      <c r="N353" s="4" t="str">
        <f t="shared" si="100"/>
        <v/>
      </c>
      <c r="O353" s="4" t="str">
        <f t="shared" si="101"/>
        <v/>
      </c>
      <c r="P353" s="4" t="str">
        <f t="shared" si="102"/>
        <v/>
      </c>
      <c r="Q353" s="4" t="str">
        <f t="shared" si="103"/>
        <v/>
      </c>
      <c r="R353" s="4" t="str">
        <f t="shared" si="104"/>
        <v/>
      </c>
      <c r="S353" s="4" t="str">
        <f t="shared" si="105"/>
        <v/>
      </c>
      <c r="T353" s="4" t="str">
        <f t="shared" si="106"/>
        <v/>
      </c>
      <c r="U353">
        <f>IF(VLOOKUP(C353,'QA Table'!$Y$5:$Y$20,1,TRUE)=C353,1,0)</f>
        <v>0</v>
      </c>
      <c r="V353" t="str">
        <f t="shared" si="107"/>
        <v/>
      </c>
      <c r="W353" t="str">
        <f t="shared" si="108"/>
        <v/>
      </c>
      <c r="X353">
        <f t="shared" si="109"/>
        <v>4</v>
      </c>
      <c r="Y353">
        <f t="shared" si="110"/>
        <v>0</v>
      </c>
      <c r="AA353">
        <f t="shared" si="111"/>
        <v>1</v>
      </c>
    </row>
    <row r="354" spans="1:27" x14ac:dyDescent="0.2">
      <c r="A354" t="s">
        <v>46</v>
      </c>
      <c r="B354" t="s">
        <v>47</v>
      </c>
      <c r="C354" t="s">
        <v>1482</v>
      </c>
      <c r="D354" t="s">
        <v>8</v>
      </c>
      <c r="E354" t="s">
        <v>3</v>
      </c>
      <c r="F354" t="s">
        <v>1473</v>
      </c>
      <c r="G354" t="s">
        <v>1474</v>
      </c>
      <c r="H354" s="4">
        <f t="shared" si="95"/>
        <v>1</v>
      </c>
      <c r="I354" s="4" t="str">
        <f>IF(RIGHT(B354,1)="M",IF(AND(H354=1,E354="RFS",D354=INDEX('Station Depth Averages'!$A$3:$B$84,MATCH(B354,'Station Depth Averages'!$A$3:$A$84,0),2)),1,""),IF(AND(H354=1,OR(D354="SYN",D354="SRF",D354="MID")),1,IF(AND(H354=1,OR(E355="FDn",E355="LDn")),1,IF(AND(H354=1,OR(E354="FDn",E354="LDn")),1,""))))</f>
        <v/>
      </c>
      <c r="J354" s="4" t="str">
        <f t="shared" si="96"/>
        <v/>
      </c>
      <c r="K354" s="4">
        <f t="shared" si="97"/>
        <v>1</v>
      </c>
      <c r="L354" s="4" t="str">
        <f t="shared" si="98"/>
        <v/>
      </c>
      <c r="M354" s="4" t="str">
        <f t="shared" si="99"/>
        <v/>
      </c>
      <c r="N354" s="4" t="str">
        <f t="shared" si="100"/>
        <v/>
      </c>
      <c r="O354" s="4" t="str">
        <f t="shared" si="101"/>
        <v/>
      </c>
      <c r="P354" s="4" t="str">
        <f t="shared" si="102"/>
        <v/>
      </c>
      <c r="Q354" s="4">
        <f t="shared" si="103"/>
        <v>1</v>
      </c>
      <c r="R354" s="4" t="str">
        <f t="shared" si="104"/>
        <v/>
      </c>
      <c r="S354" s="4" t="str">
        <f t="shared" si="105"/>
        <v/>
      </c>
      <c r="T354" s="4" t="str">
        <f t="shared" si="106"/>
        <v/>
      </c>
      <c r="U354">
        <f>IF(VLOOKUP(C354,'QA Table'!$Y$5:$Y$20,1,TRUE)=C354,1,0)</f>
        <v>0</v>
      </c>
      <c r="V354" t="str">
        <f t="shared" si="107"/>
        <v/>
      </c>
      <c r="W354" t="str">
        <f t="shared" si="108"/>
        <v/>
      </c>
      <c r="X354">
        <f t="shared" si="109"/>
        <v>4</v>
      </c>
      <c r="Y354">
        <f t="shared" si="110"/>
        <v>0</v>
      </c>
      <c r="AA354">
        <f t="shared" si="111"/>
        <v>1</v>
      </c>
    </row>
    <row r="355" spans="1:27" x14ac:dyDescent="0.2">
      <c r="A355" t="s">
        <v>46</v>
      </c>
      <c r="B355" t="s">
        <v>47</v>
      </c>
      <c r="C355" t="s">
        <v>1483</v>
      </c>
      <c r="D355" t="s">
        <v>9</v>
      </c>
      <c r="E355" t="s">
        <v>3</v>
      </c>
      <c r="F355" t="s">
        <v>1473</v>
      </c>
      <c r="G355" t="s">
        <v>1474</v>
      </c>
      <c r="H355" s="4" t="str">
        <f t="shared" si="95"/>
        <v/>
      </c>
      <c r="I355" s="4" t="str">
        <f>IF(RIGHT(B355,1)="M",IF(AND(H355=1,E355="RFS",D355=INDEX('Station Depth Averages'!$A$3:$B$84,MATCH(B355,'Station Depth Averages'!$A$3:$A$84,0),2)),1,""),IF(AND(H355=1,OR(D355="SYN",D355="SRF",D355="MID")),1,IF(AND(H355=1,OR(E356="FDn",E356="LDn")),1,IF(AND(H355=1,OR(E355="FDn",E355="LDn")),1,""))))</f>
        <v/>
      </c>
      <c r="J355" s="4" t="str">
        <f t="shared" si="96"/>
        <v/>
      </c>
      <c r="K355" s="4" t="str">
        <f t="shared" si="97"/>
        <v/>
      </c>
      <c r="L355" s="4" t="str">
        <f t="shared" si="98"/>
        <v/>
      </c>
      <c r="M355" s="4" t="str">
        <f t="shared" si="99"/>
        <v/>
      </c>
      <c r="N355" s="4" t="str">
        <f t="shared" si="100"/>
        <v/>
      </c>
      <c r="O355" s="4" t="str">
        <f t="shared" si="101"/>
        <v/>
      </c>
      <c r="P355" s="4" t="str">
        <f t="shared" si="102"/>
        <v/>
      </c>
      <c r="Q355" s="4" t="str">
        <f t="shared" si="103"/>
        <v/>
      </c>
      <c r="R355" s="4" t="str">
        <f t="shared" si="104"/>
        <v/>
      </c>
      <c r="S355" s="4" t="str">
        <f t="shared" si="105"/>
        <v/>
      </c>
      <c r="T355" s="4">
        <f t="shared" si="106"/>
        <v>1</v>
      </c>
      <c r="U355">
        <f>IF(VLOOKUP(C355,'QA Table'!$Y$5:$Y$20,1,TRUE)=C355,1,0)</f>
        <v>0</v>
      </c>
      <c r="V355" t="str">
        <f t="shared" si="107"/>
        <v/>
      </c>
      <c r="W355" t="str">
        <f t="shared" si="108"/>
        <v/>
      </c>
      <c r="X355" t="str">
        <f t="shared" si="109"/>
        <v/>
      </c>
      <c r="Y355">
        <f t="shared" si="110"/>
        <v>0</v>
      </c>
      <c r="AA355" t="str">
        <f t="shared" si="111"/>
        <v/>
      </c>
    </row>
    <row r="356" spans="1:27" x14ac:dyDescent="0.2">
      <c r="A356" t="s">
        <v>46</v>
      </c>
      <c r="B356" t="s">
        <v>47</v>
      </c>
      <c r="C356" t="s">
        <v>1484</v>
      </c>
      <c r="D356" t="s">
        <v>10</v>
      </c>
      <c r="E356" t="s">
        <v>3</v>
      </c>
      <c r="F356" t="s">
        <v>1473</v>
      </c>
      <c r="G356" t="s">
        <v>1474</v>
      </c>
      <c r="H356" s="4" t="str">
        <f t="shared" si="95"/>
        <v/>
      </c>
      <c r="I356" s="4" t="str">
        <f>IF(RIGHT(B356,1)="M",IF(AND(H356=1,E356="RFS",D356=INDEX('Station Depth Averages'!$A$3:$B$84,MATCH(B356,'Station Depth Averages'!$A$3:$A$84,0),2)),1,""),IF(AND(H356=1,OR(D356="SYN",D356="SRF",D356="MID")),1,IF(AND(H356=1,OR(E357="FDn",E357="LDn")),1,IF(AND(H356=1,OR(E356="FDn",E356="LDn")),1,""))))</f>
        <v/>
      </c>
      <c r="J356" s="4" t="str">
        <f t="shared" si="96"/>
        <v/>
      </c>
      <c r="K356" s="4" t="str">
        <f t="shared" si="97"/>
        <v/>
      </c>
      <c r="L356" s="4" t="str">
        <f t="shared" si="98"/>
        <v/>
      </c>
      <c r="M356" s="4" t="str">
        <f t="shared" si="99"/>
        <v/>
      </c>
      <c r="N356" s="4" t="str">
        <f t="shared" si="100"/>
        <v/>
      </c>
      <c r="O356" s="4" t="str">
        <f t="shared" si="101"/>
        <v/>
      </c>
      <c r="P356" s="4" t="str">
        <f t="shared" si="102"/>
        <v/>
      </c>
      <c r="Q356" s="4" t="str">
        <f t="shared" si="103"/>
        <v/>
      </c>
      <c r="R356" s="4" t="str">
        <f t="shared" si="104"/>
        <v/>
      </c>
      <c r="S356" s="4" t="str">
        <f t="shared" si="105"/>
        <v/>
      </c>
      <c r="T356" s="4">
        <f t="shared" si="106"/>
        <v>1</v>
      </c>
      <c r="U356">
        <f>IF(VLOOKUP(C356,'QA Table'!$Y$5:$Y$20,1,TRUE)=C356,1,0)</f>
        <v>0</v>
      </c>
      <c r="V356" t="str">
        <f t="shared" si="107"/>
        <v/>
      </c>
      <c r="W356" t="str">
        <f t="shared" si="108"/>
        <v/>
      </c>
      <c r="X356" t="str">
        <f t="shared" si="109"/>
        <v/>
      </c>
      <c r="Y356">
        <f t="shared" si="110"/>
        <v>0</v>
      </c>
      <c r="AA356" t="str">
        <f t="shared" si="111"/>
        <v/>
      </c>
    </row>
    <row r="357" spans="1:27" x14ac:dyDescent="0.2">
      <c r="A357" t="s">
        <v>46</v>
      </c>
      <c r="B357" t="s">
        <v>47</v>
      </c>
      <c r="C357" t="s">
        <v>1485</v>
      </c>
      <c r="D357" t="s">
        <v>1034</v>
      </c>
      <c r="E357" t="s">
        <v>3</v>
      </c>
      <c r="F357" t="s">
        <v>1473</v>
      </c>
      <c r="G357" t="s">
        <v>1474</v>
      </c>
      <c r="H357" s="4" t="str">
        <f t="shared" si="95"/>
        <v/>
      </c>
      <c r="I357" s="4" t="str">
        <f>IF(RIGHT(B357,1)="M",IF(AND(H357=1,E357="RFS",D357=INDEX('Station Depth Averages'!$A$3:$B$84,MATCH(B357,'Station Depth Averages'!$A$3:$A$84,0),2)),1,""),IF(AND(H357=1,OR(D357="SYN",D357="SRF",D357="MID")),1,IF(AND(H357=1,OR(E358="FDn",E358="LDn")),1,IF(AND(H357=1,OR(E357="FDn",E357="LDn")),1,""))))</f>
        <v/>
      </c>
      <c r="J357" s="4" t="str">
        <f t="shared" si="96"/>
        <v/>
      </c>
      <c r="K357" s="4" t="str">
        <f t="shared" si="97"/>
        <v/>
      </c>
      <c r="L357" s="4" t="str">
        <f t="shared" si="98"/>
        <v/>
      </c>
      <c r="M357" s="4" t="str">
        <f t="shared" si="99"/>
        <v/>
      </c>
      <c r="N357" s="4" t="str">
        <f t="shared" si="100"/>
        <v/>
      </c>
      <c r="O357" s="4" t="str">
        <f t="shared" si="101"/>
        <v/>
      </c>
      <c r="P357" s="4" t="str">
        <f t="shared" si="102"/>
        <v/>
      </c>
      <c r="Q357" s="4" t="str">
        <f t="shared" si="103"/>
        <v/>
      </c>
      <c r="R357" s="4" t="str">
        <f t="shared" si="104"/>
        <v/>
      </c>
      <c r="S357" s="4">
        <f t="shared" si="105"/>
        <v>1</v>
      </c>
      <c r="T357" s="4" t="str">
        <f t="shared" si="106"/>
        <v/>
      </c>
      <c r="U357">
        <f>IF(VLOOKUP(C357,'QA Table'!$Y$5:$Y$20,1,TRUE)=C357,1,0)</f>
        <v>0</v>
      </c>
      <c r="V357" t="str">
        <f t="shared" si="107"/>
        <v/>
      </c>
      <c r="W357" t="str">
        <f t="shared" si="108"/>
        <v/>
      </c>
      <c r="X357" t="str">
        <f t="shared" si="109"/>
        <v/>
      </c>
      <c r="Y357">
        <f t="shared" si="110"/>
        <v>0</v>
      </c>
      <c r="AA357" t="str">
        <f t="shared" si="111"/>
        <v/>
      </c>
    </row>
    <row r="358" spans="1:27" x14ac:dyDescent="0.2">
      <c r="A358" t="s">
        <v>46</v>
      </c>
      <c r="B358" t="s">
        <v>47</v>
      </c>
      <c r="C358" t="s">
        <v>1486</v>
      </c>
      <c r="D358" t="s">
        <v>1034</v>
      </c>
      <c r="E358" t="s">
        <v>19</v>
      </c>
      <c r="F358" t="s">
        <v>1473</v>
      </c>
      <c r="G358" t="s">
        <v>1474</v>
      </c>
      <c r="H358" s="4" t="str">
        <f t="shared" si="95"/>
        <v/>
      </c>
      <c r="I358" s="4" t="str">
        <f>IF(RIGHT(B358,1)="M",IF(AND(H358=1,E358="RFS",D358=INDEX('Station Depth Averages'!$A$3:$B$84,MATCH(B358,'Station Depth Averages'!$A$3:$A$84,0),2)),1,""),IF(AND(H358=1,OR(D358="SYN",D358="SRF",D358="MID")),1,IF(AND(H358=1,OR(E359="FDn",E359="LDn")),1,IF(AND(H358=1,OR(E358="FDn",E358="LDn")),1,""))))</f>
        <v/>
      </c>
      <c r="J358" s="4" t="str">
        <f t="shared" si="96"/>
        <v/>
      </c>
      <c r="K358" s="4" t="str">
        <f t="shared" si="97"/>
        <v/>
      </c>
      <c r="L358" s="4" t="str">
        <f t="shared" si="98"/>
        <v/>
      </c>
      <c r="M358" s="4" t="str">
        <f t="shared" si="99"/>
        <v/>
      </c>
      <c r="N358" s="4" t="str">
        <f t="shared" si="100"/>
        <v/>
      </c>
      <c r="O358" s="4" t="str">
        <f t="shared" si="101"/>
        <v/>
      </c>
      <c r="P358" s="4" t="str">
        <f t="shared" si="102"/>
        <v/>
      </c>
      <c r="Q358" s="4" t="str">
        <f t="shared" si="103"/>
        <v/>
      </c>
      <c r="R358" s="4" t="str">
        <f t="shared" si="104"/>
        <v/>
      </c>
      <c r="S358" s="4">
        <f t="shared" si="105"/>
        <v>1</v>
      </c>
      <c r="T358" s="4" t="str">
        <f t="shared" si="106"/>
        <v/>
      </c>
      <c r="U358">
        <f>IF(VLOOKUP(C358,'QA Table'!$Y$5:$Y$20,1,TRUE)=C358,1,0)</f>
        <v>0</v>
      </c>
      <c r="V358" t="str">
        <f t="shared" si="107"/>
        <v/>
      </c>
      <c r="W358" t="str">
        <f t="shared" si="108"/>
        <v/>
      </c>
      <c r="X358" t="str">
        <f t="shared" si="109"/>
        <v/>
      </c>
      <c r="Y358">
        <f t="shared" si="110"/>
        <v>0</v>
      </c>
      <c r="AA358" t="str">
        <f t="shared" si="111"/>
        <v/>
      </c>
    </row>
    <row r="359" spans="1:27" x14ac:dyDescent="0.2">
      <c r="A359" t="s">
        <v>46</v>
      </c>
      <c r="B359" t="s">
        <v>48</v>
      </c>
      <c r="C359" t="s">
        <v>1487</v>
      </c>
      <c r="D359" t="s">
        <v>14</v>
      </c>
      <c r="E359" t="s">
        <v>15</v>
      </c>
      <c r="F359" t="s">
        <v>1488</v>
      </c>
      <c r="G359" t="s">
        <v>1474</v>
      </c>
      <c r="H359" s="4">
        <f t="shared" si="95"/>
        <v>1</v>
      </c>
      <c r="I359" s="4">
        <f>IF(RIGHT(B359,1)="M",IF(AND(H359=1,E359="RFS",D359=INDEX('Station Depth Averages'!$A$3:$B$84,MATCH(B359,'Station Depth Averages'!$A$3:$A$84,0),2)),1,""),IF(AND(H359=1,OR(D359="SYN",D359="SRF",D359="MID")),1,IF(AND(H359=1,OR(E360="FDn",E360="LDn")),1,IF(AND(H359=1,OR(E359="FDn",E359="LDn")),1,""))))</f>
        <v>1</v>
      </c>
      <c r="J359" s="4">
        <f t="shared" si="96"/>
        <v>1</v>
      </c>
      <c r="K359" s="4" t="str">
        <f t="shared" si="97"/>
        <v/>
      </c>
      <c r="L359" s="4" t="str">
        <f t="shared" si="98"/>
        <v/>
      </c>
      <c r="M359" s="4" t="str">
        <f t="shared" si="99"/>
        <v/>
      </c>
      <c r="N359" s="4" t="str">
        <f t="shared" si="100"/>
        <v/>
      </c>
      <c r="O359" s="4" t="str">
        <f t="shared" si="101"/>
        <v/>
      </c>
      <c r="P359" s="4" t="str">
        <f t="shared" si="102"/>
        <v/>
      </c>
      <c r="Q359" s="4" t="str">
        <f t="shared" si="103"/>
        <v/>
      </c>
      <c r="R359" s="4" t="str">
        <f t="shared" si="104"/>
        <v/>
      </c>
      <c r="S359" s="4" t="str">
        <f t="shared" si="105"/>
        <v/>
      </c>
      <c r="T359" s="4" t="str">
        <f t="shared" si="106"/>
        <v/>
      </c>
      <c r="U359">
        <f>IF(VLOOKUP(C359,'QA Table'!$Y$5:$Y$20,1,TRUE)=C359,1,0)</f>
        <v>0</v>
      </c>
      <c r="V359" t="str">
        <f t="shared" si="107"/>
        <v/>
      </c>
      <c r="W359" t="str">
        <f t="shared" si="108"/>
        <v/>
      </c>
      <c r="X359">
        <f t="shared" si="109"/>
        <v>4</v>
      </c>
      <c r="Y359">
        <f t="shared" si="110"/>
        <v>0</v>
      </c>
      <c r="AA359">
        <f t="shared" si="111"/>
        <v>1</v>
      </c>
    </row>
    <row r="360" spans="1:27" x14ac:dyDescent="0.2">
      <c r="A360" t="s">
        <v>46</v>
      </c>
      <c r="B360" t="s">
        <v>48</v>
      </c>
      <c r="C360" t="s">
        <v>1067</v>
      </c>
      <c r="D360" t="s">
        <v>2</v>
      </c>
      <c r="E360" t="s">
        <v>3</v>
      </c>
      <c r="F360" t="s">
        <v>1488</v>
      </c>
      <c r="G360" t="s">
        <v>1474</v>
      </c>
      <c r="H360" s="4">
        <f t="shared" si="95"/>
        <v>1</v>
      </c>
      <c r="I360" s="4">
        <f>IF(RIGHT(B360,1)="M",IF(AND(H360=1,E360="RFS",D360=INDEX('Station Depth Averages'!$A$3:$B$84,MATCH(B360,'Station Depth Averages'!$A$3:$A$84,0),2)),1,""),IF(AND(H360=1,OR(D360="SYN",D360="SRF",D360="MID")),1,IF(AND(H360=1,OR(E361="FDn",E361="LDn")),1,IF(AND(H360=1,OR(E360="FDn",E360="LDn")),1,""))))</f>
        <v>1</v>
      </c>
      <c r="J360" s="4">
        <f t="shared" si="96"/>
        <v>1</v>
      </c>
      <c r="K360" s="4" t="str">
        <f t="shared" si="97"/>
        <v/>
      </c>
      <c r="L360" s="4" t="str">
        <f t="shared" si="98"/>
        <v/>
      </c>
      <c r="M360" s="4" t="str">
        <f t="shared" si="99"/>
        <v/>
      </c>
      <c r="N360" s="4" t="str">
        <f t="shared" si="100"/>
        <v/>
      </c>
      <c r="O360" s="4" t="str">
        <f t="shared" si="101"/>
        <v/>
      </c>
      <c r="P360" s="4" t="str">
        <f t="shared" si="102"/>
        <v/>
      </c>
      <c r="Q360" s="4" t="str">
        <f t="shared" si="103"/>
        <v/>
      </c>
      <c r="R360" s="4" t="str">
        <f t="shared" si="104"/>
        <v/>
      </c>
      <c r="S360" s="4" t="str">
        <f t="shared" si="105"/>
        <v/>
      </c>
      <c r="T360" s="4" t="str">
        <f t="shared" si="106"/>
        <v/>
      </c>
      <c r="U360">
        <f>IF(VLOOKUP(C360,'QA Table'!$Y$5:$Y$20,1,TRUE)=C360,1,0)</f>
        <v>0</v>
      </c>
      <c r="V360" t="str">
        <f t="shared" si="107"/>
        <v/>
      </c>
      <c r="W360" t="str">
        <f t="shared" si="108"/>
        <v/>
      </c>
      <c r="X360">
        <f t="shared" si="109"/>
        <v>4</v>
      </c>
      <c r="Y360">
        <f t="shared" si="110"/>
        <v>0</v>
      </c>
      <c r="AA360">
        <f t="shared" si="111"/>
        <v>1</v>
      </c>
    </row>
    <row r="361" spans="1:27" x14ac:dyDescent="0.2">
      <c r="A361" t="s">
        <v>46</v>
      </c>
      <c r="B361" t="s">
        <v>48</v>
      </c>
      <c r="C361" t="s">
        <v>1489</v>
      </c>
      <c r="D361" t="s">
        <v>1050</v>
      </c>
      <c r="E361" t="s">
        <v>3</v>
      </c>
      <c r="F361" t="s">
        <v>1488</v>
      </c>
      <c r="G361" t="s">
        <v>1474</v>
      </c>
      <c r="H361" s="4" t="str">
        <f t="shared" si="95"/>
        <v/>
      </c>
      <c r="I361" s="4" t="str">
        <f>IF(RIGHT(B361,1)="M",IF(AND(H361=1,E361="RFS",D361=INDEX('Station Depth Averages'!$A$3:$B$84,MATCH(B361,'Station Depth Averages'!$A$3:$A$84,0),2)),1,""),IF(AND(H361=1,OR(D361="SYN",D361="SRF",D361="MID")),1,IF(AND(H361=1,OR(E362="FDn",E362="LDn")),1,IF(AND(H361=1,OR(E361="FDn",E361="LDn")),1,""))))</f>
        <v/>
      </c>
      <c r="J361" s="4" t="str">
        <f t="shared" si="96"/>
        <v/>
      </c>
      <c r="K361" s="4" t="str">
        <f t="shared" si="97"/>
        <v/>
      </c>
      <c r="L361" s="4" t="str">
        <f t="shared" si="98"/>
        <v/>
      </c>
      <c r="M361" s="4" t="str">
        <f t="shared" si="99"/>
        <v/>
      </c>
      <c r="N361" s="4" t="str">
        <f t="shared" si="100"/>
        <v/>
      </c>
      <c r="O361" s="4" t="str">
        <f t="shared" si="101"/>
        <v/>
      </c>
      <c r="P361" s="4" t="str">
        <f t="shared" si="102"/>
        <v/>
      </c>
      <c r="Q361" s="4" t="str">
        <f t="shared" si="103"/>
        <v/>
      </c>
      <c r="R361" s="4" t="str">
        <f t="shared" si="104"/>
        <v/>
      </c>
      <c r="S361" s="4" t="str">
        <f t="shared" si="105"/>
        <v/>
      </c>
      <c r="T361" s="4" t="str">
        <f t="shared" si="106"/>
        <v/>
      </c>
      <c r="U361">
        <f>IF(VLOOKUP(C361,'QA Table'!$Y$5:$Y$20,1,TRUE)=C361,1,0)</f>
        <v>0</v>
      </c>
      <c r="V361" t="str">
        <f t="shared" si="107"/>
        <v/>
      </c>
      <c r="W361" t="str">
        <f t="shared" si="108"/>
        <v/>
      </c>
      <c r="X361" t="str">
        <f t="shared" si="109"/>
        <v/>
      </c>
      <c r="Y361">
        <f t="shared" si="110"/>
        <v>0</v>
      </c>
      <c r="AA361" t="str">
        <f t="shared" si="111"/>
        <v/>
      </c>
    </row>
    <row r="362" spans="1:27" x14ac:dyDescent="0.2">
      <c r="A362" t="s">
        <v>46</v>
      </c>
      <c r="B362" t="s">
        <v>48</v>
      </c>
      <c r="C362" t="s">
        <v>1490</v>
      </c>
      <c r="D362" t="s">
        <v>4</v>
      </c>
      <c r="E362" t="s">
        <v>3</v>
      </c>
      <c r="F362" t="s">
        <v>1488</v>
      </c>
      <c r="G362" t="s">
        <v>1474</v>
      </c>
      <c r="H362" s="4" t="str">
        <f t="shared" si="95"/>
        <v/>
      </c>
      <c r="I362" s="4" t="str">
        <f>IF(RIGHT(B362,1)="M",IF(AND(H362=1,E362="RFS",D362=INDEX('Station Depth Averages'!$A$3:$B$84,MATCH(B362,'Station Depth Averages'!$A$3:$A$84,0),2)),1,""),IF(AND(H362=1,OR(D362="SYN",D362="SRF",D362="MID")),1,IF(AND(H362=1,OR(E363="FDn",E363="LDn")),1,IF(AND(H362=1,OR(E362="FDn",E362="LDn")),1,""))))</f>
        <v/>
      </c>
      <c r="J362" s="4" t="str">
        <f t="shared" si="96"/>
        <v/>
      </c>
      <c r="K362" s="4" t="str">
        <f t="shared" si="97"/>
        <v/>
      </c>
      <c r="L362" s="4" t="str">
        <f t="shared" si="98"/>
        <v/>
      </c>
      <c r="M362" s="4" t="str">
        <f t="shared" si="99"/>
        <v/>
      </c>
      <c r="N362" s="4" t="str">
        <f t="shared" si="100"/>
        <v/>
      </c>
      <c r="O362" s="4" t="str">
        <f t="shared" si="101"/>
        <v/>
      </c>
      <c r="P362" s="4" t="str">
        <f t="shared" si="102"/>
        <v/>
      </c>
      <c r="Q362" s="4" t="str">
        <f t="shared" si="103"/>
        <v/>
      </c>
      <c r="R362" s="4" t="str">
        <f t="shared" si="104"/>
        <v/>
      </c>
      <c r="S362" s="4" t="str">
        <f t="shared" si="105"/>
        <v/>
      </c>
      <c r="T362" s="4" t="str">
        <f t="shared" si="106"/>
        <v/>
      </c>
      <c r="U362">
        <f>IF(VLOOKUP(C362,'QA Table'!$Y$5:$Y$20,1,TRUE)=C362,1,0)</f>
        <v>0</v>
      </c>
      <c r="V362" t="str">
        <f t="shared" si="107"/>
        <v/>
      </c>
      <c r="W362" t="str">
        <f t="shared" si="108"/>
        <v/>
      </c>
      <c r="X362" t="str">
        <f t="shared" si="109"/>
        <v/>
      </c>
      <c r="Y362">
        <f t="shared" si="110"/>
        <v>0</v>
      </c>
      <c r="AA362" t="str">
        <f t="shared" si="111"/>
        <v/>
      </c>
    </row>
    <row r="363" spans="1:27" x14ac:dyDescent="0.2">
      <c r="A363" t="s">
        <v>46</v>
      </c>
      <c r="B363" t="s">
        <v>48</v>
      </c>
      <c r="C363" t="s">
        <v>1491</v>
      </c>
      <c r="D363" t="s">
        <v>1051</v>
      </c>
      <c r="E363" t="s">
        <v>3</v>
      </c>
      <c r="F363" t="s">
        <v>1488</v>
      </c>
      <c r="G363" t="s">
        <v>1474</v>
      </c>
      <c r="H363" s="4" t="str">
        <f t="shared" si="95"/>
        <v/>
      </c>
      <c r="I363" s="4" t="str">
        <f>IF(RIGHT(B363,1)="M",IF(AND(H363=1,E363="RFS",D363=INDEX('Station Depth Averages'!$A$3:$B$84,MATCH(B363,'Station Depth Averages'!$A$3:$A$84,0),2)),1,""),IF(AND(H363=1,OR(D363="SYN",D363="SRF",D363="MID")),1,IF(AND(H363=1,OR(E364="FDn",E364="LDn")),1,IF(AND(H363=1,OR(E363="FDn",E363="LDn")),1,""))))</f>
        <v/>
      </c>
      <c r="J363" s="4" t="str">
        <f t="shared" si="96"/>
        <v/>
      </c>
      <c r="K363" s="4" t="str">
        <f t="shared" si="97"/>
        <v/>
      </c>
      <c r="L363" s="4" t="str">
        <f t="shared" si="98"/>
        <v/>
      </c>
      <c r="M363" s="4" t="str">
        <f t="shared" si="99"/>
        <v/>
      </c>
      <c r="N363" s="4" t="str">
        <f t="shared" si="100"/>
        <v/>
      </c>
      <c r="O363" s="4" t="str">
        <f t="shared" si="101"/>
        <v/>
      </c>
      <c r="P363" s="4" t="str">
        <f t="shared" si="102"/>
        <v/>
      </c>
      <c r="Q363" s="4" t="str">
        <f t="shared" si="103"/>
        <v/>
      </c>
      <c r="R363" s="4" t="str">
        <f t="shared" si="104"/>
        <v/>
      </c>
      <c r="S363" s="4" t="str">
        <f t="shared" si="105"/>
        <v/>
      </c>
      <c r="T363" s="4" t="str">
        <f t="shared" si="106"/>
        <v/>
      </c>
      <c r="U363">
        <f>IF(VLOOKUP(C363,'QA Table'!$Y$5:$Y$20,1,TRUE)=C363,1,0)</f>
        <v>0</v>
      </c>
      <c r="V363" t="str">
        <f t="shared" si="107"/>
        <v/>
      </c>
      <c r="W363" t="str">
        <f t="shared" si="108"/>
        <v/>
      </c>
      <c r="X363" t="str">
        <f t="shared" si="109"/>
        <v/>
      </c>
      <c r="Y363">
        <f t="shared" si="110"/>
        <v>0</v>
      </c>
      <c r="AA363" t="str">
        <f t="shared" si="111"/>
        <v/>
      </c>
    </row>
    <row r="364" spans="1:27" x14ac:dyDescent="0.2">
      <c r="A364" t="s">
        <v>46</v>
      </c>
      <c r="B364" t="s">
        <v>48</v>
      </c>
      <c r="C364" t="s">
        <v>1492</v>
      </c>
      <c r="D364" t="s">
        <v>119</v>
      </c>
      <c r="E364" t="s">
        <v>3</v>
      </c>
      <c r="F364" t="s">
        <v>1488</v>
      </c>
      <c r="G364" t="s">
        <v>1474</v>
      </c>
      <c r="H364" s="4">
        <f t="shared" si="95"/>
        <v>1</v>
      </c>
      <c r="I364" s="4">
        <f>IF(RIGHT(B364,1)="M",IF(AND(H364=1,E364="RFS",D364=INDEX('Station Depth Averages'!$A$3:$B$84,MATCH(B364,'Station Depth Averages'!$A$3:$A$84,0),2)),1,""),IF(AND(H364=1,OR(D364="SYN",D364="SRF",D364="MID")),1,IF(AND(H364=1,OR(E365="FDn",E365="LDn")),1,IF(AND(H364=1,OR(E364="FDn",E364="LDn")),1,""))))</f>
        <v>1</v>
      </c>
      <c r="J364" s="4">
        <f t="shared" si="96"/>
        <v>1</v>
      </c>
      <c r="K364" s="4" t="str">
        <f t="shared" si="97"/>
        <v/>
      </c>
      <c r="L364" s="4" t="str">
        <f t="shared" si="98"/>
        <v/>
      </c>
      <c r="M364" s="4" t="str">
        <f t="shared" si="99"/>
        <v/>
      </c>
      <c r="N364" s="4" t="str">
        <f t="shared" si="100"/>
        <v/>
      </c>
      <c r="O364" s="4" t="str">
        <f t="shared" si="101"/>
        <v/>
      </c>
      <c r="P364" s="4" t="str">
        <f t="shared" si="102"/>
        <v/>
      </c>
      <c r="Q364" s="4" t="str">
        <f t="shared" si="103"/>
        <v/>
      </c>
      <c r="R364" s="4" t="str">
        <f t="shared" si="104"/>
        <v/>
      </c>
      <c r="S364" s="4" t="str">
        <f t="shared" si="105"/>
        <v/>
      </c>
      <c r="T364" s="4" t="str">
        <f t="shared" si="106"/>
        <v/>
      </c>
      <c r="U364">
        <f>IF(VLOOKUP(C364,'QA Table'!$Y$5:$Y$20,1,TRUE)=C364,1,0)</f>
        <v>0</v>
      </c>
      <c r="V364" t="str">
        <f t="shared" si="107"/>
        <v/>
      </c>
      <c r="W364" t="str">
        <f t="shared" si="108"/>
        <v/>
      </c>
      <c r="X364">
        <f t="shared" si="109"/>
        <v>4</v>
      </c>
      <c r="Y364">
        <f t="shared" si="110"/>
        <v>0</v>
      </c>
      <c r="AA364">
        <f t="shared" si="111"/>
        <v>1</v>
      </c>
    </row>
    <row r="365" spans="1:27" x14ac:dyDescent="0.2">
      <c r="A365" t="s">
        <v>46</v>
      </c>
      <c r="B365" t="s">
        <v>48</v>
      </c>
      <c r="C365" t="s">
        <v>1493</v>
      </c>
      <c r="D365" t="s">
        <v>5</v>
      </c>
      <c r="E365" t="s">
        <v>3</v>
      </c>
      <c r="F365" t="s">
        <v>1488</v>
      </c>
      <c r="G365" t="s">
        <v>1474</v>
      </c>
      <c r="H365" s="4">
        <f t="shared" si="95"/>
        <v>1</v>
      </c>
      <c r="I365" s="4" t="str">
        <f>IF(RIGHT(B365,1)="M",IF(AND(H365=1,E365="RFS",D365=INDEX('Station Depth Averages'!$A$3:$B$84,MATCH(B365,'Station Depth Averages'!$A$3:$A$84,0),2)),1,""),IF(AND(H365=1,OR(D365="SYN",D365="SRF",D365="MID")),1,IF(AND(H365=1,OR(E366="FDn",E366="LDn")),1,IF(AND(H365=1,OR(E365="FDn",E365="LDn")),1,""))))</f>
        <v/>
      </c>
      <c r="J365" s="4">
        <f t="shared" si="96"/>
        <v>1</v>
      </c>
      <c r="K365" s="4" t="str">
        <f t="shared" si="97"/>
        <v/>
      </c>
      <c r="L365" s="4" t="str">
        <f t="shared" si="98"/>
        <v/>
      </c>
      <c r="M365" s="4" t="str">
        <f t="shared" si="99"/>
        <v/>
      </c>
      <c r="N365" s="4" t="str">
        <f t="shared" si="100"/>
        <v/>
      </c>
      <c r="O365" s="4" t="str">
        <f t="shared" si="101"/>
        <v/>
      </c>
      <c r="P365" s="4" t="str">
        <f t="shared" si="102"/>
        <v/>
      </c>
      <c r="Q365" s="4" t="str">
        <f t="shared" si="103"/>
        <v/>
      </c>
      <c r="R365" s="4" t="str">
        <f t="shared" si="104"/>
        <v/>
      </c>
      <c r="S365" s="4" t="str">
        <f t="shared" si="105"/>
        <v/>
      </c>
      <c r="T365" s="4" t="str">
        <f t="shared" si="106"/>
        <v/>
      </c>
      <c r="U365">
        <f>IF(VLOOKUP(C365,'QA Table'!$Y$5:$Y$20,1,TRUE)=C365,1,0)</f>
        <v>0</v>
      </c>
      <c r="V365" t="str">
        <f t="shared" si="107"/>
        <v/>
      </c>
      <c r="W365" t="str">
        <f t="shared" si="108"/>
        <v/>
      </c>
      <c r="X365">
        <f t="shared" si="109"/>
        <v>4</v>
      </c>
      <c r="Y365">
        <f t="shared" si="110"/>
        <v>0</v>
      </c>
      <c r="AA365">
        <f t="shared" si="111"/>
        <v>1</v>
      </c>
    </row>
    <row r="366" spans="1:27" x14ac:dyDescent="0.2">
      <c r="A366" t="s">
        <v>46</v>
      </c>
      <c r="B366" t="s">
        <v>48</v>
      </c>
      <c r="C366" t="s">
        <v>1494</v>
      </c>
      <c r="D366" t="s">
        <v>6</v>
      </c>
      <c r="E366" t="s">
        <v>3</v>
      </c>
      <c r="F366" t="s">
        <v>1488</v>
      </c>
      <c r="G366" t="s">
        <v>1474</v>
      </c>
      <c r="H366" s="4">
        <f t="shared" si="95"/>
        <v>1</v>
      </c>
      <c r="I366" s="4" t="str">
        <f>IF(RIGHT(B366,1)="M",IF(AND(H366=1,E366="RFS",D366=INDEX('Station Depth Averages'!$A$3:$B$84,MATCH(B366,'Station Depth Averages'!$A$3:$A$84,0),2)),1,""),IF(AND(H366=1,OR(D366="SYN",D366="SRF",D366="MID")),1,IF(AND(H366=1,OR(E367="FDn",E367="LDn")),1,IF(AND(H366=1,OR(E366="FDn",E366="LDn")),1,""))))</f>
        <v/>
      </c>
      <c r="J366" s="4">
        <f t="shared" si="96"/>
        <v>1</v>
      </c>
      <c r="K366" s="4" t="str">
        <f t="shared" si="97"/>
        <v/>
      </c>
      <c r="L366" s="4" t="str">
        <f t="shared" si="98"/>
        <v/>
      </c>
      <c r="M366" s="4" t="str">
        <f t="shared" si="99"/>
        <v/>
      </c>
      <c r="N366" s="4" t="str">
        <f t="shared" si="100"/>
        <v/>
      </c>
      <c r="O366" s="4" t="str">
        <f t="shared" si="101"/>
        <v/>
      </c>
      <c r="P366" s="4" t="str">
        <f t="shared" si="102"/>
        <v/>
      </c>
      <c r="Q366" s="4" t="str">
        <f t="shared" si="103"/>
        <v/>
      </c>
      <c r="R366" s="4" t="str">
        <f t="shared" si="104"/>
        <v/>
      </c>
      <c r="S366" s="4" t="str">
        <f t="shared" si="105"/>
        <v/>
      </c>
      <c r="T366" s="4" t="str">
        <f t="shared" si="106"/>
        <v/>
      </c>
      <c r="U366">
        <f>IF(VLOOKUP(C366,'QA Table'!$Y$5:$Y$20,1,TRUE)=C366,1,0)</f>
        <v>0</v>
      </c>
      <c r="V366" t="str">
        <f t="shared" si="107"/>
        <v/>
      </c>
      <c r="W366" t="str">
        <f t="shared" si="108"/>
        <v/>
      </c>
      <c r="X366">
        <f t="shared" si="109"/>
        <v>4</v>
      </c>
      <c r="Y366">
        <f t="shared" si="110"/>
        <v>0</v>
      </c>
      <c r="AA366">
        <f t="shared" si="111"/>
        <v>1</v>
      </c>
    </row>
    <row r="367" spans="1:27" x14ac:dyDescent="0.2">
      <c r="A367" t="s">
        <v>46</v>
      </c>
      <c r="B367" t="s">
        <v>48</v>
      </c>
      <c r="C367" t="s">
        <v>1495</v>
      </c>
      <c r="D367" t="s">
        <v>8</v>
      </c>
      <c r="E367" t="s">
        <v>3</v>
      </c>
      <c r="F367" t="s">
        <v>1488</v>
      </c>
      <c r="G367" t="s">
        <v>1474</v>
      </c>
      <c r="H367" s="4">
        <f t="shared" si="95"/>
        <v>1</v>
      </c>
      <c r="I367" s="4" t="str">
        <f>IF(RIGHT(B367,1)="M",IF(AND(H367=1,E367="RFS",D367=INDEX('Station Depth Averages'!$A$3:$B$84,MATCH(B367,'Station Depth Averages'!$A$3:$A$84,0),2)),1,""),IF(AND(H367=1,OR(D367="SYN",D367="SRF",D367="MID")),1,IF(AND(H367=1,OR(E368="FDn",E368="LDn")),1,IF(AND(H367=1,OR(E367="FDn",E367="LDn")),1,""))))</f>
        <v/>
      </c>
      <c r="J367" s="4" t="str">
        <f t="shared" si="96"/>
        <v/>
      </c>
      <c r="K367" s="4">
        <f t="shared" si="97"/>
        <v>1</v>
      </c>
      <c r="L367" s="4" t="str">
        <f t="shared" si="98"/>
        <v/>
      </c>
      <c r="M367" s="4" t="str">
        <f t="shared" si="99"/>
        <v/>
      </c>
      <c r="N367" s="4" t="str">
        <f t="shared" si="100"/>
        <v/>
      </c>
      <c r="O367" s="4" t="str">
        <f t="shared" si="101"/>
        <v/>
      </c>
      <c r="P367" s="4" t="str">
        <f t="shared" si="102"/>
        <v/>
      </c>
      <c r="Q367" s="4">
        <f t="shared" si="103"/>
        <v>1</v>
      </c>
      <c r="R367" s="4" t="str">
        <f t="shared" si="104"/>
        <v/>
      </c>
      <c r="S367" s="4" t="str">
        <f t="shared" si="105"/>
        <v/>
      </c>
      <c r="T367" s="4" t="str">
        <f t="shared" si="106"/>
        <v/>
      </c>
      <c r="U367">
        <f>IF(VLOOKUP(C367,'QA Table'!$Y$5:$Y$20,1,TRUE)=C367,1,0)</f>
        <v>0</v>
      </c>
      <c r="V367" t="str">
        <f t="shared" si="107"/>
        <v/>
      </c>
      <c r="W367" t="str">
        <f t="shared" si="108"/>
        <v/>
      </c>
      <c r="X367">
        <f t="shared" si="109"/>
        <v>4</v>
      </c>
      <c r="Y367">
        <f t="shared" si="110"/>
        <v>0</v>
      </c>
      <c r="AA367">
        <f t="shared" si="111"/>
        <v>1</v>
      </c>
    </row>
    <row r="368" spans="1:27" x14ac:dyDescent="0.2">
      <c r="A368" t="s">
        <v>46</v>
      </c>
      <c r="B368" t="s">
        <v>48</v>
      </c>
      <c r="C368" t="s">
        <v>1496</v>
      </c>
      <c r="D368" t="s">
        <v>9</v>
      </c>
      <c r="E368" t="s">
        <v>3</v>
      </c>
      <c r="F368" t="s">
        <v>1488</v>
      </c>
      <c r="G368" t="s">
        <v>1474</v>
      </c>
      <c r="H368" s="4" t="str">
        <f t="shared" si="95"/>
        <v/>
      </c>
      <c r="I368" s="4" t="str">
        <f>IF(RIGHT(B368,1)="M",IF(AND(H368=1,E368="RFS",D368=INDEX('Station Depth Averages'!$A$3:$B$84,MATCH(B368,'Station Depth Averages'!$A$3:$A$84,0),2)),1,""),IF(AND(H368=1,OR(D368="SYN",D368="SRF",D368="MID")),1,IF(AND(H368=1,OR(E369="FDn",E369="LDn")),1,IF(AND(H368=1,OR(E368="FDn",E368="LDn")),1,""))))</f>
        <v/>
      </c>
      <c r="J368" s="4" t="str">
        <f t="shared" si="96"/>
        <v/>
      </c>
      <c r="K368" s="4" t="str">
        <f t="shared" si="97"/>
        <v/>
      </c>
      <c r="L368" s="4" t="str">
        <f t="shared" si="98"/>
        <v/>
      </c>
      <c r="M368" s="4" t="str">
        <f t="shared" si="99"/>
        <v/>
      </c>
      <c r="N368" s="4" t="str">
        <f t="shared" si="100"/>
        <v/>
      </c>
      <c r="O368" s="4" t="str">
        <f t="shared" si="101"/>
        <v/>
      </c>
      <c r="P368" s="4" t="str">
        <f t="shared" si="102"/>
        <v/>
      </c>
      <c r="Q368" s="4" t="str">
        <f t="shared" si="103"/>
        <v/>
      </c>
      <c r="R368" s="4" t="str">
        <f t="shared" si="104"/>
        <v/>
      </c>
      <c r="S368" s="4" t="str">
        <f t="shared" si="105"/>
        <v/>
      </c>
      <c r="T368" s="4">
        <f t="shared" si="106"/>
        <v>1</v>
      </c>
      <c r="U368">
        <f>IF(VLOOKUP(C368,'QA Table'!$Y$5:$Y$20,1,TRUE)=C368,1,0)</f>
        <v>0</v>
      </c>
      <c r="V368" t="str">
        <f t="shared" si="107"/>
        <v/>
      </c>
      <c r="W368" t="str">
        <f t="shared" si="108"/>
        <v/>
      </c>
      <c r="X368" t="str">
        <f t="shared" si="109"/>
        <v/>
      </c>
      <c r="Y368">
        <f t="shared" si="110"/>
        <v>0</v>
      </c>
      <c r="AA368" t="str">
        <f t="shared" si="111"/>
        <v/>
      </c>
    </row>
    <row r="369" spans="1:27" x14ac:dyDescent="0.2">
      <c r="A369" t="s">
        <v>46</v>
      </c>
      <c r="B369" t="s">
        <v>48</v>
      </c>
      <c r="C369" t="s">
        <v>1497</v>
      </c>
      <c r="D369" t="s">
        <v>10</v>
      </c>
      <c r="E369" t="s">
        <v>3</v>
      </c>
      <c r="F369" t="s">
        <v>1488</v>
      </c>
      <c r="G369" t="s">
        <v>1474</v>
      </c>
      <c r="H369" s="4" t="str">
        <f t="shared" si="95"/>
        <v/>
      </c>
      <c r="I369" s="4" t="str">
        <f>IF(RIGHT(B369,1)="M",IF(AND(H369=1,E369="RFS",D369=INDEX('Station Depth Averages'!$A$3:$B$84,MATCH(B369,'Station Depth Averages'!$A$3:$A$84,0),2)),1,""),IF(AND(H369=1,OR(D369="SYN",D369="SRF",D369="MID")),1,IF(AND(H369=1,OR(E370="FDn",E370="LDn")),1,IF(AND(H369=1,OR(E369="FDn",E369="LDn")),1,""))))</f>
        <v/>
      </c>
      <c r="J369" s="4" t="str">
        <f t="shared" si="96"/>
        <v/>
      </c>
      <c r="K369" s="4" t="str">
        <f t="shared" si="97"/>
        <v/>
      </c>
      <c r="L369" s="4" t="str">
        <f t="shared" si="98"/>
        <v/>
      </c>
      <c r="M369" s="4" t="str">
        <f t="shared" si="99"/>
        <v/>
      </c>
      <c r="N369" s="4" t="str">
        <f t="shared" si="100"/>
        <v/>
      </c>
      <c r="O369" s="4" t="str">
        <f t="shared" si="101"/>
        <v/>
      </c>
      <c r="P369" s="4" t="str">
        <f t="shared" si="102"/>
        <v/>
      </c>
      <c r="Q369" s="4" t="str">
        <f t="shared" si="103"/>
        <v/>
      </c>
      <c r="R369" s="4" t="str">
        <f t="shared" si="104"/>
        <v/>
      </c>
      <c r="S369" s="4" t="str">
        <f t="shared" si="105"/>
        <v/>
      </c>
      <c r="T369" s="4">
        <f t="shared" si="106"/>
        <v>1</v>
      </c>
      <c r="U369">
        <f>IF(VLOOKUP(C369,'QA Table'!$Y$5:$Y$20,1,TRUE)=C369,1,0)</f>
        <v>0</v>
      </c>
      <c r="V369" t="str">
        <f t="shared" si="107"/>
        <v/>
      </c>
      <c r="W369" t="str">
        <f t="shared" si="108"/>
        <v/>
      </c>
      <c r="X369" t="str">
        <f t="shared" si="109"/>
        <v/>
      </c>
      <c r="Y369">
        <f t="shared" si="110"/>
        <v>0</v>
      </c>
      <c r="AA369" t="str">
        <f t="shared" si="111"/>
        <v/>
      </c>
    </row>
    <row r="370" spans="1:27" x14ac:dyDescent="0.2">
      <c r="A370" t="s">
        <v>46</v>
      </c>
      <c r="B370" t="s">
        <v>48</v>
      </c>
      <c r="C370" t="s">
        <v>1498</v>
      </c>
      <c r="D370" t="s">
        <v>1034</v>
      </c>
      <c r="E370" t="s">
        <v>3</v>
      </c>
      <c r="F370" t="s">
        <v>1488</v>
      </c>
      <c r="G370" t="s">
        <v>1474</v>
      </c>
      <c r="H370" s="4" t="str">
        <f t="shared" si="95"/>
        <v/>
      </c>
      <c r="I370" s="4" t="str">
        <f>IF(RIGHT(B370,1)="M",IF(AND(H370=1,E370="RFS",D370=INDEX('Station Depth Averages'!$A$3:$B$84,MATCH(B370,'Station Depth Averages'!$A$3:$A$84,0),2)),1,""),IF(AND(H370=1,OR(D370="SYN",D370="SRF",D370="MID")),1,IF(AND(H370=1,OR(E371="FDn",E371="LDn")),1,IF(AND(H370=1,OR(E370="FDn",E370="LDn")),1,""))))</f>
        <v/>
      </c>
      <c r="J370" s="4" t="str">
        <f t="shared" si="96"/>
        <v/>
      </c>
      <c r="K370" s="4" t="str">
        <f t="shared" si="97"/>
        <v/>
      </c>
      <c r="L370" s="4" t="str">
        <f t="shared" si="98"/>
        <v/>
      </c>
      <c r="M370" s="4" t="str">
        <f t="shared" si="99"/>
        <v/>
      </c>
      <c r="N370" s="4" t="str">
        <f t="shared" si="100"/>
        <v/>
      </c>
      <c r="O370" s="4" t="str">
        <f t="shared" si="101"/>
        <v/>
      </c>
      <c r="P370" s="4" t="str">
        <f t="shared" si="102"/>
        <v/>
      </c>
      <c r="Q370" s="4" t="str">
        <f t="shared" si="103"/>
        <v/>
      </c>
      <c r="R370" s="4" t="str">
        <f t="shared" si="104"/>
        <v/>
      </c>
      <c r="S370" s="4">
        <f t="shared" si="105"/>
        <v>1</v>
      </c>
      <c r="T370" s="4" t="str">
        <f t="shared" si="106"/>
        <v/>
      </c>
      <c r="U370">
        <f>IF(VLOOKUP(C370,'QA Table'!$Y$5:$Y$20,1,TRUE)=C370,1,0)</f>
        <v>0</v>
      </c>
      <c r="V370" t="str">
        <f t="shared" si="107"/>
        <v/>
      </c>
      <c r="W370" t="str">
        <f t="shared" si="108"/>
        <v/>
      </c>
      <c r="X370" t="str">
        <f t="shared" si="109"/>
        <v/>
      </c>
      <c r="Y370">
        <f t="shared" si="110"/>
        <v>0</v>
      </c>
      <c r="AA370" t="str">
        <f t="shared" si="111"/>
        <v/>
      </c>
    </row>
    <row r="371" spans="1:27" x14ac:dyDescent="0.2">
      <c r="A371" t="s">
        <v>46</v>
      </c>
      <c r="B371" t="s">
        <v>48</v>
      </c>
      <c r="C371" t="s">
        <v>1499</v>
      </c>
      <c r="D371" t="s">
        <v>1034</v>
      </c>
      <c r="E371" t="s">
        <v>19</v>
      </c>
      <c r="F371" t="s">
        <v>1488</v>
      </c>
      <c r="G371" t="s">
        <v>1474</v>
      </c>
      <c r="H371" s="4" t="str">
        <f t="shared" si="95"/>
        <v/>
      </c>
      <c r="I371" s="4" t="str">
        <f>IF(RIGHT(B371,1)="M",IF(AND(H371=1,E371="RFS",D371=INDEX('Station Depth Averages'!$A$3:$B$84,MATCH(B371,'Station Depth Averages'!$A$3:$A$84,0),2)),1,""),IF(AND(H371=1,OR(D371="SYN",D371="SRF",D371="MID")),1,IF(AND(H371=1,OR(E372="FDn",E372="LDn")),1,IF(AND(H371=1,OR(E371="FDn",E371="LDn")),1,""))))</f>
        <v/>
      </c>
      <c r="J371" s="4" t="str">
        <f t="shared" si="96"/>
        <v/>
      </c>
      <c r="K371" s="4" t="str">
        <f t="shared" si="97"/>
        <v/>
      </c>
      <c r="L371" s="4" t="str">
        <f t="shared" si="98"/>
        <v/>
      </c>
      <c r="M371" s="4" t="str">
        <f t="shared" si="99"/>
        <v/>
      </c>
      <c r="N371" s="4" t="str">
        <f t="shared" si="100"/>
        <v/>
      </c>
      <c r="O371" s="4" t="str">
        <f t="shared" si="101"/>
        <v/>
      </c>
      <c r="P371" s="4" t="str">
        <f t="shared" si="102"/>
        <v/>
      </c>
      <c r="Q371" s="4" t="str">
        <f t="shared" si="103"/>
        <v/>
      </c>
      <c r="R371" s="4" t="str">
        <f t="shared" si="104"/>
        <v/>
      </c>
      <c r="S371" s="4">
        <f t="shared" si="105"/>
        <v>1</v>
      </c>
      <c r="T371" s="4" t="str">
        <f t="shared" si="106"/>
        <v/>
      </c>
      <c r="U371">
        <f>IF(VLOOKUP(C371,'QA Table'!$Y$5:$Y$20,1,TRUE)=C371,1,0)</f>
        <v>0</v>
      </c>
      <c r="V371" t="str">
        <f t="shared" si="107"/>
        <v/>
      </c>
      <c r="W371" t="str">
        <f t="shared" si="108"/>
        <v/>
      </c>
      <c r="X371" t="str">
        <f t="shared" si="109"/>
        <v/>
      </c>
      <c r="Y371">
        <f t="shared" si="110"/>
        <v>0</v>
      </c>
      <c r="AA371" t="str">
        <f t="shared" si="111"/>
        <v/>
      </c>
    </row>
    <row r="372" spans="1:27" x14ac:dyDescent="0.2">
      <c r="A372" t="s">
        <v>46</v>
      </c>
      <c r="B372" t="s">
        <v>49</v>
      </c>
      <c r="C372" t="s">
        <v>1070</v>
      </c>
      <c r="D372" t="s">
        <v>2</v>
      </c>
      <c r="E372" t="s">
        <v>3</v>
      </c>
      <c r="F372" t="s">
        <v>1500</v>
      </c>
      <c r="G372" t="s">
        <v>1474</v>
      </c>
      <c r="H372" s="4">
        <f t="shared" si="95"/>
        <v>1</v>
      </c>
      <c r="I372" s="4">
        <f>IF(RIGHT(B372,1)="M",IF(AND(H372=1,E372="RFS",D372=INDEX('Station Depth Averages'!$A$3:$B$84,MATCH(B372,'Station Depth Averages'!$A$3:$A$84,0),2)),1,""),IF(AND(H372=1,OR(D372="SYN",D372="SRF",D372="MID")),1,IF(AND(H372=1,OR(E373="FDn",E373="LDn")),1,IF(AND(H372=1,OR(E372="FDn",E372="LDn")),1,""))))</f>
        <v>1</v>
      </c>
      <c r="J372" s="4">
        <f t="shared" si="96"/>
        <v>1</v>
      </c>
      <c r="K372" s="4" t="str">
        <f t="shared" si="97"/>
        <v/>
      </c>
      <c r="L372" s="4" t="str">
        <f t="shared" si="98"/>
        <v/>
      </c>
      <c r="M372" s="4" t="str">
        <f t="shared" si="99"/>
        <v/>
      </c>
      <c r="N372" s="4" t="str">
        <f t="shared" si="100"/>
        <v/>
      </c>
      <c r="O372" s="4" t="str">
        <f t="shared" si="101"/>
        <v/>
      </c>
      <c r="P372" s="4" t="str">
        <f t="shared" si="102"/>
        <v/>
      </c>
      <c r="Q372" s="4" t="str">
        <f t="shared" si="103"/>
        <v/>
      </c>
      <c r="R372" s="4" t="str">
        <f t="shared" si="104"/>
        <v/>
      </c>
      <c r="S372" s="4" t="str">
        <f t="shared" si="105"/>
        <v/>
      </c>
      <c r="T372" s="4" t="str">
        <f t="shared" si="106"/>
        <v/>
      </c>
      <c r="U372">
        <f>IF(VLOOKUP(C372,'QA Table'!$Y$5:$Y$20,1,TRUE)=C372,1,0)</f>
        <v>1</v>
      </c>
      <c r="V372" t="str">
        <f t="shared" si="107"/>
        <v/>
      </c>
      <c r="W372" t="str">
        <f t="shared" si="108"/>
        <v/>
      </c>
      <c r="X372">
        <f t="shared" si="109"/>
        <v>4</v>
      </c>
      <c r="Y372">
        <f t="shared" si="110"/>
        <v>1</v>
      </c>
      <c r="AA372">
        <f t="shared" si="111"/>
        <v>1</v>
      </c>
    </row>
    <row r="373" spans="1:27" x14ac:dyDescent="0.2">
      <c r="A373" t="s">
        <v>46</v>
      </c>
      <c r="B373" t="s">
        <v>49</v>
      </c>
      <c r="C373" t="s">
        <v>1501</v>
      </c>
      <c r="D373" t="s">
        <v>1050</v>
      </c>
      <c r="E373" t="s">
        <v>3</v>
      </c>
      <c r="F373" t="s">
        <v>1500</v>
      </c>
      <c r="G373" t="s">
        <v>1474</v>
      </c>
      <c r="H373" s="4" t="str">
        <f t="shared" si="95"/>
        <v/>
      </c>
      <c r="I373" s="4" t="str">
        <f>IF(RIGHT(B373,1)="M",IF(AND(H373=1,E373="RFS",D373=INDEX('Station Depth Averages'!$A$3:$B$84,MATCH(B373,'Station Depth Averages'!$A$3:$A$84,0),2)),1,""),IF(AND(H373=1,OR(D373="SYN",D373="SRF",D373="MID")),1,IF(AND(H373=1,OR(E374="FDn",E374="LDn")),1,IF(AND(H373=1,OR(E373="FDn",E373="LDn")),1,""))))</f>
        <v/>
      </c>
      <c r="J373" s="4" t="str">
        <f t="shared" si="96"/>
        <v/>
      </c>
      <c r="K373" s="4" t="str">
        <f t="shared" si="97"/>
        <v/>
      </c>
      <c r="L373" s="4" t="str">
        <f t="shared" si="98"/>
        <v/>
      </c>
      <c r="M373" s="4" t="str">
        <f t="shared" si="99"/>
        <v/>
      </c>
      <c r="N373" s="4" t="str">
        <f t="shared" si="100"/>
        <v/>
      </c>
      <c r="O373" s="4" t="str">
        <f t="shared" si="101"/>
        <v/>
      </c>
      <c r="P373" s="4" t="str">
        <f t="shared" si="102"/>
        <v/>
      </c>
      <c r="Q373" s="4" t="str">
        <f t="shared" si="103"/>
        <v/>
      </c>
      <c r="R373" s="4" t="str">
        <f t="shared" si="104"/>
        <v/>
      </c>
      <c r="S373" s="4" t="str">
        <f t="shared" si="105"/>
        <v/>
      </c>
      <c r="T373" s="4" t="str">
        <f t="shared" si="106"/>
        <v/>
      </c>
      <c r="U373">
        <f>IF(VLOOKUP(C373,'QA Table'!$Y$5:$Y$20,1,TRUE)=C373,1,0)</f>
        <v>0</v>
      </c>
      <c r="V373" t="str">
        <f t="shared" si="107"/>
        <v/>
      </c>
      <c r="W373" t="str">
        <f t="shared" si="108"/>
        <v/>
      </c>
      <c r="X373" t="str">
        <f t="shared" si="109"/>
        <v/>
      </c>
      <c r="Y373">
        <f t="shared" si="110"/>
        <v>0</v>
      </c>
      <c r="AA373" t="str">
        <f t="shared" si="111"/>
        <v/>
      </c>
    </row>
    <row r="374" spans="1:27" x14ac:dyDescent="0.2">
      <c r="A374" t="s">
        <v>46</v>
      </c>
      <c r="B374" t="s">
        <v>49</v>
      </c>
      <c r="C374" t="s">
        <v>1502</v>
      </c>
      <c r="D374" t="s">
        <v>4</v>
      </c>
      <c r="E374" t="s">
        <v>3</v>
      </c>
      <c r="F374" t="s">
        <v>1500</v>
      </c>
      <c r="G374" t="s">
        <v>1474</v>
      </c>
      <c r="H374" s="4" t="str">
        <f t="shared" si="95"/>
        <v/>
      </c>
      <c r="I374" s="4" t="str">
        <f>IF(RIGHT(B374,1)="M",IF(AND(H374=1,E374="RFS",D374=INDEX('Station Depth Averages'!$A$3:$B$84,MATCH(B374,'Station Depth Averages'!$A$3:$A$84,0),2)),1,""),IF(AND(H374=1,OR(D374="SYN",D374="SRF",D374="MID")),1,IF(AND(H374=1,OR(E375="FDn",E375="LDn")),1,IF(AND(H374=1,OR(E374="FDn",E374="LDn")),1,""))))</f>
        <v/>
      </c>
      <c r="J374" s="4" t="str">
        <f t="shared" si="96"/>
        <v/>
      </c>
      <c r="K374" s="4" t="str">
        <f t="shared" si="97"/>
        <v/>
      </c>
      <c r="L374" s="4" t="str">
        <f t="shared" si="98"/>
        <v/>
      </c>
      <c r="M374" s="4" t="str">
        <f t="shared" si="99"/>
        <v/>
      </c>
      <c r="N374" s="4" t="str">
        <f t="shared" si="100"/>
        <v/>
      </c>
      <c r="O374" s="4" t="str">
        <f t="shared" si="101"/>
        <v/>
      </c>
      <c r="P374" s="4" t="str">
        <f t="shared" si="102"/>
        <v/>
      </c>
      <c r="Q374" s="4" t="str">
        <f t="shared" si="103"/>
        <v/>
      </c>
      <c r="R374" s="4" t="str">
        <f t="shared" si="104"/>
        <v/>
      </c>
      <c r="S374" s="4" t="str">
        <f t="shared" si="105"/>
        <v/>
      </c>
      <c r="T374" s="4" t="str">
        <f t="shared" si="106"/>
        <v/>
      </c>
      <c r="U374">
        <f>IF(VLOOKUP(C374,'QA Table'!$Y$5:$Y$20,1,TRUE)=C374,1,0)</f>
        <v>0</v>
      </c>
      <c r="V374" t="str">
        <f t="shared" si="107"/>
        <v/>
      </c>
      <c r="W374" t="str">
        <f t="shared" si="108"/>
        <v/>
      </c>
      <c r="X374" t="str">
        <f t="shared" si="109"/>
        <v/>
      </c>
      <c r="Y374">
        <f t="shared" si="110"/>
        <v>0</v>
      </c>
      <c r="AA374" t="str">
        <f t="shared" si="111"/>
        <v/>
      </c>
    </row>
    <row r="375" spans="1:27" x14ac:dyDescent="0.2">
      <c r="A375" t="s">
        <v>46</v>
      </c>
      <c r="B375" t="s">
        <v>49</v>
      </c>
      <c r="C375" t="s">
        <v>1503</v>
      </c>
      <c r="D375" t="s">
        <v>1051</v>
      </c>
      <c r="E375" t="s">
        <v>3</v>
      </c>
      <c r="F375" t="s">
        <v>1500</v>
      </c>
      <c r="G375" t="s">
        <v>1474</v>
      </c>
      <c r="H375" s="4" t="str">
        <f t="shared" si="95"/>
        <v/>
      </c>
      <c r="I375" s="4" t="str">
        <f>IF(RIGHT(B375,1)="M",IF(AND(H375=1,E375="RFS",D375=INDEX('Station Depth Averages'!$A$3:$B$84,MATCH(B375,'Station Depth Averages'!$A$3:$A$84,0),2)),1,""),IF(AND(H375=1,OR(D375="SYN",D375="SRF",D375="MID")),1,IF(AND(H375=1,OR(E376="FDn",E376="LDn")),1,IF(AND(H375=1,OR(E375="FDn",E375="LDn")),1,""))))</f>
        <v/>
      </c>
      <c r="J375" s="4" t="str">
        <f t="shared" si="96"/>
        <v/>
      </c>
      <c r="K375" s="4" t="str">
        <f t="shared" si="97"/>
        <v/>
      </c>
      <c r="L375" s="4" t="str">
        <f t="shared" si="98"/>
        <v/>
      </c>
      <c r="M375" s="4" t="str">
        <f t="shared" si="99"/>
        <v/>
      </c>
      <c r="N375" s="4" t="str">
        <f t="shared" si="100"/>
        <v/>
      </c>
      <c r="O375" s="4" t="str">
        <f t="shared" si="101"/>
        <v/>
      </c>
      <c r="P375" s="4" t="str">
        <f t="shared" si="102"/>
        <v/>
      </c>
      <c r="Q375" s="4" t="str">
        <f t="shared" si="103"/>
        <v/>
      </c>
      <c r="R375" s="4" t="str">
        <f t="shared" si="104"/>
        <v/>
      </c>
      <c r="S375" s="4" t="str">
        <f t="shared" si="105"/>
        <v/>
      </c>
      <c r="T375" s="4" t="str">
        <f t="shared" si="106"/>
        <v/>
      </c>
      <c r="U375">
        <f>IF(VLOOKUP(C375,'QA Table'!$Y$5:$Y$20,1,TRUE)=C375,1,0)</f>
        <v>0</v>
      </c>
      <c r="V375" t="str">
        <f t="shared" si="107"/>
        <v/>
      </c>
      <c r="W375" t="str">
        <f t="shared" si="108"/>
        <v/>
      </c>
      <c r="X375" t="str">
        <f t="shared" si="109"/>
        <v/>
      </c>
      <c r="Y375">
        <f t="shared" si="110"/>
        <v>0</v>
      </c>
      <c r="AA375" t="str">
        <f t="shared" si="111"/>
        <v/>
      </c>
    </row>
    <row r="376" spans="1:27" x14ac:dyDescent="0.2">
      <c r="A376" t="s">
        <v>46</v>
      </c>
      <c r="B376" t="s">
        <v>49</v>
      </c>
      <c r="C376" t="s">
        <v>1504</v>
      </c>
      <c r="D376" t="s">
        <v>119</v>
      </c>
      <c r="E376" t="s">
        <v>3</v>
      </c>
      <c r="F376" t="s">
        <v>1500</v>
      </c>
      <c r="G376" t="s">
        <v>1474</v>
      </c>
      <c r="H376" s="4">
        <f t="shared" si="95"/>
        <v>1</v>
      </c>
      <c r="I376" s="4">
        <f>IF(RIGHT(B376,1)="M",IF(AND(H376=1,E376="RFS",D376=INDEX('Station Depth Averages'!$A$3:$B$84,MATCH(B376,'Station Depth Averages'!$A$3:$A$84,0),2)),1,""),IF(AND(H376=1,OR(D376="SYN",D376="SRF",D376="MID")),1,IF(AND(H376=1,OR(E377="FDn",E377="LDn")),1,IF(AND(H376=1,OR(E376="FDn",E376="LDn")),1,""))))</f>
        <v>1</v>
      </c>
      <c r="J376" s="4">
        <f t="shared" si="96"/>
        <v>1</v>
      </c>
      <c r="K376" s="4" t="str">
        <f t="shared" si="97"/>
        <v/>
      </c>
      <c r="L376" s="4" t="str">
        <f t="shared" si="98"/>
        <v/>
      </c>
      <c r="M376" s="4" t="str">
        <f t="shared" si="99"/>
        <v/>
      </c>
      <c r="N376" s="4" t="str">
        <f t="shared" si="100"/>
        <v/>
      </c>
      <c r="O376" s="4" t="str">
        <f t="shared" si="101"/>
        <v/>
      </c>
      <c r="P376" s="4" t="str">
        <f t="shared" si="102"/>
        <v/>
      </c>
      <c r="Q376" s="4" t="str">
        <f t="shared" si="103"/>
        <v/>
      </c>
      <c r="R376" s="4" t="str">
        <f t="shared" si="104"/>
        <v/>
      </c>
      <c r="S376" s="4" t="str">
        <f t="shared" si="105"/>
        <v/>
      </c>
      <c r="T376" s="4" t="str">
        <f t="shared" si="106"/>
        <v/>
      </c>
      <c r="U376">
        <f>IF(VLOOKUP(C376,'QA Table'!$Y$5:$Y$20,1,TRUE)=C376,1,0)</f>
        <v>0</v>
      </c>
      <c r="V376" t="str">
        <f t="shared" si="107"/>
        <v/>
      </c>
      <c r="W376" t="str">
        <f t="shared" si="108"/>
        <v/>
      </c>
      <c r="X376">
        <f t="shared" si="109"/>
        <v>4</v>
      </c>
      <c r="Y376">
        <f t="shared" si="110"/>
        <v>0</v>
      </c>
      <c r="AA376">
        <f t="shared" si="111"/>
        <v>1</v>
      </c>
    </row>
    <row r="377" spans="1:27" x14ac:dyDescent="0.2">
      <c r="A377" t="s">
        <v>46</v>
      </c>
      <c r="B377" t="s">
        <v>49</v>
      </c>
      <c r="C377" t="s">
        <v>1505</v>
      </c>
      <c r="D377" t="s">
        <v>5</v>
      </c>
      <c r="E377" t="s">
        <v>3</v>
      </c>
      <c r="F377" t="s">
        <v>1500</v>
      </c>
      <c r="G377" t="s">
        <v>1474</v>
      </c>
      <c r="H377" s="4">
        <f t="shared" si="95"/>
        <v>1</v>
      </c>
      <c r="I377" s="4" t="str">
        <f>IF(RIGHT(B377,1)="M",IF(AND(H377=1,E377="RFS",D377=INDEX('Station Depth Averages'!$A$3:$B$84,MATCH(B377,'Station Depth Averages'!$A$3:$A$84,0),2)),1,""),IF(AND(H377=1,OR(D377="SYN",D377="SRF",D377="MID")),1,IF(AND(H377=1,OR(E378="FDn",E378="LDn")),1,IF(AND(H377=1,OR(E377="FDn",E377="LDn")),1,""))))</f>
        <v/>
      </c>
      <c r="J377" s="4">
        <f t="shared" si="96"/>
        <v>1</v>
      </c>
      <c r="K377" s="4" t="str">
        <f t="shared" si="97"/>
        <v/>
      </c>
      <c r="L377" s="4" t="str">
        <f t="shared" si="98"/>
        <v/>
      </c>
      <c r="M377" s="4" t="str">
        <f t="shared" si="99"/>
        <v/>
      </c>
      <c r="N377" s="4" t="str">
        <f t="shared" si="100"/>
        <v/>
      </c>
      <c r="O377" s="4" t="str">
        <f t="shared" si="101"/>
        <v/>
      </c>
      <c r="P377" s="4" t="str">
        <f t="shared" si="102"/>
        <v/>
      </c>
      <c r="Q377" s="4" t="str">
        <f t="shared" si="103"/>
        <v/>
      </c>
      <c r="R377" s="4" t="str">
        <f t="shared" si="104"/>
        <v/>
      </c>
      <c r="S377" s="4" t="str">
        <f t="shared" si="105"/>
        <v/>
      </c>
      <c r="T377" s="4" t="str">
        <f t="shared" si="106"/>
        <v/>
      </c>
      <c r="U377">
        <f>IF(VLOOKUP(C377,'QA Table'!$Y$5:$Y$20,1,TRUE)=C377,1,0)</f>
        <v>0</v>
      </c>
      <c r="V377" t="str">
        <f t="shared" si="107"/>
        <v/>
      </c>
      <c r="W377" t="str">
        <f t="shared" si="108"/>
        <v/>
      </c>
      <c r="X377">
        <f t="shared" si="109"/>
        <v>4</v>
      </c>
      <c r="Y377">
        <f t="shared" si="110"/>
        <v>0</v>
      </c>
      <c r="AA377">
        <f t="shared" si="111"/>
        <v>1</v>
      </c>
    </row>
    <row r="378" spans="1:27" x14ac:dyDescent="0.2">
      <c r="A378" t="s">
        <v>46</v>
      </c>
      <c r="B378" t="s">
        <v>49</v>
      </c>
      <c r="C378" t="s">
        <v>1506</v>
      </c>
      <c r="D378" t="s">
        <v>6</v>
      </c>
      <c r="E378" t="s">
        <v>3</v>
      </c>
      <c r="F378" t="s">
        <v>1500</v>
      </c>
      <c r="G378" t="s">
        <v>1474</v>
      </c>
      <c r="H378" s="4">
        <f t="shared" si="95"/>
        <v>1</v>
      </c>
      <c r="I378" s="4" t="str">
        <f>IF(RIGHT(B378,1)="M",IF(AND(H378=1,E378="RFS",D378=INDEX('Station Depth Averages'!$A$3:$B$84,MATCH(B378,'Station Depth Averages'!$A$3:$A$84,0),2)),1,""),IF(AND(H378=1,OR(D378="SYN",D378="SRF",D378="MID")),1,IF(AND(H378=1,OR(E379="FDn",E379="LDn")),1,IF(AND(H378=1,OR(E378="FDn",E378="LDn")),1,""))))</f>
        <v/>
      </c>
      <c r="J378" s="4">
        <f t="shared" si="96"/>
        <v>1</v>
      </c>
      <c r="K378" s="4" t="str">
        <f t="shared" si="97"/>
        <v/>
      </c>
      <c r="L378" s="4" t="str">
        <f t="shared" si="98"/>
        <v/>
      </c>
      <c r="M378" s="4" t="str">
        <f t="shared" si="99"/>
        <v/>
      </c>
      <c r="N378" s="4" t="str">
        <f t="shared" si="100"/>
        <v/>
      </c>
      <c r="O378" s="4" t="str">
        <f t="shared" si="101"/>
        <v/>
      </c>
      <c r="P378" s="4" t="str">
        <f t="shared" si="102"/>
        <v/>
      </c>
      <c r="Q378" s="4" t="str">
        <f t="shared" si="103"/>
        <v/>
      </c>
      <c r="R378" s="4" t="str">
        <f t="shared" si="104"/>
        <v/>
      </c>
      <c r="S378" s="4" t="str">
        <f t="shared" si="105"/>
        <v/>
      </c>
      <c r="T378" s="4" t="str">
        <f t="shared" si="106"/>
        <v/>
      </c>
      <c r="U378">
        <f>IF(VLOOKUP(C378,'QA Table'!$Y$5:$Y$20,1,TRUE)=C378,1,0)</f>
        <v>0</v>
      </c>
      <c r="V378" t="str">
        <f t="shared" si="107"/>
        <v/>
      </c>
      <c r="W378" t="str">
        <f t="shared" si="108"/>
        <v/>
      </c>
      <c r="X378">
        <f t="shared" si="109"/>
        <v>4</v>
      </c>
      <c r="Y378">
        <f t="shared" si="110"/>
        <v>0</v>
      </c>
      <c r="AA378">
        <f t="shared" si="111"/>
        <v>1</v>
      </c>
    </row>
    <row r="379" spans="1:27" x14ac:dyDescent="0.2">
      <c r="A379" t="s">
        <v>46</v>
      </c>
      <c r="B379" t="s">
        <v>49</v>
      </c>
      <c r="C379" t="s">
        <v>1507</v>
      </c>
      <c r="D379" t="s">
        <v>8</v>
      </c>
      <c r="E379" t="s">
        <v>3</v>
      </c>
      <c r="F379" t="s">
        <v>1500</v>
      </c>
      <c r="G379" t="s">
        <v>1474</v>
      </c>
      <c r="H379" s="4">
        <f t="shared" si="95"/>
        <v>1</v>
      </c>
      <c r="I379" s="4" t="str">
        <f>IF(RIGHT(B379,1)="M",IF(AND(H379=1,E379="RFS",D379=INDEX('Station Depth Averages'!$A$3:$B$84,MATCH(B379,'Station Depth Averages'!$A$3:$A$84,0),2)),1,""),IF(AND(H379=1,OR(D379="SYN",D379="SRF",D379="MID")),1,IF(AND(H379=1,OR(E380="FDn",E380="LDn")),1,IF(AND(H379=1,OR(E379="FDn",E379="LDn")),1,""))))</f>
        <v/>
      </c>
      <c r="J379" s="4" t="str">
        <f t="shared" si="96"/>
        <v/>
      </c>
      <c r="K379" s="4">
        <f t="shared" si="97"/>
        <v>1</v>
      </c>
      <c r="L379" s="4" t="str">
        <f t="shared" si="98"/>
        <v/>
      </c>
      <c r="M379" s="4" t="str">
        <f t="shared" si="99"/>
        <v/>
      </c>
      <c r="N379" s="4" t="str">
        <f t="shared" si="100"/>
        <v/>
      </c>
      <c r="O379" s="4" t="str">
        <f t="shared" si="101"/>
        <v/>
      </c>
      <c r="P379" s="4" t="str">
        <f t="shared" si="102"/>
        <v/>
      </c>
      <c r="Q379" s="4">
        <f t="shared" si="103"/>
        <v>1</v>
      </c>
      <c r="R379" s="4" t="str">
        <f t="shared" si="104"/>
        <v/>
      </c>
      <c r="S379" s="4" t="str">
        <f t="shared" si="105"/>
        <v/>
      </c>
      <c r="T379" s="4" t="str">
        <f t="shared" si="106"/>
        <v/>
      </c>
      <c r="U379">
        <f>IF(VLOOKUP(C379,'QA Table'!$Y$5:$Y$20,1,TRUE)=C379,1,0)</f>
        <v>0</v>
      </c>
      <c r="V379" t="str">
        <f t="shared" si="107"/>
        <v/>
      </c>
      <c r="W379" t="str">
        <f t="shared" si="108"/>
        <v/>
      </c>
      <c r="X379">
        <f t="shared" si="109"/>
        <v>4</v>
      </c>
      <c r="Y379">
        <f t="shared" si="110"/>
        <v>0</v>
      </c>
      <c r="AA379">
        <f t="shared" si="111"/>
        <v>1</v>
      </c>
    </row>
    <row r="380" spans="1:27" x14ac:dyDescent="0.2">
      <c r="A380" t="s">
        <v>46</v>
      </c>
      <c r="B380" t="s">
        <v>49</v>
      </c>
      <c r="C380" t="s">
        <v>1508</v>
      </c>
      <c r="D380" t="s">
        <v>9</v>
      </c>
      <c r="E380" t="s">
        <v>3</v>
      </c>
      <c r="F380" t="s">
        <v>1500</v>
      </c>
      <c r="G380" t="s">
        <v>1474</v>
      </c>
      <c r="H380" s="4" t="str">
        <f t="shared" si="95"/>
        <v/>
      </c>
      <c r="I380" s="4" t="str">
        <f>IF(RIGHT(B380,1)="M",IF(AND(H380=1,E380="RFS",D380=INDEX('Station Depth Averages'!$A$3:$B$84,MATCH(B380,'Station Depth Averages'!$A$3:$A$84,0),2)),1,""),IF(AND(H380=1,OR(D380="SYN",D380="SRF",D380="MID")),1,IF(AND(H380=1,OR(E381="FDn",E381="LDn")),1,IF(AND(H380=1,OR(E380="FDn",E380="LDn")),1,""))))</f>
        <v/>
      </c>
      <c r="J380" s="4" t="str">
        <f t="shared" si="96"/>
        <v/>
      </c>
      <c r="K380" s="4" t="str">
        <f t="shared" si="97"/>
        <v/>
      </c>
      <c r="L380" s="4" t="str">
        <f t="shared" si="98"/>
        <v/>
      </c>
      <c r="M380" s="4" t="str">
        <f t="shared" si="99"/>
        <v/>
      </c>
      <c r="N380" s="4" t="str">
        <f t="shared" si="100"/>
        <v/>
      </c>
      <c r="O380" s="4" t="str">
        <f t="shared" si="101"/>
        <v/>
      </c>
      <c r="P380" s="4" t="str">
        <f t="shared" si="102"/>
        <v/>
      </c>
      <c r="Q380" s="4" t="str">
        <f t="shared" si="103"/>
        <v/>
      </c>
      <c r="R380" s="4" t="str">
        <f t="shared" si="104"/>
        <v/>
      </c>
      <c r="S380" s="4" t="str">
        <f t="shared" si="105"/>
        <v/>
      </c>
      <c r="T380" s="4">
        <f t="shared" si="106"/>
        <v>1</v>
      </c>
      <c r="U380">
        <f>IF(VLOOKUP(C380,'QA Table'!$Y$5:$Y$20,1,TRUE)=C380,1,0)</f>
        <v>0</v>
      </c>
      <c r="V380" t="str">
        <f t="shared" si="107"/>
        <v/>
      </c>
      <c r="W380" t="str">
        <f t="shared" si="108"/>
        <v/>
      </c>
      <c r="X380" t="str">
        <f t="shared" si="109"/>
        <v/>
      </c>
      <c r="Y380">
        <f t="shared" si="110"/>
        <v>0</v>
      </c>
      <c r="AA380" t="str">
        <f t="shared" si="111"/>
        <v/>
      </c>
    </row>
    <row r="381" spans="1:27" x14ac:dyDescent="0.2">
      <c r="A381" t="s">
        <v>46</v>
      </c>
      <c r="B381" t="s">
        <v>49</v>
      </c>
      <c r="C381" t="s">
        <v>1509</v>
      </c>
      <c r="D381" t="s">
        <v>10</v>
      </c>
      <c r="E381" t="s">
        <v>3</v>
      </c>
      <c r="F381" t="s">
        <v>1500</v>
      </c>
      <c r="G381" t="s">
        <v>1474</v>
      </c>
      <c r="H381" s="4" t="str">
        <f t="shared" si="95"/>
        <v/>
      </c>
      <c r="I381" s="4" t="str">
        <f>IF(RIGHT(B381,1)="M",IF(AND(H381=1,E381="RFS",D381=INDEX('Station Depth Averages'!$A$3:$B$84,MATCH(B381,'Station Depth Averages'!$A$3:$A$84,0),2)),1,""),IF(AND(H381=1,OR(D381="SYN",D381="SRF",D381="MID")),1,IF(AND(H381=1,OR(E382="FDn",E382="LDn")),1,IF(AND(H381=1,OR(E381="FDn",E381="LDn")),1,""))))</f>
        <v/>
      </c>
      <c r="J381" s="4" t="str">
        <f t="shared" si="96"/>
        <v/>
      </c>
      <c r="K381" s="4" t="str">
        <f t="shared" si="97"/>
        <v/>
      </c>
      <c r="L381" s="4" t="str">
        <f t="shared" si="98"/>
        <v/>
      </c>
      <c r="M381" s="4" t="str">
        <f t="shared" si="99"/>
        <v/>
      </c>
      <c r="N381" s="4" t="str">
        <f t="shared" si="100"/>
        <v/>
      </c>
      <c r="O381" s="4" t="str">
        <f t="shared" si="101"/>
        <v/>
      </c>
      <c r="P381" s="4" t="str">
        <f t="shared" si="102"/>
        <v/>
      </c>
      <c r="Q381" s="4" t="str">
        <f t="shared" si="103"/>
        <v/>
      </c>
      <c r="R381" s="4" t="str">
        <f t="shared" si="104"/>
        <v/>
      </c>
      <c r="S381" s="4" t="str">
        <f t="shared" si="105"/>
        <v/>
      </c>
      <c r="T381" s="4">
        <f t="shared" si="106"/>
        <v>1</v>
      </c>
      <c r="U381">
        <f>IF(VLOOKUP(C381,'QA Table'!$Y$5:$Y$20,1,TRUE)=C381,1,0)</f>
        <v>0</v>
      </c>
      <c r="V381" t="str">
        <f t="shared" si="107"/>
        <v/>
      </c>
      <c r="W381" t="str">
        <f t="shared" si="108"/>
        <v/>
      </c>
      <c r="X381" t="str">
        <f t="shared" si="109"/>
        <v/>
      </c>
      <c r="Y381">
        <f t="shared" si="110"/>
        <v>0</v>
      </c>
      <c r="AA381" t="str">
        <f t="shared" si="111"/>
        <v/>
      </c>
    </row>
    <row r="382" spans="1:27" x14ac:dyDescent="0.2">
      <c r="A382" t="s">
        <v>46</v>
      </c>
      <c r="B382" t="s">
        <v>49</v>
      </c>
      <c r="C382" t="s">
        <v>1510</v>
      </c>
      <c r="D382" t="s">
        <v>1034</v>
      </c>
      <c r="E382" t="s">
        <v>3</v>
      </c>
      <c r="F382" t="s">
        <v>1500</v>
      </c>
      <c r="G382" t="s">
        <v>1474</v>
      </c>
      <c r="H382" s="4" t="str">
        <f t="shared" si="95"/>
        <v/>
      </c>
      <c r="I382" s="4" t="str">
        <f>IF(RIGHT(B382,1)="M",IF(AND(H382=1,E382="RFS",D382=INDEX('Station Depth Averages'!$A$3:$B$84,MATCH(B382,'Station Depth Averages'!$A$3:$A$84,0),2)),1,""),IF(AND(H382=1,OR(D382="SYN",D382="SRF",D382="MID")),1,IF(AND(H382=1,OR(E383="FDn",E383="LDn")),1,IF(AND(H382=1,OR(E382="FDn",E382="LDn")),1,""))))</f>
        <v/>
      </c>
      <c r="J382" s="4" t="str">
        <f t="shared" si="96"/>
        <v/>
      </c>
      <c r="K382" s="4" t="str">
        <f t="shared" si="97"/>
        <v/>
      </c>
      <c r="L382" s="4" t="str">
        <f t="shared" si="98"/>
        <v/>
      </c>
      <c r="M382" s="4" t="str">
        <f t="shared" si="99"/>
        <v/>
      </c>
      <c r="N382" s="4" t="str">
        <f t="shared" si="100"/>
        <v/>
      </c>
      <c r="O382" s="4" t="str">
        <f t="shared" si="101"/>
        <v/>
      </c>
      <c r="P382" s="4" t="str">
        <f t="shared" si="102"/>
        <v/>
      </c>
      <c r="Q382" s="4" t="str">
        <f t="shared" si="103"/>
        <v/>
      </c>
      <c r="R382" s="4" t="str">
        <f t="shared" si="104"/>
        <v/>
      </c>
      <c r="S382" s="4">
        <f t="shared" si="105"/>
        <v>1</v>
      </c>
      <c r="T382" s="4" t="str">
        <f t="shared" si="106"/>
        <v/>
      </c>
      <c r="U382">
        <f>IF(VLOOKUP(C382,'QA Table'!$Y$5:$Y$20,1,TRUE)=C382,1,0)</f>
        <v>0</v>
      </c>
      <c r="V382" t="str">
        <f t="shared" si="107"/>
        <v/>
      </c>
      <c r="W382" t="str">
        <f t="shared" si="108"/>
        <v/>
      </c>
      <c r="X382" t="str">
        <f t="shared" si="109"/>
        <v/>
      </c>
      <c r="Y382">
        <f t="shared" si="110"/>
        <v>0</v>
      </c>
      <c r="AA382" t="str">
        <f t="shared" si="111"/>
        <v/>
      </c>
    </row>
    <row r="383" spans="1:27" x14ac:dyDescent="0.2">
      <c r="A383" t="s">
        <v>46</v>
      </c>
      <c r="B383" t="s">
        <v>49</v>
      </c>
      <c r="C383" t="s">
        <v>1511</v>
      </c>
      <c r="D383" t="s">
        <v>1034</v>
      </c>
      <c r="E383" t="s">
        <v>19</v>
      </c>
      <c r="F383" t="s">
        <v>1500</v>
      </c>
      <c r="G383" t="s">
        <v>1474</v>
      </c>
      <c r="H383" s="4" t="str">
        <f t="shared" si="95"/>
        <v/>
      </c>
      <c r="I383" s="4" t="str">
        <f>IF(RIGHT(B383,1)="M",IF(AND(H383=1,E383="RFS",D383=INDEX('Station Depth Averages'!$A$3:$B$84,MATCH(B383,'Station Depth Averages'!$A$3:$A$84,0),2)),1,""),IF(AND(H383=1,OR(D383="SYN",D383="SRF",D383="MID")),1,IF(AND(H383=1,OR(E384="FDn",E384="LDn")),1,IF(AND(H383=1,OR(E383="FDn",E383="LDn")),1,""))))</f>
        <v/>
      </c>
      <c r="J383" s="4" t="str">
        <f t="shared" si="96"/>
        <v/>
      </c>
      <c r="K383" s="4" t="str">
        <f t="shared" si="97"/>
        <v/>
      </c>
      <c r="L383" s="4" t="str">
        <f t="shared" si="98"/>
        <v/>
      </c>
      <c r="M383" s="4" t="str">
        <f t="shared" si="99"/>
        <v/>
      </c>
      <c r="N383" s="4" t="str">
        <f t="shared" si="100"/>
        <v/>
      </c>
      <c r="O383" s="4" t="str">
        <f t="shared" si="101"/>
        <v/>
      </c>
      <c r="P383" s="4" t="str">
        <f t="shared" si="102"/>
        <v/>
      </c>
      <c r="Q383" s="4" t="str">
        <f t="shared" si="103"/>
        <v/>
      </c>
      <c r="R383" s="4" t="str">
        <f t="shared" si="104"/>
        <v/>
      </c>
      <c r="S383" s="4">
        <f t="shared" si="105"/>
        <v>1</v>
      </c>
      <c r="T383" s="4" t="str">
        <f t="shared" si="106"/>
        <v/>
      </c>
      <c r="U383">
        <f>IF(VLOOKUP(C383,'QA Table'!$Y$5:$Y$20,1,TRUE)=C383,1,0)</f>
        <v>0</v>
      </c>
      <c r="V383" t="str">
        <f t="shared" si="107"/>
        <v/>
      </c>
      <c r="W383" t="str">
        <f t="shared" si="108"/>
        <v/>
      </c>
      <c r="X383" t="str">
        <f t="shared" si="109"/>
        <v/>
      </c>
      <c r="Y383">
        <f t="shared" si="110"/>
        <v>0</v>
      </c>
      <c r="AA383" t="str">
        <f t="shared" si="111"/>
        <v/>
      </c>
    </row>
    <row r="384" spans="1:27" x14ac:dyDescent="0.2">
      <c r="A384" t="s">
        <v>46</v>
      </c>
      <c r="B384" t="s">
        <v>50</v>
      </c>
      <c r="C384" t="s">
        <v>1512</v>
      </c>
      <c r="D384" t="s">
        <v>2</v>
      </c>
      <c r="E384" t="s">
        <v>3</v>
      </c>
      <c r="F384" t="s">
        <v>1513</v>
      </c>
      <c r="G384" t="s">
        <v>1474</v>
      </c>
      <c r="H384" s="4">
        <f t="shared" si="95"/>
        <v>1</v>
      </c>
      <c r="I384" s="4">
        <f>IF(RIGHT(B384,1)="M",IF(AND(H384=1,E384="RFS",D384=INDEX('Station Depth Averages'!$A$3:$B$84,MATCH(B384,'Station Depth Averages'!$A$3:$A$84,0),2)),1,""),IF(AND(H384=1,OR(D384="SYN",D384="SRF",D384="MID")),1,IF(AND(H384=1,OR(E385="FDn",E385="LDn")),1,IF(AND(H384=1,OR(E384="FDn",E384="LDn")),1,""))))</f>
        <v>1</v>
      </c>
      <c r="J384" s="4">
        <f t="shared" si="96"/>
        <v>1</v>
      </c>
      <c r="K384" s="4" t="str">
        <f t="shared" si="97"/>
        <v/>
      </c>
      <c r="L384" s="4" t="str">
        <f t="shared" si="98"/>
        <v/>
      </c>
      <c r="M384" s="4" t="str">
        <f t="shared" si="99"/>
        <v/>
      </c>
      <c r="N384" s="4" t="str">
        <f t="shared" si="100"/>
        <v/>
      </c>
      <c r="O384" s="4" t="str">
        <f t="shared" si="101"/>
        <v/>
      </c>
      <c r="P384" s="4" t="str">
        <f t="shared" si="102"/>
        <v/>
      </c>
      <c r="Q384" s="4" t="str">
        <f t="shared" si="103"/>
        <v/>
      </c>
      <c r="R384" s="4" t="str">
        <f t="shared" si="104"/>
        <v/>
      </c>
      <c r="S384" s="4" t="str">
        <f t="shared" si="105"/>
        <v/>
      </c>
      <c r="T384" s="4" t="str">
        <f t="shared" si="106"/>
        <v/>
      </c>
      <c r="U384">
        <f>IF(VLOOKUP(C384,'QA Table'!$Y$5:$Y$20,1,TRUE)=C384,1,0)</f>
        <v>0</v>
      </c>
      <c r="V384" t="str">
        <f t="shared" si="107"/>
        <v/>
      </c>
      <c r="W384" t="str">
        <f t="shared" si="108"/>
        <v/>
      </c>
      <c r="X384">
        <f t="shared" si="109"/>
        <v>4</v>
      </c>
      <c r="Y384">
        <f t="shared" si="110"/>
        <v>0</v>
      </c>
      <c r="AA384">
        <f t="shared" si="111"/>
        <v>1</v>
      </c>
    </row>
    <row r="385" spans="1:27" x14ac:dyDescent="0.2">
      <c r="A385" t="s">
        <v>46</v>
      </c>
      <c r="B385" t="s">
        <v>50</v>
      </c>
      <c r="C385" t="s">
        <v>1514</v>
      </c>
      <c r="D385" t="s">
        <v>1050</v>
      </c>
      <c r="E385" t="s">
        <v>3</v>
      </c>
      <c r="F385" t="s">
        <v>1513</v>
      </c>
      <c r="G385" t="s">
        <v>1474</v>
      </c>
      <c r="H385" s="4" t="str">
        <f t="shared" si="95"/>
        <v/>
      </c>
      <c r="I385" s="4" t="str">
        <f>IF(RIGHT(B385,1)="M",IF(AND(H385=1,E385="RFS",D385=INDEX('Station Depth Averages'!$A$3:$B$84,MATCH(B385,'Station Depth Averages'!$A$3:$A$84,0),2)),1,""),IF(AND(H385=1,OR(D385="SYN",D385="SRF",D385="MID")),1,IF(AND(H385=1,OR(E386="FDn",E386="LDn")),1,IF(AND(H385=1,OR(E385="FDn",E385="LDn")),1,""))))</f>
        <v/>
      </c>
      <c r="J385" s="4" t="str">
        <f t="shared" si="96"/>
        <v/>
      </c>
      <c r="K385" s="4" t="str">
        <f t="shared" si="97"/>
        <v/>
      </c>
      <c r="L385" s="4" t="str">
        <f t="shared" si="98"/>
        <v/>
      </c>
      <c r="M385" s="4" t="str">
        <f t="shared" si="99"/>
        <v/>
      </c>
      <c r="N385" s="4" t="str">
        <f t="shared" si="100"/>
        <v/>
      </c>
      <c r="O385" s="4" t="str">
        <f t="shared" si="101"/>
        <v/>
      </c>
      <c r="P385" s="4" t="str">
        <f t="shared" si="102"/>
        <v/>
      </c>
      <c r="Q385" s="4" t="str">
        <f t="shared" si="103"/>
        <v/>
      </c>
      <c r="R385" s="4" t="str">
        <f t="shared" si="104"/>
        <v/>
      </c>
      <c r="S385" s="4" t="str">
        <f t="shared" si="105"/>
        <v/>
      </c>
      <c r="T385" s="4" t="str">
        <f t="shared" si="106"/>
        <v/>
      </c>
      <c r="U385">
        <f>IF(VLOOKUP(C385,'QA Table'!$Y$5:$Y$20,1,TRUE)=C385,1,0)</f>
        <v>0</v>
      </c>
      <c r="V385" t="str">
        <f t="shared" si="107"/>
        <v/>
      </c>
      <c r="W385" t="str">
        <f t="shared" si="108"/>
        <v/>
      </c>
      <c r="X385" t="str">
        <f t="shared" si="109"/>
        <v/>
      </c>
      <c r="Y385">
        <f t="shared" si="110"/>
        <v>0</v>
      </c>
      <c r="AA385" t="str">
        <f t="shared" si="111"/>
        <v/>
      </c>
    </row>
    <row r="386" spans="1:27" x14ac:dyDescent="0.2">
      <c r="A386" t="s">
        <v>46</v>
      </c>
      <c r="B386" t="s">
        <v>50</v>
      </c>
      <c r="C386" t="s">
        <v>1515</v>
      </c>
      <c r="D386" t="s">
        <v>4</v>
      </c>
      <c r="E386" t="s">
        <v>3</v>
      </c>
      <c r="F386" t="s">
        <v>1513</v>
      </c>
      <c r="G386" t="s">
        <v>1474</v>
      </c>
      <c r="H386" s="4" t="str">
        <f t="shared" si="95"/>
        <v/>
      </c>
      <c r="I386" s="4" t="str">
        <f>IF(RIGHT(B386,1)="M",IF(AND(H386=1,E386="RFS",D386=INDEX('Station Depth Averages'!$A$3:$B$84,MATCH(B386,'Station Depth Averages'!$A$3:$A$84,0),2)),1,""),IF(AND(H386=1,OR(D386="SYN",D386="SRF",D386="MID")),1,IF(AND(H386=1,OR(E387="FDn",E387="LDn")),1,IF(AND(H386=1,OR(E386="FDn",E386="LDn")),1,""))))</f>
        <v/>
      </c>
      <c r="J386" s="4" t="str">
        <f t="shared" si="96"/>
        <v/>
      </c>
      <c r="K386" s="4" t="str">
        <f t="shared" si="97"/>
        <v/>
      </c>
      <c r="L386" s="4" t="str">
        <f t="shared" si="98"/>
        <v/>
      </c>
      <c r="M386" s="4" t="str">
        <f t="shared" si="99"/>
        <v/>
      </c>
      <c r="N386" s="4" t="str">
        <f t="shared" si="100"/>
        <v/>
      </c>
      <c r="O386" s="4" t="str">
        <f t="shared" si="101"/>
        <v/>
      </c>
      <c r="P386" s="4" t="str">
        <f t="shared" si="102"/>
        <v/>
      </c>
      <c r="Q386" s="4" t="str">
        <f t="shared" si="103"/>
        <v/>
      </c>
      <c r="R386" s="4" t="str">
        <f t="shared" si="104"/>
        <v/>
      </c>
      <c r="S386" s="4" t="str">
        <f t="shared" si="105"/>
        <v/>
      </c>
      <c r="T386" s="4" t="str">
        <f t="shared" si="106"/>
        <v/>
      </c>
      <c r="U386">
        <f>IF(VLOOKUP(C386,'QA Table'!$Y$5:$Y$20,1,TRUE)=C386,1,0)</f>
        <v>0</v>
      </c>
      <c r="V386" t="str">
        <f t="shared" si="107"/>
        <v/>
      </c>
      <c r="W386" t="str">
        <f t="shared" si="108"/>
        <v/>
      </c>
      <c r="X386" t="str">
        <f t="shared" si="109"/>
        <v/>
      </c>
      <c r="Y386">
        <f t="shared" si="110"/>
        <v>0</v>
      </c>
      <c r="AA386" t="str">
        <f t="shared" si="111"/>
        <v/>
      </c>
    </row>
    <row r="387" spans="1:27" x14ac:dyDescent="0.2">
      <c r="A387" t="s">
        <v>46</v>
      </c>
      <c r="B387" t="s">
        <v>50</v>
      </c>
      <c r="C387" t="s">
        <v>1516</v>
      </c>
      <c r="D387" t="s">
        <v>1051</v>
      </c>
      <c r="E387" t="s">
        <v>3</v>
      </c>
      <c r="F387" t="s">
        <v>1513</v>
      </c>
      <c r="G387" t="s">
        <v>1474</v>
      </c>
      <c r="H387" s="4" t="str">
        <f t="shared" si="95"/>
        <v/>
      </c>
      <c r="I387" s="4" t="str">
        <f>IF(RIGHT(B387,1)="M",IF(AND(H387=1,E387="RFS",D387=INDEX('Station Depth Averages'!$A$3:$B$84,MATCH(B387,'Station Depth Averages'!$A$3:$A$84,0),2)),1,""),IF(AND(H387=1,OR(D387="SYN",D387="SRF",D387="MID")),1,IF(AND(H387=1,OR(E388="FDn",E388="LDn")),1,IF(AND(H387=1,OR(E387="FDn",E387="LDn")),1,""))))</f>
        <v/>
      </c>
      <c r="J387" s="4" t="str">
        <f t="shared" si="96"/>
        <v/>
      </c>
      <c r="K387" s="4" t="str">
        <f t="shared" si="97"/>
        <v/>
      </c>
      <c r="L387" s="4" t="str">
        <f t="shared" si="98"/>
        <v/>
      </c>
      <c r="M387" s="4" t="str">
        <f t="shared" si="99"/>
        <v/>
      </c>
      <c r="N387" s="4" t="str">
        <f t="shared" si="100"/>
        <v/>
      </c>
      <c r="O387" s="4" t="str">
        <f t="shared" si="101"/>
        <v/>
      </c>
      <c r="P387" s="4" t="str">
        <f t="shared" si="102"/>
        <v/>
      </c>
      <c r="Q387" s="4" t="str">
        <f t="shared" si="103"/>
        <v/>
      </c>
      <c r="R387" s="4" t="str">
        <f t="shared" si="104"/>
        <v/>
      </c>
      <c r="S387" s="4" t="str">
        <f t="shared" si="105"/>
        <v/>
      </c>
      <c r="T387" s="4" t="str">
        <f t="shared" si="106"/>
        <v/>
      </c>
      <c r="U387">
        <f>IF(VLOOKUP(C387,'QA Table'!$Y$5:$Y$20,1,TRUE)=C387,1,0)</f>
        <v>0</v>
      </c>
      <c r="V387" t="str">
        <f t="shared" si="107"/>
        <v/>
      </c>
      <c r="W387" t="str">
        <f t="shared" si="108"/>
        <v/>
      </c>
      <c r="X387" t="str">
        <f t="shared" si="109"/>
        <v/>
      </c>
      <c r="Y387">
        <f t="shared" si="110"/>
        <v>0</v>
      </c>
      <c r="AA387" t="str">
        <f t="shared" si="111"/>
        <v/>
      </c>
    </row>
    <row r="388" spans="1:27" x14ac:dyDescent="0.2">
      <c r="A388" t="s">
        <v>46</v>
      </c>
      <c r="B388" t="s">
        <v>50</v>
      </c>
      <c r="C388" t="s">
        <v>1068</v>
      </c>
      <c r="D388" t="s">
        <v>119</v>
      </c>
      <c r="E388" t="s">
        <v>3</v>
      </c>
      <c r="F388" t="s">
        <v>1513</v>
      </c>
      <c r="G388" t="s">
        <v>1474</v>
      </c>
      <c r="H388" s="4">
        <f t="shared" si="95"/>
        <v>1</v>
      </c>
      <c r="I388" s="4">
        <f>IF(RIGHT(B388,1)="M",IF(AND(H388=1,E388="RFS",D388=INDEX('Station Depth Averages'!$A$3:$B$84,MATCH(B388,'Station Depth Averages'!$A$3:$A$84,0),2)),1,""),IF(AND(H388=1,OR(D388="SYN",D388="SRF",D388="MID")),1,IF(AND(H388=1,OR(E389="FDn",E389="LDn")),1,IF(AND(H388=1,OR(E388="FDn",E388="LDn")),1,""))))</f>
        <v>1</v>
      </c>
      <c r="J388" s="4">
        <f t="shared" si="96"/>
        <v>1</v>
      </c>
      <c r="K388" s="4" t="str">
        <f t="shared" si="97"/>
        <v/>
      </c>
      <c r="L388" s="4" t="str">
        <f t="shared" si="98"/>
        <v/>
      </c>
      <c r="M388" s="4" t="str">
        <f t="shared" si="99"/>
        <v/>
      </c>
      <c r="N388" s="4" t="str">
        <f t="shared" si="100"/>
        <v/>
      </c>
      <c r="O388" s="4" t="str">
        <f t="shared" si="101"/>
        <v/>
      </c>
      <c r="P388" s="4" t="str">
        <f t="shared" si="102"/>
        <v/>
      </c>
      <c r="Q388" s="4" t="str">
        <f t="shared" si="103"/>
        <v/>
      </c>
      <c r="R388" s="4" t="str">
        <f t="shared" si="104"/>
        <v/>
      </c>
      <c r="S388" s="4" t="str">
        <f t="shared" si="105"/>
        <v/>
      </c>
      <c r="T388" s="4" t="str">
        <f t="shared" si="106"/>
        <v/>
      </c>
      <c r="U388">
        <f>IF(VLOOKUP(C388,'QA Table'!$Y$5:$Y$20,1,TRUE)=C388,1,0)</f>
        <v>0</v>
      </c>
      <c r="V388" t="str">
        <f t="shared" si="107"/>
        <v/>
      </c>
      <c r="W388" t="str">
        <f t="shared" si="108"/>
        <v/>
      </c>
      <c r="X388">
        <f t="shared" si="109"/>
        <v>4</v>
      </c>
      <c r="Y388">
        <f t="shared" si="110"/>
        <v>0</v>
      </c>
      <c r="AA388">
        <f t="shared" si="111"/>
        <v>1</v>
      </c>
    </row>
    <row r="389" spans="1:27" x14ac:dyDescent="0.2">
      <c r="A389" t="s">
        <v>46</v>
      </c>
      <c r="B389" t="s">
        <v>50</v>
      </c>
      <c r="C389" t="s">
        <v>1517</v>
      </c>
      <c r="D389" t="s">
        <v>119</v>
      </c>
      <c r="E389" t="s">
        <v>12</v>
      </c>
      <c r="F389" t="s">
        <v>1513</v>
      </c>
      <c r="G389" t="s">
        <v>1474</v>
      </c>
      <c r="H389" s="4">
        <f t="shared" si="95"/>
        <v>1</v>
      </c>
      <c r="I389" s="4">
        <f>IF(RIGHT(B389,1)="M",IF(AND(H389=1,E389="RFS",D389=INDEX('Station Depth Averages'!$A$3:$B$84,MATCH(B389,'Station Depth Averages'!$A$3:$A$84,0),2)),1,""),IF(AND(H389=1,OR(D389="SYN",D389="SRF",D389="MID")),1,IF(AND(H389=1,OR(E390="FDn",E390="LDn")),1,IF(AND(H389=1,OR(E389="FDn",E389="LDn")),1,""))))</f>
        <v>1</v>
      </c>
      <c r="J389" s="4" t="str">
        <f t="shared" si="96"/>
        <v/>
      </c>
      <c r="K389" s="4" t="str">
        <f t="shared" si="97"/>
        <v/>
      </c>
      <c r="L389" s="4" t="str">
        <f t="shared" si="98"/>
        <v/>
      </c>
      <c r="M389" s="4" t="str">
        <f t="shared" si="99"/>
        <v/>
      </c>
      <c r="N389" s="4" t="str">
        <f t="shared" si="100"/>
        <v/>
      </c>
      <c r="O389" s="4" t="str">
        <f t="shared" si="101"/>
        <v/>
      </c>
      <c r="P389" s="4" t="str">
        <f t="shared" si="102"/>
        <v/>
      </c>
      <c r="Q389" s="4" t="str">
        <f t="shared" si="103"/>
        <v/>
      </c>
      <c r="R389" s="4" t="str">
        <f t="shared" si="104"/>
        <v/>
      </c>
      <c r="S389" s="4" t="str">
        <f t="shared" si="105"/>
        <v/>
      </c>
      <c r="T389" s="4" t="str">
        <f t="shared" si="106"/>
        <v/>
      </c>
      <c r="U389">
        <f>IF(VLOOKUP(C389,'QA Table'!$Y$5:$Y$20,1,TRUE)=C389,1,0)</f>
        <v>0</v>
      </c>
      <c r="V389" t="str">
        <f t="shared" si="107"/>
        <v/>
      </c>
      <c r="W389" t="str">
        <f t="shared" si="108"/>
        <v/>
      </c>
      <c r="X389">
        <f t="shared" si="109"/>
        <v>4</v>
      </c>
      <c r="Y389">
        <f t="shared" si="110"/>
        <v>0</v>
      </c>
      <c r="AA389">
        <f t="shared" si="111"/>
        <v>1</v>
      </c>
    </row>
    <row r="390" spans="1:27" x14ac:dyDescent="0.2">
      <c r="A390" t="s">
        <v>46</v>
      </c>
      <c r="B390" t="s">
        <v>50</v>
      </c>
      <c r="C390" t="s">
        <v>1518</v>
      </c>
      <c r="D390" t="s">
        <v>5</v>
      </c>
      <c r="E390" t="s">
        <v>3</v>
      </c>
      <c r="F390" t="s">
        <v>1513</v>
      </c>
      <c r="G390" t="s">
        <v>1474</v>
      </c>
      <c r="H390" s="4">
        <f t="shared" si="95"/>
        <v>1</v>
      </c>
      <c r="I390" s="4" t="str">
        <f>IF(RIGHT(B390,1)="M",IF(AND(H390=1,E390="RFS",D390=INDEX('Station Depth Averages'!$A$3:$B$84,MATCH(B390,'Station Depth Averages'!$A$3:$A$84,0),2)),1,""),IF(AND(H390=1,OR(D390="SYN",D390="SRF",D390="MID")),1,IF(AND(H390=1,OR(E391="FDn",E391="LDn")),1,IF(AND(H390=1,OR(E390="FDn",E390="LDn")),1,""))))</f>
        <v/>
      </c>
      <c r="J390" s="4">
        <f t="shared" si="96"/>
        <v>1</v>
      </c>
      <c r="K390" s="4" t="str">
        <f t="shared" si="97"/>
        <v/>
      </c>
      <c r="L390" s="4" t="str">
        <f t="shared" si="98"/>
        <v/>
      </c>
      <c r="M390" s="4" t="str">
        <f t="shared" si="99"/>
        <v/>
      </c>
      <c r="N390" s="4" t="str">
        <f t="shared" si="100"/>
        <v/>
      </c>
      <c r="O390" s="4" t="str">
        <f t="shared" si="101"/>
        <v/>
      </c>
      <c r="P390" s="4" t="str">
        <f t="shared" si="102"/>
        <v/>
      </c>
      <c r="Q390" s="4" t="str">
        <f t="shared" si="103"/>
        <v/>
      </c>
      <c r="R390" s="4" t="str">
        <f t="shared" si="104"/>
        <v/>
      </c>
      <c r="S390" s="4" t="str">
        <f t="shared" si="105"/>
        <v/>
      </c>
      <c r="T390" s="4" t="str">
        <f t="shared" si="106"/>
        <v/>
      </c>
      <c r="U390">
        <f>IF(VLOOKUP(C390,'QA Table'!$Y$5:$Y$20,1,TRUE)=C390,1,0)</f>
        <v>0</v>
      </c>
      <c r="V390" t="str">
        <f t="shared" si="107"/>
        <v/>
      </c>
      <c r="W390" t="str">
        <f t="shared" si="108"/>
        <v/>
      </c>
      <c r="X390">
        <f t="shared" si="109"/>
        <v>4</v>
      </c>
      <c r="Y390">
        <f t="shared" si="110"/>
        <v>0</v>
      </c>
      <c r="AA390">
        <f t="shared" si="111"/>
        <v>1</v>
      </c>
    </row>
    <row r="391" spans="1:27" x14ac:dyDescent="0.2">
      <c r="A391" t="s">
        <v>46</v>
      </c>
      <c r="B391" t="s">
        <v>50</v>
      </c>
      <c r="C391" t="s">
        <v>1519</v>
      </c>
      <c r="D391" t="s">
        <v>6</v>
      </c>
      <c r="E391" t="s">
        <v>3</v>
      </c>
      <c r="F391" t="s">
        <v>1513</v>
      </c>
      <c r="G391" t="s">
        <v>1474</v>
      </c>
      <c r="H391" s="4">
        <f t="shared" ref="H391:H454" si="112">IF(OR(RIGHT(C391,1)="A",RIGHT(C391,1)="B",RIGHT(C391,1)="C",D391="Benthos",D391="Sediment",D391="Sediments",D391="D100",D391="D20",D391="Mysis",E391="FD1",E391="LD1"),"",1)</f>
        <v>1</v>
      </c>
      <c r="I391" s="4" t="str">
        <f>IF(RIGHT(B391,1)="M",IF(AND(H391=1,E391="RFS",D391=INDEX('Station Depth Averages'!$A$3:$B$84,MATCH(B391,'Station Depth Averages'!$A$3:$A$84,0),2)),1,""),IF(AND(H391=1,OR(D391="SYN",D391="SRF",D391="MID")),1,IF(AND(H391=1,OR(E392="FDn",E392="LDn")),1,IF(AND(H391=1,OR(E391="FDn",E391="LDn")),1,""))))</f>
        <v/>
      </c>
      <c r="J391" s="4">
        <f t="shared" ref="J391:J454" si="113">IF(OR(D391="INT",D391="Benthos",D391="D100",D391="D20",E391="LDn",D391="mysis",D391="sediment",D391="sediments",OR(RIGHT(C391,1)="A",RIGHT(C391,1)="B",RIGHT(C391,1)="C",E391="FD1",E391="LD1")),"",1)</f>
        <v>1</v>
      </c>
      <c r="K391" s="4" t="str">
        <f t="shared" ref="K391:K454" si="114">IF(D391="INT",1,"")</f>
        <v/>
      </c>
      <c r="L391" s="4" t="str">
        <f t="shared" ref="L391:L454" si="115">IF(AND(LEFT(B391,1)="E",A391&lt;&gt;"E",RIGHT(B391,1)="M"),IF(AND(A391="w",D391="MID",E391="RFS"),1,IF(AND(A391="C",D391="5M",E391="RFS"),1,"")),IF(AND(RIGHT(B391,1)="M",D391="10M",E391="RFS"),1,""))</f>
        <v/>
      </c>
      <c r="M391" s="4" t="str">
        <f t="shared" ref="M391:M454" si="116">IF(L391=1,1,"")</f>
        <v/>
      </c>
      <c r="N391" s="4" t="str">
        <f t="shared" ref="N391:N454" si="117">IF(M391=1,1,"")</f>
        <v/>
      </c>
      <c r="O391" s="4" t="str">
        <f t="shared" ref="O391:O454" si="118">IF(N391=1,1,"")</f>
        <v/>
      </c>
      <c r="P391" s="4" t="str">
        <f t="shared" ref="P391:P454" si="119">IF(O391=1,1,"")</f>
        <v/>
      </c>
      <c r="Q391" s="4" t="str">
        <f t="shared" ref="Q391:Q454" si="120">IF(AND(OR(D391="INT",D391="DCL"),OR(LEFT(B391,2)="SU",LEFT(B391,2)="HU",LEFT(B391,2)="MI",LEFT(B391,2)="CS",LEFT(B391,2)="ON")),2,IF(AND(OR(D391="INT",D391="DCL"),LEFT(B391,2)="ER"),1,""))</f>
        <v/>
      </c>
      <c r="R391" s="4" t="str">
        <f t="shared" ref="R391:R454" si="121">IF(D391="benthos",1,"")</f>
        <v/>
      </c>
      <c r="S391" s="4" t="str">
        <f t="shared" ref="S391:S454" si="122">IF(D391="mysis",1,"")</f>
        <v/>
      </c>
      <c r="T391" s="4" t="str">
        <f t="shared" ref="T391:T454" si="123">IF(AND(OR(D391="d20",D391="d100"),LEFT(B391,2)="SU"),2,IF(OR(D391="D20",D391="d100"),1,""))</f>
        <v/>
      </c>
      <c r="U391">
        <f>IF(VLOOKUP(C391,'QA Table'!$Y$5:$Y$20,1,TRUE)=C391,1,0)</f>
        <v>0</v>
      </c>
      <c r="V391" t="str">
        <f t="shared" ref="V391:V454" si="124">IF(AND(D391="Sediment",RIGHT(C391,1)="8"),1,"")</f>
        <v/>
      </c>
      <c r="W391" t="str">
        <f t="shared" ref="W391:W454" si="125">IF(AND(D391="Sediment",RIGHT(C391,1)="9"),1,"")</f>
        <v/>
      </c>
      <c r="X391">
        <f t="shared" ref="X391:X454" si="126">IF(AND(H391=1,OR(LEFT(B391,1)="M",LEFT(B391,1)="E",LEFT(B391,1)="O",LEFT(B391,1)="C")),4,IF(AND(H391=1,OR(LEFT(B391,1)="H",LEFT(B391,1)="S")),3,""))</f>
        <v>4</v>
      </c>
      <c r="Y391">
        <f t="shared" ref="Y391:Y454" si="127">IF(U391=1,1,IF(AND(E391="LD1",U390=1),1,IF(AND(E391="FD1",U389=1),1,0)))</f>
        <v>0</v>
      </c>
      <c r="AA391">
        <f t="shared" ref="AA391:AA454" si="128">IF(X391&lt;&gt;"",1,"")</f>
        <v>1</v>
      </c>
    </row>
    <row r="392" spans="1:27" x14ac:dyDescent="0.2">
      <c r="A392" t="s">
        <v>46</v>
      </c>
      <c r="B392" t="s">
        <v>50</v>
      </c>
      <c r="C392" t="s">
        <v>1520</v>
      </c>
      <c r="D392" t="s">
        <v>8</v>
      </c>
      <c r="E392" t="s">
        <v>3</v>
      </c>
      <c r="F392" t="s">
        <v>1513</v>
      </c>
      <c r="G392" t="s">
        <v>1474</v>
      </c>
      <c r="H392" s="4">
        <f t="shared" si="112"/>
        <v>1</v>
      </c>
      <c r="I392" s="4" t="str">
        <f>IF(RIGHT(B392,1)="M",IF(AND(H392=1,E392="RFS",D392=INDEX('Station Depth Averages'!$A$3:$B$84,MATCH(B392,'Station Depth Averages'!$A$3:$A$84,0),2)),1,""),IF(AND(H392=1,OR(D392="SYN",D392="SRF",D392="MID")),1,IF(AND(H392=1,OR(E393="FDn",E393="LDn")),1,IF(AND(H392=1,OR(E392="FDn",E392="LDn")),1,""))))</f>
        <v/>
      </c>
      <c r="J392" s="4" t="str">
        <f t="shared" si="113"/>
        <v/>
      </c>
      <c r="K392" s="4">
        <f t="shared" si="114"/>
        <v>1</v>
      </c>
      <c r="L392" s="4" t="str">
        <f t="shared" si="115"/>
        <v/>
      </c>
      <c r="M392" s="4" t="str">
        <f t="shared" si="116"/>
        <v/>
      </c>
      <c r="N392" s="4" t="str">
        <f t="shared" si="117"/>
        <v/>
      </c>
      <c r="O392" s="4" t="str">
        <f t="shared" si="118"/>
        <v/>
      </c>
      <c r="P392" s="4" t="str">
        <f t="shared" si="119"/>
        <v/>
      </c>
      <c r="Q392" s="4">
        <f t="shared" si="120"/>
        <v>1</v>
      </c>
      <c r="R392" s="4" t="str">
        <f t="shared" si="121"/>
        <v/>
      </c>
      <c r="S392" s="4" t="str">
        <f t="shared" si="122"/>
        <v/>
      </c>
      <c r="T392" s="4" t="str">
        <f t="shared" si="123"/>
        <v/>
      </c>
      <c r="U392">
        <f>IF(VLOOKUP(C392,'QA Table'!$Y$5:$Y$20,1,TRUE)=C392,1,0)</f>
        <v>0</v>
      </c>
      <c r="V392" t="str">
        <f t="shared" si="124"/>
        <v/>
      </c>
      <c r="W392" t="str">
        <f t="shared" si="125"/>
        <v/>
      </c>
      <c r="X392">
        <f t="shared" si="126"/>
        <v>4</v>
      </c>
      <c r="Y392">
        <f t="shared" si="127"/>
        <v>0</v>
      </c>
      <c r="AA392">
        <f t="shared" si="128"/>
        <v>1</v>
      </c>
    </row>
    <row r="393" spans="1:27" x14ac:dyDescent="0.2">
      <c r="A393" t="s">
        <v>46</v>
      </c>
      <c r="B393" t="s">
        <v>50</v>
      </c>
      <c r="C393" t="s">
        <v>1521</v>
      </c>
      <c r="D393" t="s">
        <v>9</v>
      </c>
      <c r="E393" t="s">
        <v>3</v>
      </c>
      <c r="F393" t="s">
        <v>1513</v>
      </c>
      <c r="G393" t="s">
        <v>1474</v>
      </c>
      <c r="H393" s="4" t="str">
        <f t="shared" si="112"/>
        <v/>
      </c>
      <c r="I393" s="4" t="str">
        <f>IF(RIGHT(B393,1)="M",IF(AND(H393=1,E393="RFS",D393=INDEX('Station Depth Averages'!$A$3:$B$84,MATCH(B393,'Station Depth Averages'!$A$3:$A$84,0),2)),1,""),IF(AND(H393=1,OR(D393="SYN",D393="SRF",D393="MID")),1,IF(AND(H393=1,OR(E394="FDn",E394="LDn")),1,IF(AND(H393=1,OR(E393="FDn",E393="LDn")),1,""))))</f>
        <v/>
      </c>
      <c r="J393" s="4" t="str">
        <f t="shared" si="113"/>
        <v/>
      </c>
      <c r="K393" s="4" t="str">
        <f t="shared" si="114"/>
        <v/>
      </c>
      <c r="L393" s="4" t="str">
        <f t="shared" si="115"/>
        <v/>
      </c>
      <c r="M393" s="4" t="str">
        <f t="shared" si="116"/>
        <v/>
      </c>
      <c r="N393" s="4" t="str">
        <f t="shared" si="117"/>
        <v/>
      </c>
      <c r="O393" s="4" t="str">
        <f t="shared" si="118"/>
        <v/>
      </c>
      <c r="P393" s="4" t="str">
        <f t="shared" si="119"/>
        <v/>
      </c>
      <c r="Q393" s="4" t="str">
        <f t="shared" si="120"/>
        <v/>
      </c>
      <c r="R393" s="4" t="str">
        <f t="shared" si="121"/>
        <v/>
      </c>
      <c r="S393" s="4" t="str">
        <f t="shared" si="122"/>
        <v/>
      </c>
      <c r="T393" s="4">
        <f t="shared" si="123"/>
        <v>1</v>
      </c>
      <c r="U393">
        <f>IF(VLOOKUP(C393,'QA Table'!$Y$5:$Y$20,1,TRUE)=C393,1,0)</f>
        <v>0</v>
      </c>
      <c r="V393" t="str">
        <f t="shared" si="124"/>
        <v/>
      </c>
      <c r="W393" t="str">
        <f t="shared" si="125"/>
        <v/>
      </c>
      <c r="X393" t="str">
        <f t="shared" si="126"/>
        <v/>
      </c>
      <c r="Y393">
        <f t="shared" si="127"/>
        <v>0</v>
      </c>
      <c r="AA393" t="str">
        <f t="shared" si="128"/>
        <v/>
      </c>
    </row>
    <row r="394" spans="1:27" x14ac:dyDescent="0.2">
      <c r="A394" t="s">
        <v>46</v>
      </c>
      <c r="B394" t="s">
        <v>50</v>
      </c>
      <c r="C394" t="s">
        <v>1522</v>
      </c>
      <c r="D394" t="s">
        <v>10</v>
      </c>
      <c r="E394" t="s">
        <v>3</v>
      </c>
      <c r="F394" t="s">
        <v>1513</v>
      </c>
      <c r="G394" t="s">
        <v>1474</v>
      </c>
      <c r="H394" s="4" t="str">
        <f t="shared" si="112"/>
        <v/>
      </c>
      <c r="I394" s="4" t="str">
        <f>IF(RIGHT(B394,1)="M",IF(AND(H394=1,E394="RFS",D394=INDEX('Station Depth Averages'!$A$3:$B$84,MATCH(B394,'Station Depth Averages'!$A$3:$A$84,0),2)),1,""),IF(AND(H394=1,OR(D394="SYN",D394="SRF",D394="MID")),1,IF(AND(H394=1,OR(E395="FDn",E395="LDn")),1,IF(AND(H394=1,OR(E394="FDn",E394="LDn")),1,""))))</f>
        <v/>
      </c>
      <c r="J394" s="4" t="str">
        <f t="shared" si="113"/>
        <v/>
      </c>
      <c r="K394" s="4" t="str">
        <f t="shared" si="114"/>
        <v/>
      </c>
      <c r="L394" s="4" t="str">
        <f t="shared" si="115"/>
        <v/>
      </c>
      <c r="M394" s="4" t="str">
        <f t="shared" si="116"/>
        <v/>
      </c>
      <c r="N394" s="4" t="str">
        <f t="shared" si="117"/>
        <v/>
      </c>
      <c r="O394" s="4" t="str">
        <f t="shared" si="118"/>
        <v/>
      </c>
      <c r="P394" s="4" t="str">
        <f t="shared" si="119"/>
        <v/>
      </c>
      <c r="Q394" s="4" t="str">
        <f t="shared" si="120"/>
        <v/>
      </c>
      <c r="R394" s="4" t="str">
        <f t="shared" si="121"/>
        <v/>
      </c>
      <c r="S394" s="4" t="str">
        <f t="shared" si="122"/>
        <v/>
      </c>
      <c r="T394" s="4">
        <f t="shared" si="123"/>
        <v>1</v>
      </c>
      <c r="U394">
        <f>IF(VLOOKUP(C394,'QA Table'!$Y$5:$Y$20,1,TRUE)=C394,1,0)</f>
        <v>0</v>
      </c>
      <c r="V394" t="str">
        <f t="shared" si="124"/>
        <v/>
      </c>
      <c r="W394" t="str">
        <f t="shared" si="125"/>
        <v/>
      </c>
      <c r="X394" t="str">
        <f t="shared" si="126"/>
        <v/>
      </c>
      <c r="Y394">
        <f t="shared" si="127"/>
        <v>0</v>
      </c>
      <c r="AA394" t="str">
        <f t="shared" si="128"/>
        <v/>
      </c>
    </row>
    <row r="395" spans="1:27" x14ac:dyDescent="0.2">
      <c r="A395" t="s">
        <v>46</v>
      </c>
      <c r="B395" t="s">
        <v>50</v>
      </c>
      <c r="C395" t="s">
        <v>1523</v>
      </c>
      <c r="D395" t="s">
        <v>1034</v>
      </c>
      <c r="E395" t="s">
        <v>3</v>
      </c>
      <c r="F395" t="s">
        <v>1513</v>
      </c>
      <c r="G395" t="s">
        <v>1474</v>
      </c>
      <c r="H395" s="4" t="str">
        <f t="shared" si="112"/>
        <v/>
      </c>
      <c r="I395" s="4" t="str">
        <f>IF(RIGHT(B395,1)="M",IF(AND(H395=1,E395="RFS",D395=INDEX('Station Depth Averages'!$A$3:$B$84,MATCH(B395,'Station Depth Averages'!$A$3:$A$84,0),2)),1,""),IF(AND(H395=1,OR(D395="SYN",D395="SRF",D395="MID")),1,IF(AND(H395=1,OR(E396="FDn",E396="LDn")),1,IF(AND(H395=1,OR(E395="FDn",E395="LDn")),1,""))))</f>
        <v/>
      </c>
      <c r="J395" s="4" t="str">
        <f t="shared" si="113"/>
        <v/>
      </c>
      <c r="K395" s="4" t="str">
        <f t="shared" si="114"/>
        <v/>
      </c>
      <c r="L395" s="4" t="str">
        <f t="shared" si="115"/>
        <v/>
      </c>
      <c r="M395" s="4" t="str">
        <f t="shared" si="116"/>
        <v/>
      </c>
      <c r="N395" s="4" t="str">
        <f t="shared" si="117"/>
        <v/>
      </c>
      <c r="O395" s="4" t="str">
        <f t="shared" si="118"/>
        <v/>
      </c>
      <c r="P395" s="4" t="str">
        <f t="shared" si="119"/>
        <v/>
      </c>
      <c r="Q395" s="4" t="str">
        <f t="shared" si="120"/>
        <v/>
      </c>
      <c r="R395" s="4" t="str">
        <f t="shared" si="121"/>
        <v/>
      </c>
      <c r="S395" s="4">
        <f t="shared" si="122"/>
        <v>1</v>
      </c>
      <c r="T395" s="4" t="str">
        <f t="shared" si="123"/>
        <v/>
      </c>
      <c r="U395">
        <f>IF(VLOOKUP(C395,'QA Table'!$Y$5:$Y$20,1,TRUE)=C395,1,0)</f>
        <v>0</v>
      </c>
      <c r="V395" t="str">
        <f t="shared" si="124"/>
        <v/>
      </c>
      <c r="W395" t="str">
        <f t="shared" si="125"/>
        <v/>
      </c>
      <c r="X395" t="str">
        <f t="shared" si="126"/>
        <v/>
      </c>
      <c r="Y395">
        <f t="shared" si="127"/>
        <v>0</v>
      </c>
      <c r="AA395" t="str">
        <f t="shared" si="128"/>
        <v/>
      </c>
    </row>
    <row r="396" spans="1:27" x14ac:dyDescent="0.2">
      <c r="A396" t="s">
        <v>46</v>
      </c>
      <c r="B396" t="s">
        <v>50</v>
      </c>
      <c r="C396" t="s">
        <v>1524</v>
      </c>
      <c r="D396" t="s">
        <v>1034</v>
      </c>
      <c r="E396" t="s">
        <v>19</v>
      </c>
      <c r="F396" t="s">
        <v>1513</v>
      </c>
      <c r="G396" t="s">
        <v>1474</v>
      </c>
      <c r="H396" s="4" t="str">
        <f t="shared" si="112"/>
        <v/>
      </c>
      <c r="I396" s="4" t="str">
        <f>IF(RIGHT(B396,1)="M",IF(AND(H396=1,E396="RFS",D396=INDEX('Station Depth Averages'!$A$3:$B$84,MATCH(B396,'Station Depth Averages'!$A$3:$A$84,0),2)),1,""),IF(AND(H396=1,OR(D396="SYN",D396="SRF",D396="MID")),1,IF(AND(H396=1,OR(E397="FDn",E397="LDn")),1,IF(AND(H396=1,OR(E396="FDn",E396="LDn")),1,""))))</f>
        <v/>
      </c>
      <c r="J396" s="4" t="str">
        <f t="shared" si="113"/>
        <v/>
      </c>
      <c r="K396" s="4" t="str">
        <f t="shared" si="114"/>
        <v/>
      </c>
      <c r="L396" s="4" t="str">
        <f t="shared" si="115"/>
        <v/>
      </c>
      <c r="M396" s="4" t="str">
        <f t="shared" si="116"/>
        <v/>
      </c>
      <c r="N396" s="4" t="str">
        <f t="shared" si="117"/>
        <v/>
      </c>
      <c r="O396" s="4" t="str">
        <f t="shared" si="118"/>
        <v/>
      </c>
      <c r="P396" s="4" t="str">
        <f t="shared" si="119"/>
        <v/>
      </c>
      <c r="Q396" s="4" t="str">
        <f t="shared" si="120"/>
        <v/>
      </c>
      <c r="R396" s="4" t="str">
        <f t="shared" si="121"/>
        <v/>
      </c>
      <c r="S396" s="4">
        <f t="shared" si="122"/>
        <v>1</v>
      </c>
      <c r="T396" s="4" t="str">
        <f t="shared" si="123"/>
        <v/>
      </c>
      <c r="U396">
        <f>IF(VLOOKUP(C396,'QA Table'!$Y$5:$Y$20,1,TRUE)=C396,1,0)</f>
        <v>0</v>
      </c>
      <c r="V396" t="str">
        <f t="shared" si="124"/>
        <v/>
      </c>
      <c r="W396" t="str">
        <f t="shared" si="125"/>
        <v/>
      </c>
      <c r="X396" t="str">
        <f t="shared" si="126"/>
        <v/>
      </c>
      <c r="Y396">
        <f t="shared" si="127"/>
        <v>0</v>
      </c>
      <c r="AA396" t="str">
        <f t="shared" si="128"/>
        <v/>
      </c>
    </row>
    <row r="397" spans="1:27" x14ac:dyDescent="0.2">
      <c r="A397" t="s">
        <v>23</v>
      </c>
      <c r="B397" t="s">
        <v>51</v>
      </c>
      <c r="C397" t="s">
        <v>1525</v>
      </c>
      <c r="D397" t="s">
        <v>2</v>
      </c>
      <c r="E397" t="s">
        <v>3</v>
      </c>
      <c r="F397" t="s">
        <v>1526</v>
      </c>
      <c r="G397" t="s">
        <v>1474</v>
      </c>
      <c r="H397" s="4">
        <f t="shared" si="112"/>
        <v>1</v>
      </c>
      <c r="I397" s="4">
        <f>IF(RIGHT(B397,1)="M",IF(AND(H397=1,E397="RFS",D397=INDEX('Station Depth Averages'!$A$3:$B$84,MATCH(B397,'Station Depth Averages'!$A$3:$A$84,0),2)),1,""),IF(AND(H397=1,OR(D397="SYN",D397="SRF",D397="MID")),1,IF(AND(H397=1,OR(E398="FDn",E398="LDn")),1,IF(AND(H397=1,OR(E397="FDn",E397="LDn")),1,""))))</f>
        <v>1</v>
      </c>
      <c r="J397" s="4">
        <f t="shared" si="113"/>
        <v>1</v>
      </c>
      <c r="K397" s="4" t="str">
        <f t="shared" si="114"/>
        <v/>
      </c>
      <c r="L397" s="4" t="str">
        <f t="shared" si="115"/>
        <v/>
      </c>
      <c r="M397" s="4" t="str">
        <f t="shared" si="116"/>
        <v/>
      </c>
      <c r="N397" s="4" t="str">
        <f t="shared" si="117"/>
        <v/>
      </c>
      <c r="O397" s="4" t="str">
        <f t="shared" si="118"/>
        <v/>
      </c>
      <c r="P397" s="4" t="str">
        <f t="shared" si="119"/>
        <v/>
      </c>
      <c r="Q397" s="4" t="str">
        <f t="shared" si="120"/>
        <v/>
      </c>
      <c r="R397" s="4" t="str">
        <f t="shared" si="121"/>
        <v/>
      </c>
      <c r="S397" s="4" t="str">
        <f t="shared" si="122"/>
        <v/>
      </c>
      <c r="T397" s="4" t="str">
        <f t="shared" si="123"/>
        <v/>
      </c>
      <c r="U397">
        <f>IF(VLOOKUP(C397,'QA Table'!$Y$5:$Y$20,1,TRUE)=C397,1,0)</f>
        <v>0</v>
      </c>
      <c r="V397" t="str">
        <f t="shared" si="124"/>
        <v/>
      </c>
      <c r="W397" t="str">
        <f t="shared" si="125"/>
        <v/>
      </c>
      <c r="X397">
        <f t="shared" si="126"/>
        <v>4</v>
      </c>
      <c r="Y397">
        <f t="shared" si="127"/>
        <v>0</v>
      </c>
      <c r="AA397">
        <f t="shared" si="128"/>
        <v>1</v>
      </c>
    </row>
    <row r="398" spans="1:27" x14ac:dyDescent="0.2">
      <c r="A398" t="s">
        <v>23</v>
      </c>
      <c r="B398" t="s">
        <v>51</v>
      </c>
      <c r="C398" t="s">
        <v>1527</v>
      </c>
      <c r="D398" t="s">
        <v>1050</v>
      </c>
      <c r="E398" t="s">
        <v>3</v>
      </c>
      <c r="F398" t="s">
        <v>1526</v>
      </c>
      <c r="G398" t="s">
        <v>1474</v>
      </c>
      <c r="H398" s="4" t="str">
        <f t="shared" si="112"/>
        <v/>
      </c>
      <c r="I398" s="4" t="str">
        <f>IF(RIGHT(B398,1)="M",IF(AND(H398=1,E398="RFS",D398=INDEX('Station Depth Averages'!$A$3:$B$84,MATCH(B398,'Station Depth Averages'!$A$3:$A$84,0),2)),1,""),IF(AND(H398=1,OR(D398="SYN",D398="SRF",D398="MID")),1,IF(AND(H398=1,OR(E399="FDn",E399="LDn")),1,IF(AND(H398=1,OR(E398="FDn",E398="LDn")),1,""))))</f>
        <v/>
      </c>
      <c r="J398" s="4" t="str">
        <f t="shared" si="113"/>
        <v/>
      </c>
      <c r="K398" s="4" t="str">
        <f t="shared" si="114"/>
        <v/>
      </c>
      <c r="L398" s="4" t="str">
        <f t="shared" si="115"/>
        <v/>
      </c>
      <c r="M398" s="4" t="str">
        <f t="shared" si="116"/>
        <v/>
      </c>
      <c r="N398" s="4" t="str">
        <f t="shared" si="117"/>
        <v/>
      </c>
      <c r="O398" s="4" t="str">
        <f t="shared" si="118"/>
        <v/>
      </c>
      <c r="P398" s="4" t="str">
        <f t="shared" si="119"/>
        <v/>
      </c>
      <c r="Q398" s="4" t="str">
        <f t="shared" si="120"/>
        <v/>
      </c>
      <c r="R398" s="4" t="str">
        <f t="shared" si="121"/>
        <v/>
      </c>
      <c r="S398" s="4" t="str">
        <f t="shared" si="122"/>
        <v/>
      </c>
      <c r="T398" s="4" t="str">
        <f t="shared" si="123"/>
        <v/>
      </c>
      <c r="U398">
        <f>IF(VLOOKUP(C398,'QA Table'!$Y$5:$Y$20,1,TRUE)=C398,1,0)</f>
        <v>0</v>
      </c>
      <c r="V398" t="str">
        <f t="shared" si="124"/>
        <v/>
      </c>
      <c r="W398" t="str">
        <f t="shared" si="125"/>
        <v/>
      </c>
      <c r="X398" t="str">
        <f t="shared" si="126"/>
        <v/>
      </c>
      <c r="Y398">
        <f t="shared" si="127"/>
        <v>0</v>
      </c>
      <c r="AA398" t="str">
        <f t="shared" si="128"/>
        <v/>
      </c>
    </row>
    <row r="399" spans="1:27" x14ac:dyDescent="0.2">
      <c r="A399" t="s">
        <v>23</v>
      </c>
      <c r="B399" t="s">
        <v>51</v>
      </c>
      <c r="C399" t="s">
        <v>1528</v>
      </c>
      <c r="D399" t="s">
        <v>4</v>
      </c>
      <c r="E399" t="s">
        <v>3</v>
      </c>
      <c r="F399" t="s">
        <v>1526</v>
      </c>
      <c r="G399" t="s">
        <v>1474</v>
      </c>
      <c r="H399" s="4" t="str">
        <f t="shared" si="112"/>
        <v/>
      </c>
      <c r="I399" s="4" t="str">
        <f>IF(RIGHT(B399,1)="M",IF(AND(H399=1,E399="RFS",D399=INDEX('Station Depth Averages'!$A$3:$B$84,MATCH(B399,'Station Depth Averages'!$A$3:$A$84,0),2)),1,""),IF(AND(H399=1,OR(D399="SYN",D399="SRF",D399="MID")),1,IF(AND(H399=1,OR(E400="FDn",E400="LDn")),1,IF(AND(H399=1,OR(E399="FDn",E399="LDn")),1,""))))</f>
        <v/>
      </c>
      <c r="J399" s="4" t="str">
        <f t="shared" si="113"/>
        <v/>
      </c>
      <c r="K399" s="4" t="str">
        <f t="shared" si="114"/>
        <v/>
      </c>
      <c r="L399" s="4" t="str">
        <f t="shared" si="115"/>
        <v/>
      </c>
      <c r="M399" s="4" t="str">
        <f t="shared" si="116"/>
        <v/>
      </c>
      <c r="N399" s="4" t="str">
        <f t="shared" si="117"/>
        <v/>
      </c>
      <c r="O399" s="4" t="str">
        <f t="shared" si="118"/>
        <v/>
      </c>
      <c r="P399" s="4" t="str">
        <f t="shared" si="119"/>
        <v/>
      </c>
      <c r="Q399" s="4" t="str">
        <f t="shared" si="120"/>
        <v/>
      </c>
      <c r="R399" s="4" t="str">
        <f t="shared" si="121"/>
        <v/>
      </c>
      <c r="S399" s="4" t="str">
        <f t="shared" si="122"/>
        <v/>
      </c>
      <c r="T399" s="4" t="str">
        <f t="shared" si="123"/>
        <v/>
      </c>
      <c r="U399">
        <f>IF(VLOOKUP(C399,'QA Table'!$Y$5:$Y$20,1,TRUE)=C399,1,0)</f>
        <v>0</v>
      </c>
      <c r="V399" t="str">
        <f t="shared" si="124"/>
        <v/>
      </c>
      <c r="W399" t="str">
        <f t="shared" si="125"/>
        <v/>
      </c>
      <c r="X399" t="str">
        <f t="shared" si="126"/>
        <v/>
      </c>
      <c r="Y399">
        <f t="shared" si="127"/>
        <v>0</v>
      </c>
      <c r="AA399" t="str">
        <f t="shared" si="128"/>
        <v/>
      </c>
    </row>
    <row r="400" spans="1:27" x14ac:dyDescent="0.2">
      <c r="A400" t="s">
        <v>23</v>
      </c>
      <c r="B400" t="s">
        <v>51</v>
      </c>
      <c r="C400" t="s">
        <v>1529</v>
      </c>
      <c r="D400" t="s">
        <v>119</v>
      </c>
      <c r="E400" t="s">
        <v>3</v>
      </c>
      <c r="F400" t="s">
        <v>1526</v>
      </c>
      <c r="G400" t="s">
        <v>1474</v>
      </c>
      <c r="H400" s="4">
        <f t="shared" si="112"/>
        <v>1</v>
      </c>
      <c r="I400" s="4">
        <f>IF(RIGHT(B400,1)="M",IF(AND(H400=1,E400="RFS",D400=INDEX('Station Depth Averages'!$A$3:$B$84,MATCH(B400,'Station Depth Averages'!$A$3:$A$84,0),2)),1,""),IF(AND(H400=1,OR(D400="SYN",D400="SRF",D400="MID")),1,IF(AND(H400=1,OR(E401="FDn",E401="LDn")),1,IF(AND(H400=1,OR(E400="FDn",E400="LDn")),1,""))))</f>
        <v>1</v>
      </c>
      <c r="J400" s="4">
        <f t="shared" si="113"/>
        <v>1</v>
      </c>
      <c r="K400" s="4" t="str">
        <f t="shared" si="114"/>
        <v/>
      </c>
      <c r="L400" s="4" t="str">
        <f t="shared" si="115"/>
        <v/>
      </c>
      <c r="M400" s="4" t="str">
        <f t="shared" si="116"/>
        <v/>
      </c>
      <c r="N400" s="4" t="str">
        <f t="shared" si="117"/>
        <v/>
      </c>
      <c r="O400" s="4" t="str">
        <f t="shared" si="118"/>
        <v/>
      </c>
      <c r="P400" s="4" t="str">
        <f t="shared" si="119"/>
        <v/>
      </c>
      <c r="Q400" s="4" t="str">
        <f t="shared" si="120"/>
        <v/>
      </c>
      <c r="R400" s="4" t="str">
        <f t="shared" si="121"/>
        <v/>
      </c>
      <c r="S400" s="4" t="str">
        <f t="shared" si="122"/>
        <v/>
      </c>
      <c r="T400" s="4" t="str">
        <f t="shared" si="123"/>
        <v/>
      </c>
      <c r="U400">
        <f>IF(VLOOKUP(C400,'QA Table'!$Y$5:$Y$20,1,TRUE)=C400,1,0)</f>
        <v>0</v>
      </c>
      <c r="V400" t="str">
        <f t="shared" si="124"/>
        <v/>
      </c>
      <c r="W400" t="str">
        <f t="shared" si="125"/>
        <v/>
      </c>
      <c r="X400">
        <f t="shared" si="126"/>
        <v>4</v>
      </c>
      <c r="Y400">
        <f t="shared" si="127"/>
        <v>0</v>
      </c>
      <c r="AA400">
        <f t="shared" si="128"/>
        <v>1</v>
      </c>
    </row>
    <row r="401" spans="1:27" x14ac:dyDescent="0.2">
      <c r="A401" t="s">
        <v>23</v>
      </c>
      <c r="B401" t="s">
        <v>51</v>
      </c>
      <c r="C401" t="s">
        <v>1530</v>
      </c>
      <c r="D401" t="s">
        <v>6</v>
      </c>
      <c r="E401" t="s">
        <v>3</v>
      </c>
      <c r="F401" t="s">
        <v>1526</v>
      </c>
      <c r="G401" t="s">
        <v>1474</v>
      </c>
      <c r="H401" s="4">
        <f t="shared" si="112"/>
        <v>1</v>
      </c>
      <c r="I401" s="4" t="str">
        <f>IF(RIGHT(B401,1)="M",IF(AND(H401=1,E401="RFS",D401=INDEX('Station Depth Averages'!$A$3:$B$84,MATCH(B401,'Station Depth Averages'!$A$3:$A$84,0),2)),1,""),IF(AND(H401=1,OR(D401="SYN",D401="SRF",D401="MID")),1,IF(AND(H401=1,OR(E402="FDn",E402="LDn")),1,IF(AND(H401=1,OR(E401="FDn",E401="LDn")),1,""))))</f>
        <v/>
      </c>
      <c r="J401" s="4">
        <f t="shared" si="113"/>
        <v>1</v>
      </c>
      <c r="K401" s="4" t="str">
        <f t="shared" si="114"/>
        <v/>
      </c>
      <c r="L401" s="4" t="str">
        <f t="shared" si="115"/>
        <v/>
      </c>
      <c r="M401" s="4" t="str">
        <f t="shared" si="116"/>
        <v/>
      </c>
      <c r="N401" s="4" t="str">
        <f t="shared" si="117"/>
        <v/>
      </c>
      <c r="O401" s="4" t="str">
        <f t="shared" si="118"/>
        <v/>
      </c>
      <c r="P401" s="4" t="str">
        <f t="shared" si="119"/>
        <v/>
      </c>
      <c r="Q401" s="4" t="str">
        <f t="shared" si="120"/>
        <v/>
      </c>
      <c r="R401" s="4" t="str">
        <f t="shared" si="121"/>
        <v/>
      </c>
      <c r="S401" s="4" t="str">
        <f t="shared" si="122"/>
        <v/>
      </c>
      <c r="T401" s="4" t="str">
        <f t="shared" si="123"/>
        <v/>
      </c>
      <c r="U401">
        <f>IF(VLOOKUP(C401,'QA Table'!$Y$5:$Y$20,1,TRUE)=C401,1,0)</f>
        <v>0</v>
      </c>
      <c r="V401" t="str">
        <f t="shared" si="124"/>
        <v/>
      </c>
      <c r="W401" t="str">
        <f t="shared" si="125"/>
        <v/>
      </c>
      <c r="X401">
        <f t="shared" si="126"/>
        <v>4</v>
      </c>
      <c r="Y401">
        <f t="shared" si="127"/>
        <v>0</v>
      </c>
      <c r="AA401">
        <f t="shared" si="128"/>
        <v>1</v>
      </c>
    </row>
    <row r="402" spans="1:27" x14ac:dyDescent="0.2">
      <c r="A402" t="s">
        <v>23</v>
      </c>
      <c r="B402" t="s">
        <v>51</v>
      </c>
      <c r="C402" t="s">
        <v>1531</v>
      </c>
      <c r="D402" t="s">
        <v>8</v>
      </c>
      <c r="E402" t="s">
        <v>3</v>
      </c>
      <c r="F402" t="s">
        <v>1526</v>
      </c>
      <c r="G402" t="s">
        <v>1474</v>
      </c>
      <c r="H402" s="4">
        <f t="shared" si="112"/>
        <v>1</v>
      </c>
      <c r="I402" s="4" t="str">
        <f>IF(RIGHT(B402,1)="M",IF(AND(H402=1,E402="RFS",D402=INDEX('Station Depth Averages'!$A$3:$B$84,MATCH(B402,'Station Depth Averages'!$A$3:$A$84,0),2)),1,""),IF(AND(H402=1,OR(D402="SYN",D402="SRF",D402="MID")),1,IF(AND(H402=1,OR(E403="FDn",E403="LDn")),1,IF(AND(H402=1,OR(E402="FDn",E402="LDn")),1,""))))</f>
        <v/>
      </c>
      <c r="J402" s="4" t="str">
        <f t="shared" si="113"/>
        <v/>
      </c>
      <c r="K402" s="4">
        <f t="shared" si="114"/>
        <v>1</v>
      </c>
      <c r="L402" s="4" t="str">
        <f t="shared" si="115"/>
        <v/>
      </c>
      <c r="M402" s="4" t="str">
        <f t="shared" si="116"/>
        <v/>
      </c>
      <c r="N402" s="4" t="str">
        <f t="shared" si="117"/>
        <v/>
      </c>
      <c r="O402" s="4" t="str">
        <f t="shared" si="118"/>
        <v/>
      </c>
      <c r="P402" s="4" t="str">
        <f t="shared" si="119"/>
        <v/>
      </c>
      <c r="Q402" s="4">
        <f t="shared" si="120"/>
        <v>1</v>
      </c>
      <c r="R402" s="4" t="str">
        <f t="shared" si="121"/>
        <v/>
      </c>
      <c r="S402" s="4" t="str">
        <f t="shared" si="122"/>
        <v/>
      </c>
      <c r="T402" s="4" t="str">
        <f t="shared" si="123"/>
        <v/>
      </c>
      <c r="U402">
        <f>IF(VLOOKUP(C402,'QA Table'!$Y$5:$Y$20,1,TRUE)=C402,1,0)</f>
        <v>0</v>
      </c>
      <c r="V402" t="str">
        <f t="shared" si="124"/>
        <v/>
      </c>
      <c r="W402" t="str">
        <f t="shared" si="125"/>
        <v/>
      </c>
      <c r="X402">
        <f t="shared" si="126"/>
        <v>4</v>
      </c>
      <c r="Y402">
        <f t="shared" si="127"/>
        <v>0</v>
      </c>
      <c r="AA402">
        <f t="shared" si="128"/>
        <v>1</v>
      </c>
    </row>
    <row r="403" spans="1:27" x14ac:dyDescent="0.2">
      <c r="A403" t="s">
        <v>23</v>
      </c>
      <c r="B403" t="s">
        <v>51</v>
      </c>
      <c r="C403" t="s">
        <v>1532</v>
      </c>
      <c r="D403" t="s">
        <v>9</v>
      </c>
      <c r="E403" t="s">
        <v>3</v>
      </c>
      <c r="F403" t="s">
        <v>1526</v>
      </c>
      <c r="G403" t="s">
        <v>1474</v>
      </c>
      <c r="H403" s="4" t="str">
        <f t="shared" si="112"/>
        <v/>
      </c>
      <c r="I403" s="4" t="str">
        <f>IF(RIGHT(B403,1)="M",IF(AND(H403=1,E403="RFS",D403=INDEX('Station Depth Averages'!$A$3:$B$84,MATCH(B403,'Station Depth Averages'!$A$3:$A$84,0),2)),1,""),IF(AND(H403=1,OR(D403="SYN",D403="SRF",D403="MID")),1,IF(AND(H403=1,OR(E404="FDn",E404="LDn")),1,IF(AND(H403=1,OR(E403="FDn",E403="LDn")),1,""))))</f>
        <v/>
      </c>
      <c r="J403" s="4" t="str">
        <f t="shared" si="113"/>
        <v/>
      </c>
      <c r="K403" s="4" t="str">
        <f t="shared" si="114"/>
        <v/>
      </c>
      <c r="L403" s="4" t="str">
        <f t="shared" si="115"/>
        <v/>
      </c>
      <c r="M403" s="4" t="str">
        <f t="shared" si="116"/>
        <v/>
      </c>
      <c r="N403" s="4" t="str">
        <f t="shared" si="117"/>
        <v/>
      </c>
      <c r="O403" s="4" t="str">
        <f t="shared" si="118"/>
        <v/>
      </c>
      <c r="P403" s="4" t="str">
        <f t="shared" si="119"/>
        <v/>
      </c>
      <c r="Q403" s="4" t="str">
        <f t="shared" si="120"/>
        <v/>
      </c>
      <c r="R403" s="4" t="str">
        <f t="shared" si="121"/>
        <v/>
      </c>
      <c r="S403" s="4" t="str">
        <f t="shared" si="122"/>
        <v/>
      </c>
      <c r="T403" s="4">
        <f t="shared" si="123"/>
        <v>1</v>
      </c>
      <c r="U403">
        <f>IF(VLOOKUP(C403,'QA Table'!$Y$5:$Y$20,1,TRUE)=C403,1,0)</f>
        <v>0</v>
      </c>
      <c r="V403" t="str">
        <f t="shared" si="124"/>
        <v/>
      </c>
      <c r="W403" t="str">
        <f t="shared" si="125"/>
        <v/>
      </c>
      <c r="X403" t="str">
        <f t="shared" si="126"/>
        <v/>
      </c>
      <c r="Y403">
        <f t="shared" si="127"/>
        <v>0</v>
      </c>
      <c r="AA403" t="str">
        <f t="shared" si="128"/>
        <v/>
      </c>
    </row>
    <row r="404" spans="1:27" x14ac:dyDescent="0.2">
      <c r="A404" t="s">
        <v>23</v>
      </c>
      <c r="B404" t="s">
        <v>51</v>
      </c>
      <c r="C404" t="s">
        <v>1533</v>
      </c>
      <c r="D404" t="s">
        <v>10</v>
      </c>
      <c r="E404" t="s">
        <v>3</v>
      </c>
      <c r="F404" t="s">
        <v>1526</v>
      </c>
      <c r="G404" t="s">
        <v>1474</v>
      </c>
      <c r="H404" s="4" t="str">
        <f t="shared" si="112"/>
        <v/>
      </c>
      <c r="I404" s="4" t="str">
        <f>IF(RIGHT(B404,1)="M",IF(AND(H404=1,E404="RFS",D404=INDEX('Station Depth Averages'!$A$3:$B$84,MATCH(B404,'Station Depth Averages'!$A$3:$A$84,0),2)),1,""),IF(AND(H404=1,OR(D404="SYN",D404="SRF",D404="MID")),1,IF(AND(H404=1,OR(E405="FDn",E405="LDn")),1,IF(AND(H404=1,OR(E404="FDn",E404="LDn")),1,""))))</f>
        <v/>
      </c>
      <c r="J404" s="4" t="str">
        <f t="shared" si="113"/>
        <v/>
      </c>
      <c r="K404" s="4" t="str">
        <f t="shared" si="114"/>
        <v/>
      </c>
      <c r="L404" s="4" t="str">
        <f t="shared" si="115"/>
        <v/>
      </c>
      <c r="M404" s="4" t="str">
        <f t="shared" si="116"/>
        <v/>
      </c>
      <c r="N404" s="4" t="str">
        <f t="shared" si="117"/>
        <v/>
      </c>
      <c r="O404" s="4" t="str">
        <f t="shared" si="118"/>
        <v/>
      </c>
      <c r="P404" s="4" t="str">
        <f t="shared" si="119"/>
        <v/>
      </c>
      <c r="Q404" s="4" t="str">
        <f t="shared" si="120"/>
        <v/>
      </c>
      <c r="R404" s="4" t="str">
        <f t="shared" si="121"/>
        <v/>
      </c>
      <c r="S404" s="4" t="str">
        <f t="shared" si="122"/>
        <v/>
      </c>
      <c r="T404" s="4">
        <f t="shared" si="123"/>
        <v>1</v>
      </c>
      <c r="U404">
        <f>IF(VLOOKUP(C404,'QA Table'!$Y$5:$Y$20,1,TRUE)=C404,1,0)</f>
        <v>0</v>
      </c>
      <c r="V404" t="str">
        <f t="shared" si="124"/>
        <v/>
      </c>
      <c r="W404" t="str">
        <f t="shared" si="125"/>
        <v/>
      </c>
      <c r="X404" t="str">
        <f t="shared" si="126"/>
        <v/>
      </c>
      <c r="Y404">
        <f t="shared" si="127"/>
        <v>0</v>
      </c>
      <c r="AA404" t="str">
        <f t="shared" si="128"/>
        <v/>
      </c>
    </row>
    <row r="405" spans="1:27" x14ac:dyDescent="0.2">
      <c r="A405" t="s">
        <v>23</v>
      </c>
      <c r="B405" t="s">
        <v>52</v>
      </c>
      <c r="C405" t="s">
        <v>1534</v>
      </c>
      <c r="D405" t="s">
        <v>2</v>
      </c>
      <c r="E405" t="s">
        <v>3</v>
      </c>
      <c r="F405" t="s">
        <v>1535</v>
      </c>
      <c r="G405" t="s">
        <v>1474</v>
      </c>
      <c r="H405" s="4">
        <f t="shared" si="112"/>
        <v>1</v>
      </c>
      <c r="I405" s="4">
        <f>IF(RIGHT(B405,1)="M",IF(AND(H405=1,E405="RFS",D405=INDEX('Station Depth Averages'!$A$3:$B$84,MATCH(B405,'Station Depth Averages'!$A$3:$A$84,0),2)),1,""),IF(AND(H405=1,OR(D405="SYN",D405="SRF",D405="MID")),1,IF(AND(H405=1,OR(E406="FDn",E406="LDn")),1,IF(AND(H405=1,OR(E405="FDn",E405="LDn")),1,""))))</f>
        <v>1</v>
      </c>
      <c r="J405" s="4">
        <f t="shared" si="113"/>
        <v>1</v>
      </c>
      <c r="K405" s="4" t="str">
        <f t="shared" si="114"/>
        <v/>
      </c>
      <c r="L405" s="4" t="str">
        <f t="shared" si="115"/>
        <v/>
      </c>
      <c r="M405" s="4" t="str">
        <f t="shared" si="116"/>
        <v/>
      </c>
      <c r="N405" s="4" t="str">
        <f t="shared" si="117"/>
        <v/>
      </c>
      <c r="O405" s="4" t="str">
        <f t="shared" si="118"/>
        <v/>
      </c>
      <c r="P405" s="4" t="str">
        <f t="shared" si="119"/>
        <v/>
      </c>
      <c r="Q405" s="4" t="str">
        <f t="shared" si="120"/>
        <v/>
      </c>
      <c r="R405" s="4" t="str">
        <f t="shared" si="121"/>
        <v/>
      </c>
      <c r="S405" s="4" t="str">
        <f t="shared" si="122"/>
        <v/>
      </c>
      <c r="T405" s="4" t="str">
        <f t="shared" si="123"/>
        <v/>
      </c>
      <c r="U405">
        <f>IF(VLOOKUP(C405,'QA Table'!$Y$5:$Y$20,1,TRUE)=C405,1,0)</f>
        <v>0</v>
      </c>
      <c r="V405" t="str">
        <f t="shared" si="124"/>
        <v/>
      </c>
      <c r="W405" t="str">
        <f t="shared" si="125"/>
        <v/>
      </c>
      <c r="X405">
        <f t="shared" si="126"/>
        <v>4</v>
      </c>
      <c r="Y405">
        <f t="shared" si="127"/>
        <v>0</v>
      </c>
      <c r="AA405">
        <f t="shared" si="128"/>
        <v>1</v>
      </c>
    </row>
    <row r="406" spans="1:27" x14ac:dyDescent="0.2">
      <c r="A406" t="s">
        <v>23</v>
      </c>
      <c r="B406" t="s">
        <v>52</v>
      </c>
      <c r="C406" t="s">
        <v>1536</v>
      </c>
      <c r="D406" t="s">
        <v>1050</v>
      </c>
      <c r="E406" t="s">
        <v>3</v>
      </c>
      <c r="F406" t="s">
        <v>1535</v>
      </c>
      <c r="G406" t="s">
        <v>1474</v>
      </c>
      <c r="H406" s="4" t="str">
        <f t="shared" si="112"/>
        <v/>
      </c>
      <c r="I406" s="4" t="str">
        <f>IF(RIGHT(B406,1)="M",IF(AND(H406=1,E406="RFS",D406=INDEX('Station Depth Averages'!$A$3:$B$84,MATCH(B406,'Station Depth Averages'!$A$3:$A$84,0),2)),1,""),IF(AND(H406=1,OR(D406="SYN",D406="SRF",D406="MID")),1,IF(AND(H406=1,OR(E407="FDn",E407="LDn")),1,IF(AND(H406=1,OR(E406="FDn",E406="LDn")),1,""))))</f>
        <v/>
      </c>
      <c r="J406" s="4" t="str">
        <f t="shared" si="113"/>
        <v/>
      </c>
      <c r="K406" s="4" t="str">
        <f t="shared" si="114"/>
        <v/>
      </c>
      <c r="L406" s="4" t="str">
        <f t="shared" si="115"/>
        <v/>
      </c>
      <c r="M406" s="4" t="str">
        <f t="shared" si="116"/>
        <v/>
      </c>
      <c r="N406" s="4" t="str">
        <f t="shared" si="117"/>
        <v/>
      </c>
      <c r="O406" s="4" t="str">
        <f t="shared" si="118"/>
        <v/>
      </c>
      <c r="P406" s="4" t="str">
        <f t="shared" si="119"/>
        <v/>
      </c>
      <c r="Q406" s="4" t="str">
        <f t="shared" si="120"/>
        <v/>
      </c>
      <c r="R406" s="4" t="str">
        <f t="shared" si="121"/>
        <v/>
      </c>
      <c r="S406" s="4" t="str">
        <f t="shared" si="122"/>
        <v/>
      </c>
      <c r="T406" s="4" t="str">
        <f t="shared" si="123"/>
        <v/>
      </c>
      <c r="U406">
        <f>IF(VLOOKUP(C406,'QA Table'!$Y$5:$Y$20,1,TRUE)=C406,1,0)</f>
        <v>0</v>
      </c>
      <c r="V406" t="str">
        <f t="shared" si="124"/>
        <v/>
      </c>
      <c r="W406" t="str">
        <f t="shared" si="125"/>
        <v/>
      </c>
      <c r="X406" t="str">
        <f t="shared" si="126"/>
        <v/>
      </c>
      <c r="Y406">
        <f t="shared" si="127"/>
        <v>0</v>
      </c>
      <c r="AA406" t="str">
        <f t="shared" si="128"/>
        <v/>
      </c>
    </row>
    <row r="407" spans="1:27" x14ac:dyDescent="0.2">
      <c r="A407" t="s">
        <v>23</v>
      </c>
      <c r="B407" t="s">
        <v>52</v>
      </c>
      <c r="C407" t="s">
        <v>1537</v>
      </c>
      <c r="D407" t="s">
        <v>4</v>
      </c>
      <c r="E407" t="s">
        <v>3</v>
      </c>
      <c r="F407" t="s">
        <v>1535</v>
      </c>
      <c r="G407" t="s">
        <v>1474</v>
      </c>
      <c r="H407" s="4" t="str">
        <f t="shared" si="112"/>
        <v/>
      </c>
      <c r="I407" s="4" t="str">
        <f>IF(RIGHT(B407,1)="M",IF(AND(H407=1,E407="RFS",D407=INDEX('Station Depth Averages'!$A$3:$B$84,MATCH(B407,'Station Depth Averages'!$A$3:$A$84,0),2)),1,""),IF(AND(H407=1,OR(D407="SYN",D407="SRF",D407="MID")),1,IF(AND(H407=1,OR(E408="FDn",E408="LDn")),1,IF(AND(H407=1,OR(E407="FDn",E407="LDn")),1,""))))</f>
        <v/>
      </c>
      <c r="J407" s="4" t="str">
        <f t="shared" si="113"/>
        <v/>
      </c>
      <c r="K407" s="4" t="str">
        <f t="shared" si="114"/>
        <v/>
      </c>
      <c r="L407" s="4" t="str">
        <f t="shared" si="115"/>
        <v/>
      </c>
      <c r="M407" s="4" t="str">
        <f t="shared" si="116"/>
        <v/>
      </c>
      <c r="N407" s="4" t="str">
        <f t="shared" si="117"/>
        <v/>
      </c>
      <c r="O407" s="4" t="str">
        <f t="shared" si="118"/>
        <v/>
      </c>
      <c r="P407" s="4" t="str">
        <f t="shared" si="119"/>
        <v/>
      </c>
      <c r="Q407" s="4" t="str">
        <f t="shared" si="120"/>
        <v/>
      </c>
      <c r="R407" s="4" t="str">
        <f t="shared" si="121"/>
        <v/>
      </c>
      <c r="S407" s="4" t="str">
        <f t="shared" si="122"/>
        <v/>
      </c>
      <c r="T407" s="4" t="str">
        <f t="shared" si="123"/>
        <v/>
      </c>
      <c r="U407">
        <f>IF(VLOOKUP(C407,'QA Table'!$Y$5:$Y$20,1,TRUE)=C407,1,0)</f>
        <v>0</v>
      </c>
      <c r="V407" t="str">
        <f t="shared" si="124"/>
        <v/>
      </c>
      <c r="W407" t="str">
        <f t="shared" si="125"/>
        <v/>
      </c>
      <c r="X407" t="str">
        <f t="shared" si="126"/>
        <v/>
      </c>
      <c r="Y407">
        <f t="shared" si="127"/>
        <v>0</v>
      </c>
      <c r="AA407" t="str">
        <f t="shared" si="128"/>
        <v/>
      </c>
    </row>
    <row r="408" spans="1:27" x14ac:dyDescent="0.2">
      <c r="A408" t="s">
        <v>23</v>
      </c>
      <c r="B408" t="s">
        <v>52</v>
      </c>
      <c r="C408" t="s">
        <v>1538</v>
      </c>
      <c r="D408" t="s">
        <v>119</v>
      </c>
      <c r="E408" t="s">
        <v>3</v>
      </c>
      <c r="F408" t="s">
        <v>1535</v>
      </c>
      <c r="G408" t="s">
        <v>1474</v>
      </c>
      <c r="H408" s="4">
        <f t="shared" si="112"/>
        <v>1</v>
      </c>
      <c r="I408" s="4">
        <f>IF(RIGHT(B408,1)="M",IF(AND(H408=1,E408="RFS",D408=INDEX('Station Depth Averages'!$A$3:$B$84,MATCH(B408,'Station Depth Averages'!$A$3:$A$84,0),2)),1,""),IF(AND(H408=1,OR(D408="SYN",D408="SRF",D408="MID")),1,IF(AND(H408=1,OR(E409="FDn",E409="LDn")),1,IF(AND(H408=1,OR(E408="FDn",E408="LDn")),1,""))))</f>
        <v>1</v>
      </c>
      <c r="J408" s="4">
        <f t="shared" si="113"/>
        <v>1</v>
      </c>
      <c r="K408" s="4" t="str">
        <f t="shared" si="114"/>
        <v/>
      </c>
      <c r="L408" s="4" t="str">
        <f t="shared" si="115"/>
        <v/>
      </c>
      <c r="M408" s="4" t="str">
        <f t="shared" si="116"/>
        <v/>
      </c>
      <c r="N408" s="4" t="str">
        <f t="shared" si="117"/>
        <v/>
      </c>
      <c r="O408" s="4" t="str">
        <f t="shared" si="118"/>
        <v/>
      </c>
      <c r="P408" s="4" t="str">
        <f t="shared" si="119"/>
        <v/>
      </c>
      <c r="Q408" s="4" t="str">
        <f t="shared" si="120"/>
        <v/>
      </c>
      <c r="R408" s="4" t="str">
        <f t="shared" si="121"/>
        <v/>
      </c>
      <c r="S408" s="4" t="str">
        <f t="shared" si="122"/>
        <v/>
      </c>
      <c r="T408" s="4" t="str">
        <f t="shared" si="123"/>
        <v/>
      </c>
      <c r="U408">
        <f>IF(VLOOKUP(C408,'QA Table'!$Y$5:$Y$20,1,TRUE)=C408,1,0)</f>
        <v>0</v>
      </c>
      <c r="V408" t="str">
        <f t="shared" si="124"/>
        <v/>
      </c>
      <c r="W408" t="str">
        <f t="shared" si="125"/>
        <v/>
      </c>
      <c r="X408">
        <f t="shared" si="126"/>
        <v>4</v>
      </c>
      <c r="Y408">
        <f t="shared" si="127"/>
        <v>0</v>
      </c>
      <c r="AA408">
        <f t="shared" si="128"/>
        <v>1</v>
      </c>
    </row>
    <row r="409" spans="1:27" x14ac:dyDescent="0.2">
      <c r="A409" t="s">
        <v>23</v>
      </c>
      <c r="B409" t="s">
        <v>52</v>
      </c>
      <c r="C409" t="s">
        <v>1539</v>
      </c>
      <c r="D409" t="s">
        <v>6</v>
      </c>
      <c r="E409" t="s">
        <v>3</v>
      </c>
      <c r="F409" t="s">
        <v>1535</v>
      </c>
      <c r="G409" t="s">
        <v>1474</v>
      </c>
      <c r="H409" s="4">
        <f t="shared" si="112"/>
        <v>1</v>
      </c>
      <c r="I409" s="4" t="str">
        <f>IF(RIGHT(B409,1)="M",IF(AND(H409=1,E409="RFS",D409=INDEX('Station Depth Averages'!$A$3:$B$84,MATCH(B409,'Station Depth Averages'!$A$3:$A$84,0),2)),1,""),IF(AND(H409=1,OR(D409="SYN",D409="SRF",D409="MID")),1,IF(AND(H409=1,OR(E410="FDn",E410="LDn")),1,IF(AND(H409=1,OR(E409="FDn",E409="LDn")),1,""))))</f>
        <v/>
      </c>
      <c r="J409" s="4">
        <f t="shared" si="113"/>
        <v>1</v>
      </c>
      <c r="K409" s="4" t="str">
        <f t="shared" si="114"/>
        <v/>
      </c>
      <c r="L409" s="4" t="str">
        <f t="shared" si="115"/>
        <v/>
      </c>
      <c r="M409" s="4" t="str">
        <f t="shared" si="116"/>
        <v/>
      </c>
      <c r="N409" s="4" t="str">
        <f t="shared" si="117"/>
        <v/>
      </c>
      <c r="O409" s="4" t="str">
        <f t="shared" si="118"/>
        <v/>
      </c>
      <c r="P409" s="4" t="str">
        <f t="shared" si="119"/>
        <v/>
      </c>
      <c r="Q409" s="4" t="str">
        <f t="shared" si="120"/>
        <v/>
      </c>
      <c r="R409" s="4" t="str">
        <f t="shared" si="121"/>
        <v/>
      </c>
      <c r="S409" s="4" t="str">
        <f t="shared" si="122"/>
        <v/>
      </c>
      <c r="T409" s="4" t="str">
        <f t="shared" si="123"/>
        <v/>
      </c>
      <c r="U409">
        <f>IF(VLOOKUP(C409,'QA Table'!$Y$5:$Y$20,1,TRUE)=C409,1,0)</f>
        <v>0</v>
      </c>
      <c r="V409" t="str">
        <f t="shared" si="124"/>
        <v/>
      </c>
      <c r="W409" t="str">
        <f t="shared" si="125"/>
        <v/>
      </c>
      <c r="X409">
        <f t="shared" si="126"/>
        <v>4</v>
      </c>
      <c r="Y409">
        <f t="shared" si="127"/>
        <v>0</v>
      </c>
      <c r="AA409">
        <f t="shared" si="128"/>
        <v>1</v>
      </c>
    </row>
    <row r="410" spans="1:27" x14ac:dyDescent="0.2">
      <c r="A410" t="s">
        <v>23</v>
      </c>
      <c r="B410" t="s">
        <v>52</v>
      </c>
      <c r="C410" t="s">
        <v>1540</v>
      </c>
      <c r="D410" t="s">
        <v>8</v>
      </c>
      <c r="E410" t="s">
        <v>3</v>
      </c>
      <c r="F410" t="s">
        <v>1535</v>
      </c>
      <c r="G410" t="s">
        <v>1474</v>
      </c>
      <c r="H410" s="4">
        <f t="shared" si="112"/>
        <v>1</v>
      </c>
      <c r="I410" s="4" t="str">
        <f>IF(RIGHT(B410,1)="M",IF(AND(H410=1,E410="RFS",D410=INDEX('Station Depth Averages'!$A$3:$B$84,MATCH(B410,'Station Depth Averages'!$A$3:$A$84,0),2)),1,""),IF(AND(H410=1,OR(D410="SYN",D410="SRF",D410="MID")),1,IF(AND(H410=1,OR(E411="FDn",E411="LDn")),1,IF(AND(H410=1,OR(E410="FDn",E410="LDn")),1,""))))</f>
        <v/>
      </c>
      <c r="J410" s="4" t="str">
        <f t="shared" si="113"/>
        <v/>
      </c>
      <c r="K410" s="4">
        <f t="shared" si="114"/>
        <v>1</v>
      </c>
      <c r="L410" s="4" t="str">
        <f t="shared" si="115"/>
        <v/>
      </c>
      <c r="M410" s="4" t="str">
        <f t="shared" si="116"/>
        <v/>
      </c>
      <c r="N410" s="4" t="str">
        <f t="shared" si="117"/>
        <v/>
      </c>
      <c r="O410" s="4" t="str">
        <f t="shared" si="118"/>
        <v/>
      </c>
      <c r="P410" s="4" t="str">
        <f t="shared" si="119"/>
        <v/>
      </c>
      <c r="Q410" s="4">
        <f t="shared" si="120"/>
        <v>1</v>
      </c>
      <c r="R410" s="4" t="str">
        <f t="shared" si="121"/>
        <v/>
      </c>
      <c r="S410" s="4" t="str">
        <f t="shared" si="122"/>
        <v/>
      </c>
      <c r="T410" s="4" t="str">
        <f t="shared" si="123"/>
        <v/>
      </c>
      <c r="U410">
        <f>IF(VLOOKUP(C410,'QA Table'!$Y$5:$Y$20,1,TRUE)=C410,1,0)</f>
        <v>0</v>
      </c>
      <c r="V410" t="str">
        <f t="shared" si="124"/>
        <v/>
      </c>
      <c r="W410" t="str">
        <f t="shared" si="125"/>
        <v/>
      </c>
      <c r="X410">
        <f t="shared" si="126"/>
        <v>4</v>
      </c>
      <c r="Y410">
        <f t="shared" si="127"/>
        <v>0</v>
      </c>
      <c r="AA410">
        <f t="shared" si="128"/>
        <v>1</v>
      </c>
    </row>
    <row r="411" spans="1:27" x14ac:dyDescent="0.2">
      <c r="A411" t="s">
        <v>23</v>
      </c>
      <c r="B411" t="s">
        <v>52</v>
      </c>
      <c r="C411" t="s">
        <v>1541</v>
      </c>
      <c r="D411" t="s">
        <v>9</v>
      </c>
      <c r="E411" t="s">
        <v>3</v>
      </c>
      <c r="F411" t="s">
        <v>1535</v>
      </c>
      <c r="G411" t="s">
        <v>1474</v>
      </c>
      <c r="H411" s="4" t="str">
        <f t="shared" si="112"/>
        <v/>
      </c>
      <c r="I411" s="4" t="str">
        <f>IF(RIGHT(B411,1)="M",IF(AND(H411=1,E411="RFS",D411=INDEX('Station Depth Averages'!$A$3:$B$84,MATCH(B411,'Station Depth Averages'!$A$3:$A$84,0),2)),1,""),IF(AND(H411=1,OR(D411="SYN",D411="SRF",D411="MID")),1,IF(AND(H411=1,OR(E412="FDn",E412="LDn")),1,IF(AND(H411=1,OR(E411="FDn",E411="LDn")),1,""))))</f>
        <v/>
      </c>
      <c r="J411" s="4" t="str">
        <f t="shared" si="113"/>
        <v/>
      </c>
      <c r="K411" s="4" t="str">
        <f t="shared" si="114"/>
        <v/>
      </c>
      <c r="L411" s="4" t="str">
        <f t="shared" si="115"/>
        <v/>
      </c>
      <c r="M411" s="4" t="str">
        <f t="shared" si="116"/>
        <v/>
      </c>
      <c r="N411" s="4" t="str">
        <f t="shared" si="117"/>
        <v/>
      </c>
      <c r="O411" s="4" t="str">
        <f t="shared" si="118"/>
        <v/>
      </c>
      <c r="P411" s="4" t="str">
        <f t="shared" si="119"/>
        <v/>
      </c>
      <c r="Q411" s="4" t="str">
        <f t="shared" si="120"/>
        <v/>
      </c>
      <c r="R411" s="4" t="str">
        <f t="shared" si="121"/>
        <v/>
      </c>
      <c r="S411" s="4" t="str">
        <f t="shared" si="122"/>
        <v/>
      </c>
      <c r="T411" s="4">
        <f t="shared" si="123"/>
        <v>1</v>
      </c>
      <c r="U411">
        <f>IF(VLOOKUP(C411,'QA Table'!$Y$5:$Y$20,1,TRUE)=C411,1,0)</f>
        <v>0</v>
      </c>
      <c r="V411" t="str">
        <f t="shared" si="124"/>
        <v/>
      </c>
      <c r="W411" t="str">
        <f t="shared" si="125"/>
        <v/>
      </c>
      <c r="X411" t="str">
        <f t="shared" si="126"/>
        <v/>
      </c>
      <c r="Y411">
        <f t="shared" si="127"/>
        <v>0</v>
      </c>
      <c r="AA411" t="str">
        <f t="shared" si="128"/>
        <v/>
      </c>
    </row>
    <row r="412" spans="1:27" x14ac:dyDescent="0.2">
      <c r="A412" t="s">
        <v>23</v>
      </c>
      <c r="B412" t="s">
        <v>52</v>
      </c>
      <c r="C412" t="s">
        <v>1542</v>
      </c>
      <c r="D412" t="s">
        <v>10</v>
      </c>
      <c r="E412" t="s">
        <v>3</v>
      </c>
      <c r="F412" t="s">
        <v>1535</v>
      </c>
      <c r="G412" t="s">
        <v>1474</v>
      </c>
      <c r="H412" s="4" t="str">
        <f t="shared" si="112"/>
        <v/>
      </c>
      <c r="I412" s="4" t="str">
        <f>IF(RIGHT(B412,1)="M",IF(AND(H412=1,E412="RFS",D412=INDEX('Station Depth Averages'!$A$3:$B$84,MATCH(B412,'Station Depth Averages'!$A$3:$A$84,0),2)),1,""),IF(AND(H412=1,OR(D412="SYN",D412="SRF",D412="MID")),1,IF(AND(H412=1,OR(E413="FDn",E413="LDn")),1,IF(AND(H412=1,OR(E412="FDn",E412="LDn")),1,""))))</f>
        <v/>
      </c>
      <c r="J412" s="4" t="str">
        <f t="shared" si="113"/>
        <v/>
      </c>
      <c r="K412" s="4" t="str">
        <f t="shared" si="114"/>
        <v/>
      </c>
      <c r="L412" s="4" t="str">
        <f t="shared" si="115"/>
        <v/>
      </c>
      <c r="M412" s="4" t="str">
        <f t="shared" si="116"/>
        <v/>
      </c>
      <c r="N412" s="4" t="str">
        <f t="shared" si="117"/>
        <v/>
      </c>
      <c r="O412" s="4" t="str">
        <f t="shared" si="118"/>
        <v/>
      </c>
      <c r="P412" s="4" t="str">
        <f t="shared" si="119"/>
        <v/>
      </c>
      <c r="Q412" s="4" t="str">
        <f t="shared" si="120"/>
        <v/>
      </c>
      <c r="R412" s="4" t="str">
        <f t="shared" si="121"/>
        <v/>
      </c>
      <c r="S412" s="4" t="str">
        <f t="shared" si="122"/>
        <v/>
      </c>
      <c r="T412" s="4">
        <f t="shared" si="123"/>
        <v>1</v>
      </c>
      <c r="U412">
        <f>IF(VLOOKUP(C412,'QA Table'!$Y$5:$Y$20,1,TRUE)=C412,1,0)</f>
        <v>0</v>
      </c>
      <c r="V412" t="str">
        <f t="shared" si="124"/>
        <v/>
      </c>
      <c r="W412" t="str">
        <f t="shared" si="125"/>
        <v/>
      </c>
      <c r="X412" t="str">
        <f t="shared" si="126"/>
        <v/>
      </c>
      <c r="Y412">
        <f t="shared" si="127"/>
        <v>0</v>
      </c>
      <c r="AA412" t="str">
        <f t="shared" si="128"/>
        <v/>
      </c>
    </row>
    <row r="413" spans="1:27" x14ac:dyDescent="0.2">
      <c r="A413" t="s">
        <v>23</v>
      </c>
      <c r="B413" t="s">
        <v>53</v>
      </c>
      <c r="C413" t="s">
        <v>1543</v>
      </c>
      <c r="D413" t="s">
        <v>2</v>
      </c>
      <c r="E413" t="s">
        <v>3</v>
      </c>
      <c r="F413" t="s">
        <v>1544</v>
      </c>
      <c r="G413" t="s">
        <v>1474</v>
      </c>
      <c r="H413" s="4">
        <f t="shared" si="112"/>
        <v>1</v>
      </c>
      <c r="I413" s="4">
        <f>IF(RIGHT(B413,1)="M",IF(AND(H413=1,E413="RFS",D413=INDEX('Station Depth Averages'!$A$3:$B$84,MATCH(B413,'Station Depth Averages'!$A$3:$A$84,0),2)),1,""),IF(AND(H413=1,OR(D413="SYN",D413="SRF",D413="MID")),1,IF(AND(H413=1,OR(E414="FDn",E414="LDn")),1,IF(AND(H413=1,OR(E413="FDn",E413="LDn")),1,""))))</f>
        <v>1</v>
      </c>
      <c r="J413" s="4">
        <f t="shared" si="113"/>
        <v>1</v>
      </c>
      <c r="K413" s="4" t="str">
        <f t="shared" si="114"/>
        <v/>
      </c>
      <c r="L413" s="4" t="str">
        <f t="shared" si="115"/>
        <v/>
      </c>
      <c r="M413" s="4" t="str">
        <f t="shared" si="116"/>
        <v/>
      </c>
      <c r="N413" s="4" t="str">
        <f t="shared" si="117"/>
        <v/>
      </c>
      <c r="O413" s="4" t="str">
        <f t="shared" si="118"/>
        <v/>
      </c>
      <c r="P413" s="4" t="str">
        <f t="shared" si="119"/>
        <v/>
      </c>
      <c r="Q413" s="4" t="str">
        <f t="shared" si="120"/>
        <v/>
      </c>
      <c r="R413" s="4" t="str">
        <f t="shared" si="121"/>
        <v/>
      </c>
      <c r="S413" s="4" t="str">
        <f t="shared" si="122"/>
        <v/>
      </c>
      <c r="T413" s="4" t="str">
        <f t="shared" si="123"/>
        <v/>
      </c>
      <c r="U413">
        <f>IF(VLOOKUP(C413,'QA Table'!$Y$5:$Y$20,1,TRUE)=C413,1,0)</f>
        <v>0</v>
      </c>
      <c r="V413" t="str">
        <f t="shared" si="124"/>
        <v/>
      </c>
      <c r="W413" t="str">
        <f t="shared" si="125"/>
        <v/>
      </c>
      <c r="X413">
        <f t="shared" si="126"/>
        <v>4</v>
      </c>
      <c r="Y413">
        <f t="shared" si="127"/>
        <v>0</v>
      </c>
      <c r="AA413">
        <f t="shared" si="128"/>
        <v>1</v>
      </c>
    </row>
    <row r="414" spans="1:27" x14ac:dyDescent="0.2">
      <c r="A414" t="s">
        <v>23</v>
      </c>
      <c r="B414" t="s">
        <v>53</v>
      </c>
      <c r="C414" t="s">
        <v>1545</v>
      </c>
      <c r="D414" t="s">
        <v>1050</v>
      </c>
      <c r="E414" t="s">
        <v>3</v>
      </c>
      <c r="F414" t="s">
        <v>1544</v>
      </c>
      <c r="G414" t="s">
        <v>1474</v>
      </c>
      <c r="H414" s="4" t="str">
        <f t="shared" si="112"/>
        <v/>
      </c>
      <c r="I414" s="4" t="str">
        <f>IF(RIGHT(B414,1)="M",IF(AND(H414=1,E414="RFS",D414=INDEX('Station Depth Averages'!$A$3:$B$84,MATCH(B414,'Station Depth Averages'!$A$3:$A$84,0),2)),1,""),IF(AND(H414=1,OR(D414="SYN",D414="SRF",D414="MID")),1,IF(AND(H414=1,OR(E415="FDn",E415="LDn")),1,IF(AND(H414=1,OR(E414="FDn",E414="LDn")),1,""))))</f>
        <v/>
      </c>
      <c r="J414" s="4" t="str">
        <f t="shared" si="113"/>
        <v/>
      </c>
      <c r="K414" s="4" t="str">
        <f t="shared" si="114"/>
        <v/>
      </c>
      <c r="L414" s="4" t="str">
        <f t="shared" si="115"/>
        <v/>
      </c>
      <c r="M414" s="4" t="str">
        <f t="shared" si="116"/>
        <v/>
      </c>
      <c r="N414" s="4" t="str">
        <f t="shared" si="117"/>
        <v/>
      </c>
      <c r="O414" s="4" t="str">
        <f t="shared" si="118"/>
        <v/>
      </c>
      <c r="P414" s="4" t="str">
        <f t="shared" si="119"/>
        <v/>
      </c>
      <c r="Q414" s="4" t="str">
        <f t="shared" si="120"/>
        <v/>
      </c>
      <c r="R414" s="4" t="str">
        <f t="shared" si="121"/>
        <v/>
      </c>
      <c r="S414" s="4" t="str">
        <f t="shared" si="122"/>
        <v/>
      </c>
      <c r="T414" s="4" t="str">
        <f t="shared" si="123"/>
        <v/>
      </c>
      <c r="U414">
        <f>IF(VLOOKUP(C414,'QA Table'!$Y$5:$Y$20,1,TRUE)=C414,1,0)</f>
        <v>0</v>
      </c>
      <c r="V414" t="str">
        <f t="shared" si="124"/>
        <v/>
      </c>
      <c r="W414" t="str">
        <f t="shared" si="125"/>
        <v/>
      </c>
      <c r="X414" t="str">
        <f t="shared" si="126"/>
        <v/>
      </c>
      <c r="Y414">
        <f t="shared" si="127"/>
        <v>0</v>
      </c>
      <c r="AA414" t="str">
        <f t="shared" si="128"/>
        <v/>
      </c>
    </row>
    <row r="415" spans="1:27" x14ac:dyDescent="0.2">
      <c r="A415" t="s">
        <v>23</v>
      </c>
      <c r="B415" t="s">
        <v>53</v>
      </c>
      <c r="C415" t="s">
        <v>1546</v>
      </c>
      <c r="D415" t="s">
        <v>4</v>
      </c>
      <c r="E415" t="s">
        <v>3</v>
      </c>
      <c r="F415" t="s">
        <v>1544</v>
      </c>
      <c r="G415" t="s">
        <v>1474</v>
      </c>
      <c r="H415" s="4" t="str">
        <f t="shared" si="112"/>
        <v/>
      </c>
      <c r="I415" s="4" t="str">
        <f>IF(RIGHT(B415,1)="M",IF(AND(H415=1,E415="RFS",D415=INDEX('Station Depth Averages'!$A$3:$B$84,MATCH(B415,'Station Depth Averages'!$A$3:$A$84,0),2)),1,""),IF(AND(H415=1,OR(D415="SYN",D415="SRF",D415="MID")),1,IF(AND(H415=1,OR(E416="FDn",E416="LDn")),1,IF(AND(H415=1,OR(E415="FDn",E415="LDn")),1,""))))</f>
        <v/>
      </c>
      <c r="J415" s="4" t="str">
        <f t="shared" si="113"/>
        <v/>
      </c>
      <c r="K415" s="4" t="str">
        <f t="shared" si="114"/>
        <v/>
      </c>
      <c r="L415" s="4" t="str">
        <f t="shared" si="115"/>
        <v/>
      </c>
      <c r="M415" s="4" t="str">
        <f t="shared" si="116"/>
        <v/>
      </c>
      <c r="N415" s="4" t="str">
        <f t="shared" si="117"/>
        <v/>
      </c>
      <c r="O415" s="4" t="str">
        <f t="shared" si="118"/>
        <v/>
      </c>
      <c r="P415" s="4" t="str">
        <f t="shared" si="119"/>
        <v/>
      </c>
      <c r="Q415" s="4" t="str">
        <f t="shared" si="120"/>
        <v/>
      </c>
      <c r="R415" s="4" t="str">
        <f t="shared" si="121"/>
        <v/>
      </c>
      <c r="S415" s="4" t="str">
        <f t="shared" si="122"/>
        <v/>
      </c>
      <c r="T415" s="4" t="str">
        <f t="shared" si="123"/>
        <v/>
      </c>
      <c r="U415">
        <f>IF(VLOOKUP(C415,'QA Table'!$Y$5:$Y$20,1,TRUE)=C415,1,0)</f>
        <v>0</v>
      </c>
      <c r="V415" t="str">
        <f t="shared" si="124"/>
        <v/>
      </c>
      <c r="W415" t="str">
        <f t="shared" si="125"/>
        <v/>
      </c>
      <c r="X415" t="str">
        <f t="shared" si="126"/>
        <v/>
      </c>
      <c r="Y415">
        <f t="shared" si="127"/>
        <v>0</v>
      </c>
      <c r="AA415" t="str">
        <f t="shared" si="128"/>
        <v/>
      </c>
    </row>
    <row r="416" spans="1:27" x14ac:dyDescent="0.2">
      <c r="A416" t="s">
        <v>23</v>
      </c>
      <c r="B416" t="s">
        <v>53</v>
      </c>
      <c r="C416" t="s">
        <v>1547</v>
      </c>
      <c r="D416" t="s">
        <v>119</v>
      </c>
      <c r="E416" t="s">
        <v>3</v>
      </c>
      <c r="F416" t="s">
        <v>1544</v>
      </c>
      <c r="G416" t="s">
        <v>1474</v>
      </c>
      <c r="H416" s="4">
        <f t="shared" si="112"/>
        <v>1</v>
      </c>
      <c r="I416" s="4">
        <f>IF(RIGHT(B416,1)="M",IF(AND(H416=1,E416="RFS",D416=INDEX('Station Depth Averages'!$A$3:$B$84,MATCH(B416,'Station Depth Averages'!$A$3:$A$84,0),2)),1,""),IF(AND(H416=1,OR(D416="SYN",D416="SRF",D416="MID")),1,IF(AND(H416=1,OR(E417="FDn",E417="LDn")),1,IF(AND(H416=1,OR(E416="FDn",E416="LDn")),1,""))))</f>
        <v>1</v>
      </c>
      <c r="J416" s="4">
        <f t="shared" si="113"/>
        <v>1</v>
      </c>
      <c r="K416" s="4" t="str">
        <f t="shared" si="114"/>
        <v/>
      </c>
      <c r="L416" s="4" t="str">
        <f t="shared" si="115"/>
        <v/>
      </c>
      <c r="M416" s="4" t="str">
        <f t="shared" si="116"/>
        <v/>
      </c>
      <c r="N416" s="4" t="str">
        <f t="shared" si="117"/>
        <v/>
      </c>
      <c r="O416" s="4" t="str">
        <f t="shared" si="118"/>
        <v/>
      </c>
      <c r="P416" s="4" t="str">
        <f t="shared" si="119"/>
        <v/>
      </c>
      <c r="Q416" s="4" t="str">
        <f t="shared" si="120"/>
        <v/>
      </c>
      <c r="R416" s="4" t="str">
        <f t="shared" si="121"/>
        <v/>
      </c>
      <c r="S416" s="4" t="str">
        <f t="shared" si="122"/>
        <v/>
      </c>
      <c r="T416" s="4" t="str">
        <f t="shared" si="123"/>
        <v/>
      </c>
      <c r="U416">
        <f>IF(VLOOKUP(C416,'QA Table'!$Y$5:$Y$20,1,TRUE)=C416,1,0)</f>
        <v>0</v>
      </c>
      <c r="V416" t="str">
        <f t="shared" si="124"/>
        <v/>
      </c>
      <c r="W416" t="str">
        <f t="shared" si="125"/>
        <v/>
      </c>
      <c r="X416">
        <f t="shared" si="126"/>
        <v>4</v>
      </c>
      <c r="Y416">
        <f t="shared" si="127"/>
        <v>0</v>
      </c>
      <c r="AA416">
        <f t="shared" si="128"/>
        <v>1</v>
      </c>
    </row>
    <row r="417" spans="1:27" x14ac:dyDescent="0.2">
      <c r="A417" t="s">
        <v>23</v>
      </c>
      <c r="B417" t="s">
        <v>53</v>
      </c>
      <c r="C417" t="s">
        <v>1548</v>
      </c>
      <c r="D417" t="s">
        <v>6</v>
      </c>
      <c r="E417" t="s">
        <v>3</v>
      </c>
      <c r="F417" t="s">
        <v>1544</v>
      </c>
      <c r="G417" t="s">
        <v>1474</v>
      </c>
      <c r="H417" s="4">
        <f t="shared" si="112"/>
        <v>1</v>
      </c>
      <c r="I417" s="4" t="str">
        <f>IF(RIGHT(B417,1)="M",IF(AND(H417=1,E417="RFS",D417=INDEX('Station Depth Averages'!$A$3:$B$84,MATCH(B417,'Station Depth Averages'!$A$3:$A$84,0),2)),1,""),IF(AND(H417=1,OR(D417="SYN",D417="SRF",D417="MID")),1,IF(AND(H417=1,OR(E418="FDn",E418="LDn")),1,IF(AND(H417=1,OR(E417="FDn",E417="LDn")),1,""))))</f>
        <v/>
      </c>
      <c r="J417" s="4">
        <f t="shared" si="113"/>
        <v>1</v>
      </c>
      <c r="K417" s="4" t="str">
        <f t="shared" si="114"/>
        <v/>
      </c>
      <c r="L417" s="4" t="str">
        <f t="shared" si="115"/>
        <v/>
      </c>
      <c r="M417" s="4" t="str">
        <f t="shared" si="116"/>
        <v/>
      </c>
      <c r="N417" s="4" t="str">
        <f t="shared" si="117"/>
        <v/>
      </c>
      <c r="O417" s="4" t="str">
        <f t="shared" si="118"/>
        <v/>
      </c>
      <c r="P417" s="4" t="str">
        <f t="shared" si="119"/>
        <v/>
      </c>
      <c r="Q417" s="4" t="str">
        <f t="shared" si="120"/>
        <v/>
      </c>
      <c r="R417" s="4" t="str">
        <f t="shared" si="121"/>
        <v/>
      </c>
      <c r="S417" s="4" t="str">
        <f t="shared" si="122"/>
        <v/>
      </c>
      <c r="T417" s="4" t="str">
        <f t="shared" si="123"/>
        <v/>
      </c>
      <c r="U417">
        <f>IF(VLOOKUP(C417,'QA Table'!$Y$5:$Y$20,1,TRUE)=C417,1,0)</f>
        <v>0</v>
      </c>
      <c r="V417" t="str">
        <f t="shared" si="124"/>
        <v/>
      </c>
      <c r="W417" t="str">
        <f t="shared" si="125"/>
        <v/>
      </c>
      <c r="X417">
        <f t="shared" si="126"/>
        <v>4</v>
      </c>
      <c r="Y417">
        <f t="shared" si="127"/>
        <v>0</v>
      </c>
      <c r="AA417">
        <f t="shared" si="128"/>
        <v>1</v>
      </c>
    </row>
    <row r="418" spans="1:27" x14ac:dyDescent="0.2">
      <c r="A418" t="s">
        <v>23</v>
      </c>
      <c r="B418" t="s">
        <v>53</v>
      </c>
      <c r="C418" t="s">
        <v>1549</v>
      </c>
      <c r="D418" t="s">
        <v>8</v>
      </c>
      <c r="E418" t="s">
        <v>3</v>
      </c>
      <c r="F418" t="s">
        <v>1544</v>
      </c>
      <c r="G418" t="s">
        <v>1474</v>
      </c>
      <c r="H418" s="4">
        <f t="shared" si="112"/>
        <v>1</v>
      </c>
      <c r="I418" s="4" t="str">
        <f>IF(RIGHT(B418,1)="M",IF(AND(H418=1,E418="RFS",D418=INDEX('Station Depth Averages'!$A$3:$B$84,MATCH(B418,'Station Depth Averages'!$A$3:$A$84,0),2)),1,""),IF(AND(H418=1,OR(D418="SYN",D418="SRF",D418="MID")),1,IF(AND(H418=1,OR(E419="FDn",E419="LDn")),1,IF(AND(H418=1,OR(E418="FDn",E418="LDn")),1,""))))</f>
        <v/>
      </c>
      <c r="J418" s="4" t="str">
        <f t="shared" si="113"/>
        <v/>
      </c>
      <c r="K418" s="4">
        <f t="shared" si="114"/>
        <v>1</v>
      </c>
      <c r="L418" s="4" t="str">
        <f t="shared" si="115"/>
        <v/>
      </c>
      <c r="M418" s="4" t="str">
        <f t="shared" si="116"/>
        <v/>
      </c>
      <c r="N418" s="4" t="str">
        <f t="shared" si="117"/>
        <v/>
      </c>
      <c r="O418" s="4" t="str">
        <f t="shared" si="118"/>
        <v/>
      </c>
      <c r="P418" s="4" t="str">
        <f t="shared" si="119"/>
        <v/>
      </c>
      <c r="Q418" s="4">
        <f t="shared" si="120"/>
        <v>1</v>
      </c>
      <c r="R418" s="4" t="str">
        <f t="shared" si="121"/>
        <v/>
      </c>
      <c r="S418" s="4" t="str">
        <f t="shared" si="122"/>
        <v/>
      </c>
      <c r="T418" s="4" t="str">
        <f t="shared" si="123"/>
        <v/>
      </c>
      <c r="U418">
        <f>IF(VLOOKUP(C418,'QA Table'!$Y$5:$Y$20,1,TRUE)=C418,1,0)</f>
        <v>0</v>
      </c>
      <c r="V418" t="str">
        <f t="shared" si="124"/>
        <v/>
      </c>
      <c r="W418" t="str">
        <f t="shared" si="125"/>
        <v/>
      </c>
      <c r="X418">
        <f t="shared" si="126"/>
        <v>4</v>
      </c>
      <c r="Y418">
        <f t="shared" si="127"/>
        <v>0</v>
      </c>
      <c r="AA418">
        <f t="shared" si="128"/>
        <v>1</v>
      </c>
    </row>
    <row r="419" spans="1:27" x14ac:dyDescent="0.2">
      <c r="A419" t="s">
        <v>23</v>
      </c>
      <c r="B419" t="s">
        <v>53</v>
      </c>
      <c r="C419" t="s">
        <v>1550</v>
      </c>
      <c r="D419" t="s">
        <v>9</v>
      </c>
      <c r="E419" t="s">
        <v>3</v>
      </c>
      <c r="F419" t="s">
        <v>1544</v>
      </c>
      <c r="G419" t="s">
        <v>1474</v>
      </c>
      <c r="H419" s="4" t="str">
        <f t="shared" si="112"/>
        <v/>
      </c>
      <c r="I419" s="4" t="str">
        <f>IF(RIGHT(B419,1)="M",IF(AND(H419=1,E419="RFS",D419=INDEX('Station Depth Averages'!$A$3:$B$84,MATCH(B419,'Station Depth Averages'!$A$3:$A$84,0),2)),1,""),IF(AND(H419=1,OR(D419="SYN",D419="SRF",D419="MID")),1,IF(AND(H419=1,OR(E420="FDn",E420="LDn")),1,IF(AND(H419=1,OR(E419="FDn",E419="LDn")),1,""))))</f>
        <v/>
      </c>
      <c r="J419" s="4" t="str">
        <f t="shared" si="113"/>
        <v/>
      </c>
      <c r="K419" s="4" t="str">
        <f t="shared" si="114"/>
        <v/>
      </c>
      <c r="L419" s="4" t="str">
        <f t="shared" si="115"/>
        <v/>
      </c>
      <c r="M419" s="4" t="str">
        <f t="shared" si="116"/>
        <v/>
      </c>
      <c r="N419" s="4" t="str">
        <f t="shared" si="117"/>
        <v/>
      </c>
      <c r="O419" s="4" t="str">
        <f t="shared" si="118"/>
        <v/>
      </c>
      <c r="P419" s="4" t="str">
        <f t="shared" si="119"/>
        <v/>
      </c>
      <c r="Q419" s="4" t="str">
        <f t="shared" si="120"/>
        <v/>
      </c>
      <c r="R419" s="4" t="str">
        <f t="shared" si="121"/>
        <v/>
      </c>
      <c r="S419" s="4" t="str">
        <f t="shared" si="122"/>
        <v/>
      </c>
      <c r="T419" s="4">
        <f t="shared" si="123"/>
        <v>1</v>
      </c>
      <c r="U419">
        <f>IF(VLOOKUP(C419,'QA Table'!$Y$5:$Y$20,1,TRUE)=C419,1,0)</f>
        <v>0</v>
      </c>
      <c r="V419" t="str">
        <f t="shared" si="124"/>
        <v/>
      </c>
      <c r="W419" t="str">
        <f t="shared" si="125"/>
        <v/>
      </c>
      <c r="X419" t="str">
        <f t="shared" si="126"/>
        <v/>
      </c>
      <c r="Y419">
        <f t="shared" si="127"/>
        <v>0</v>
      </c>
      <c r="AA419" t="str">
        <f t="shared" si="128"/>
        <v/>
      </c>
    </row>
    <row r="420" spans="1:27" x14ac:dyDescent="0.2">
      <c r="A420" t="s">
        <v>23</v>
      </c>
      <c r="B420" t="s">
        <v>53</v>
      </c>
      <c r="C420" t="s">
        <v>1551</v>
      </c>
      <c r="D420" t="s">
        <v>10</v>
      </c>
      <c r="E420" t="s">
        <v>3</v>
      </c>
      <c r="F420" t="s">
        <v>1544</v>
      </c>
      <c r="G420" t="s">
        <v>1474</v>
      </c>
      <c r="H420" s="4" t="str">
        <f t="shared" si="112"/>
        <v/>
      </c>
      <c r="I420" s="4" t="str">
        <f>IF(RIGHT(B420,1)="M",IF(AND(H420=1,E420="RFS",D420=INDEX('Station Depth Averages'!$A$3:$B$84,MATCH(B420,'Station Depth Averages'!$A$3:$A$84,0),2)),1,""),IF(AND(H420=1,OR(D420="SYN",D420="SRF",D420="MID")),1,IF(AND(H420=1,OR(E421="FDn",E421="LDn")),1,IF(AND(H420=1,OR(E420="FDn",E420="LDn")),1,""))))</f>
        <v/>
      </c>
      <c r="J420" s="4" t="str">
        <f t="shared" si="113"/>
        <v/>
      </c>
      <c r="K420" s="4" t="str">
        <f t="shared" si="114"/>
        <v/>
      </c>
      <c r="L420" s="4" t="str">
        <f t="shared" si="115"/>
        <v/>
      </c>
      <c r="M420" s="4" t="str">
        <f t="shared" si="116"/>
        <v/>
      </c>
      <c r="N420" s="4" t="str">
        <f t="shared" si="117"/>
        <v/>
      </c>
      <c r="O420" s="4" t="str">
        <f t="shared" si="118"/>
        <v/>
      </c>
      <c r="P420" s="4" t="str">
        <f t="shared" si="119"/>
        <v/>
      </c>
      <c r="Q420" s="4" t="str">
        <f t="shared" si="120"/>
        <v/>
      </c>
      <c r="R420" s="4" t="str">
        <f t="shared" si="121"/>
        <v/>
      </c>
      <c r="S420" s="4" t="str">
        <f t="shared" si="122"/>
        <v/>
      </c>
      <c r="T420" s="4">
        <f t="shared" si="123"/>
        <v>1</v>
      </c>
      <c r="U420">
        <f>IF(VLOOKUP(C420,'QA Table'!$Y$5:$Y$20,1,TRUE)=C420,1,0)</f>
        <v>0</v>
      </c>
      <c r="V420" t="str">
        <f t="shared" si="124"/>
        <v/>
      </c>
      <c r="W420" t="str">
        <f t="shared" si="125"/>
        <v/>
      </c>
      <c r="X420" t="str">
        <f t="shared" si="126"/>
        <v/>
      </c>
      <c r="Y420">
        <f t="shared" si="127"/>
        <v>0</v>
      </c>
      <c r="AA420" t="str">
        <f t="shared" si="128"/>
        <v/>
      </c>
    </row>
    <row r="421" spans="1:27" x14ac:dyDescent="0.2">
      <c r="A421" t="s">
        <v>23</v>
      </c>
      <c r="B421" t="s">
        <v>54</v>
      </c>
      <c r="C421" t="s">
        <v>1552</v>
      </c>
      <c r="D421" t="s">
        <v>2</v>
      </c>
      <c r="E421" t="s">
        <v>3</v>
      </c>
      <c r="F421" t="s">
        <v>1553</v>
      </c>
      <c r="G421" t="s">
        <v>1474</v>
      </c>
      <c r="H421" s="4">
        <f t="shared" si="112"/>
        <v>1</v>
      </c>
      <c r="I421" s="4">
        <f>IF(RIGHT(B421,1)="M",IF(AND(H421=1,E421="RFS",D421=INDEX('Station Depth Averages'!$A$3:$B$84,MATCH(B421,'Station Depth Averages'!$A$3:$A$84,0),2)),1,""),IF(AND(H421=1,OR(D421="SYN",D421="SRF",D421="MID")),1,IF(AND(H421=1,OR(E422="FDn",E422="LDn")),1,IF(AND(H421=1,OR(E421="FDn",E421="LDn")),1,""))))</f>
        <v>1</v>
      </c>
      <c r="J421" s="4">
        <f t="shared" si="113"/>
        <v>1</v>
      </c>
      <c r="K421" s="4" t="str">
        <f t="shared" si="114"/>
        <v/>
      </c>
      <c r="L421" s="4" t="str">
        <f t="shared" si="115"/>
        <v/>
      </c>
      <c r="M421" s="4" t="str">
        <f t="shared" si="116"/>
        <v/>
      </c>
      <c r="N421" s="4" t="str">
        <f t="shared" si="117"/>
        <v/>
      </c>
      <c r="O421" s="4" t="str">
        <f t="shared" si="118"/>
        <v/>
      </c>
      <c r="P421" s="4" t="str">
        <f t="shared" si="119"/>
        <v/>
      </c>
      <c r="Q421" s="4" t="str">
        <f t="shared" si="120"/>
        <v/>
      </c>
      <c r="R421" s="4" t="str">
        <f t="shared" si="121"/>
        <v/>
      </c>
      <c r="S421" s="4" t="str">
        <f t="shared" si="122"/>
        <v/>
      </c>
      <c r="T421" s="4" t="str">
        <f t="shared" si="123"/>
        <v/>
      </c>
      <c r="U421">
        <f>IF(VLOOKUP(C421,'QA Table'!$Y$5:$Y$20,1,TRUE)=C421,1,0)</f>
        <v>0</v>
      </c>
      <c r="V421" t="str">
        <f t="shared" si="124"/>
        <v/>
      </c>
      <c r="W421" t="str">
        <f t="shared" si="125"/>
        <v/>
      </c>
      <c r="X421">
        <f t="shared" si="126"/>
        <v>4</v>
      </c>
      <c r="Y421">
        <f t="shared" si="127"/>
        <v>0</v>
      </c>
      <c r="AA421">
        <f t="shared" si="128"/>
        <v>1</v>
      </c>
    </row>
    <row r="422" spans="1:27" x14ac:dyDescent="0.2">
      <c r="A422" t="s">
        <v>23</v>
      </c>
      <c r="B422" t="s">
        <v>54</v>
      </c>
      <c r="C422" t="s">
        <v>1554</v>
      </c>
      <c r="D422" t="s">
        <v>1050</v>
      </c>
      <c r="E422" t="s">
        <v>3</v>
      </c>
      <c r="F422" t="s">
        <v>1553</v>
      </c>
      <c r="G422" t="s">
        <v>1474</v>
      </c>
      <c r="H422" s="4" t="str">
        <f t="shared" si="112"/>
        <v/>
      </c>
      <c r="I422" s="4" t="str">
        <f>IF(RIGHT(B422,1)="M",IF(AND(H422=1,E422="RFS",D422=INDEX('Station Depth Averages'!$A$3:$B$84,MATCH(B422,'Station Depth Averages'!$A$3:$A$84,0),2)),1,""),IF(AND(H422=1,OR(D422="SYN",D422="SRF",D422="MID")),1,IF(AND(H422=1,OR(E423="FDn",E423="LDn")),1,IF(AND(H422=1,OR(E422="FDn",E422="LDn")),1,""))))</f>
        <v/>
      </c>
      <c r="J422" s="4" t="str">
        <f t="shared" si="113"/>
        <v/>
      </c>
      <c r="K422" s="4" t="str">
        <f t="shared" si="114"/>
        <v/>
      </c>
      <c r="L422" s="4" t="str">
        <f t="shared" si="115"/>
        <v/>
      </c>
      <c r="M422" s="4" t="str">
        <f t="shared" si="116"/>
        <v/>
      </c>
      <c r="N422" s="4" t="str">
        <f t="shared" si="117"/>
        <v/>
      </c>
      <c r="O422" s="4" t="str">
        <f t="shared" si="118"/>
        <v/>
      </c>
      <c r="P422" s="4" t="str">
        <f t="shared" si="119"/>
        <v/>
      </c>
      <c r="Q422" s="4" t="str">
        <f t="shared" si="120"/>
        <v/>
      </c>
      <c r="R422" s="4" t="str">
        <f t="shared" si="121"/>
        <v/>
      </c>
      <c r="S422" s="4" t="str">
        <f t="shared" si="122"/>
        <v/>
      </c>
      <c r="T422" s="4" t="str">
        <f t="shared" si="123"/>
        <v/>
      </c>
      <c r="U422">
        <f>IF(VLOOKUP(C422,'QA Table'!$Y$5:$Y$20,1,TRUE)=C422,1,0)</f>
        <v>0</v>
      </c>
      <c r="V422" t="str">
        <f t="shared" si="124"/>
        <v/>
      </c>
      <c r="W422" t="str">
        <f t="shared" si="125"/>
        <v/>
      </c>
      <c r="X422" t="str">
        <f t="shared" si="126"/>
        <v/>
      </c>
      <c r="Y422">
        <f t="shared" si="127"/>
        <v>0</v>
      </c>
      <c r="AA422" t="str">
        <f t="shared" si="128"/>
        <v/>
      </c>
    </row>
    <row r="423" spans="1:27" x14ac:dyDescent="0.2">
      <c r="A423" t="s">
        <v>23</v>
      </c>
      <c r="B423" t="s">
        <v>54</v>
      </c>
      <c r="C423" t="s">
        <v>1555</v>
      </c>
      <c r="D423" t="s">
        <v>4</v>
      </c>
      <c r="E423" t="s">
        <v>3</v>
      </c>
      <c r="F423" t="s">
        <v>1553</v>
      </c>
      <c r="G423" t="s">
        <v>1474</v>
      </c>
      <c r="H423" s="4" t="str">
        <f t="shared" si="112"/>
        <v/>
      </c>
      <c r="I423" s="4" t="str">
        <f>IF(RIGHT(B423,1)="M",IF(AND(H423=1,E423="RFS",D423=INDEX('Station Depth Averages'!$A$3:$B$84,MATCH(B423,'Station Depth Averages'!$A$3:$A$84,0),2)),1,""),IF(AND(H423=1,OR(D423="SYN",D423="SRF",D423="MID")),1,IF(AND(H423=1,OR(E424="FDn",E424="LDn")),1,IF(AND(H423=1,OR(E423="FDn",E423="LDn")),1,""))))</f>
        <v/>
      </c>
      <c r="J423" s="4" t="str">
        <f t="shared" si="113"/>
        <v/>
      </c>
      <c r="K423" s="4" t="str">
        <f t="shared" si="114"/>
        <v/>
      </c>
      <c r="L423" s="4" t="str">
        <f t="shared" si="115"/>
        <v/>
      </c>
      <c r="M423" s="4" t="str">
        <f t="shared" si="116"/>
        <v/>
      </c>
      <c r="N423" s="4" t="str">
        <f t="shared" si="117"/>
        <v/>
      </c>
      <c r="O423" s="4" t="str">
        <f t="shared" si="118"/>
        <v/>
      </c>
      <c r="P423" s="4" t="str">
        <f t="shared" si="119"/>
        <v/>
      </c>
      <c r="Q423" s="4" t="str">
        <f t="shared" si="120"/>
        <v/>
      </c>
      <c r="R423" s="4" t="str">
        <f t="shared" si="121"/>
        <v/>
      </c>
      <c r="S423" s="4" t="str">
        <f t="shared" si="122"/>
        <v/>
      </c>
      <c r="T423" s="4" t="str">
        <f t="shared" si="123"/>
        <v/>
      </c>
      <c r="U423">
        <f>IF(VLOOKUP(C423,'QA Table'!$Y$5:$Y$20,1,TRUE)=C423,1,0)</f>
        <v>0</v>
      </c>
      <c r="V423" t="str">
        <f t="shared" si="124"/>
        <v/>
      </c>
      <c r="W423" t="str">
        <f t="shared" si="125"/>
        <v/>
      </c>
      <c r="X423" t="str">
        <f t="shared" si="126"/>
        <v/>
      </c>
      <c r="Y423">
        <f t="shared" si="127"/>
        <v>0</v>
      </c>
      <c r="AA423" t="str">
        <f t="shared" si="128"/>
        <v/>
      </c>
    </row>
    <row r="424" spans="1:27" x14ac:dyDescent="0.2">
      <c r="A424" t="s">
        <v>23</v>
      </c>
      <c r="B424" t="s">
        <v>54</v>
      </c>
      <c r="C424" t="s">
        <v>1556</v>
      </c>
      <c r="D424" t="s">
        <v>119</v>
      </c>
      <c r="E424" t="s">
        <v>3</v>
      </c>
      <c r="F424" t="s">
        <v>1553</v>
      </c>
      <c r="G424" t="s">
        <v>1474</v>
      </c>
      <c r="H424" s="4">
        <f t="shared" si="112"/>
        <v>1</v>
      </c>
      <c r="I424" s="4">
        <f>IF(RIGHT(B424,1)="M",IF(AND(H424=1,E424="RFS",D424=INDEX('Station Depth Averages'!$A$3:$B$84,MATCH(B424,'Station Depth Averages'!$A$3:$A$84,0),2)),1,""),IF(AND(H424=1,OR(D424="SYN",D424="SRF",D424="MID")),1,IF(AND(H424=1,OR(E425="FDn",E425="LDn")),1,IF(AND(H424=1,OR(E424="FDn",E424="LDn")),1,""))))</f>
        <v>1</v>
      </c>
      <c r="J424" s="4">
        <f t="shared" si="113"/>
        <v>1</v>
      </c>
      <c r="K424" s="4" t="str">
        <f t="shared" si="114"/>
        <v/>
      </c>
      <c r="L424" s="4" t="str">
        <f t="shared" si="115"/>
        <v/>
      </c>
      <c r="M424" s="4" t="str">
        <f t="shared" si="116"/>
        <v/>
      </c>
      <c r="N424" s="4" t="str">
        <f t="shared" si="117"/>
        <v/>
      </c>
      <c r="O424" s="4" t="str">
        <f t="shared" si="118"/>
        <v/>
      </c>
      <c r="P424" s="4" t="str">
        <f t="shared" si="119"/>
        <v/>
      </c>
      <c r="Q424" s="4" t="str">
        <f t="shared" si="120"/>
        <v/>
      </c>
      <c r="R424" s="4" t="str">
        <f t="shared" si="121"/>
        <v/>
      </c>
      <c r="S424" s="4" t="str">
        <f t="shared" si="122"/>
        <v/>
      </c>
      <c r="T424" s="4" t="str">
        <f t="shared" si="123"/>
        <v/>
      </c>
      <c r="U424">
        <f>IF(VLOOKUP(C424,'QA Table'!$Y$5:$Y$20,1,TRUE)=C424,1,0)</f>
        <v>0</v>
      </c>
      <c r="V424" t="str">
        <f t="shared" si="124"/>
        <v/>
      </c>
      <c r="W424" t="str">
        <f t="shared" si="125"/>
        <v/>
      </c>
      <c r="X424">
        <f t="shared" si="126"/>
        <v>4</v>
      </c>
      <c r="Y424">
        <f t="shared" si="127"/>
        <v>0</v>
      </c>
      <c r="AA424">
        <f t="shared" si="128"/>
        <v>1</v>
      </c>
    </row>
    <row r="425" spans="1:27" x14ac:dyDescent="0.2">
      <c r="A425" t="s">
        <v>23</v>
      </c>
      <c r="B425" t="s">
        <v>54</v>
      </c>
      <c r="C425" t="s">
        <v>1557</v>
      </c>
      <c r="D425" t="s">
        <v>6</v>
      </c>
      <c r="E425" t="s">
        <v>3</v>
      </c>
      <c r="F425" t="s">
        <v>1553</v>
      </c>
      <c r="G425" t="s">
        <v>1474</v>
      </c>
      <c r="H425" s="4">
        <f t="shared" si="112"/>
        <v>1</v>
      </c>
      <c r="I425" s="4" t="str">
        <f>IF(RIGHT(B425,1)="M",IF(AND(H425=1,E425="RFS",D425=INDEX('Station Depth Averages'!$A$3:$B$84,MATCH(B425,'Station Depth Averages'!$A$3:$A$84,0),2)),1,""),IF(AND(H425=1,OR(D425="SYN",D425="SRF",D425="MID")),1,IF(AND(H425=1,OR(E426="FDn",E426="LDn")),1,IF(AND(H425=1,OR(E425="FDn",E425="LDn")),1,""))))</f>
        <v/>
      </c>
      <c r="J425" s="4">
        <f t="shared" si="113"/>
        <v>1</v>
      </c>
      <c r="K425" s="4" t="str">
        <f t="shared" si="114"/>
        <v/>
      </c>
      <c r="L425" s="4" t="str">
        <f t="shared" si="115"/>
        <v/>
      </c>
      <c r="M425" s="4" t="str">
        <f t="shared" si="116"/>
        <v/>
      </c>
      <c r="N425" s="4" t="str">
        <f t="shared" si="117"/>
        <v/>
      </c>
      <c r="O425" s="4" t="str">
        <f t="shared" si="118"/>
        <v/>
      </c>
      <c r="P425" s="4" t="str">
        <f t="shared" si="119"/>
        <v/>
      </c>
      <c r="Q425" s="4" t="str">
        <f t="shared" si="120"/>
        <v/>
      </c>
      <c r="R425" s="4" t="str">
        <f t="shared" si="121"/>
        <v/>
      </c>
      <c r="S425" s="4" t="str">
        <f t="shared" si="122"/>
        <v/>
      </c>
      <c r="T425" s="4" t="str">
        <f t="shared" si="123"/>
        <v/>
      </c>
      <c r="U425">
        <f>IF(VLOOKUP(C425,'QA Table'!$Y$5:$Y$20,1,TRUE)=C425,1,0)</f>
        <v>0</v>
      </c>
      <c r="V425" t="str">
        <f t="shared" si="124"/>
        <v/>
      </c>
      <c r="W425" t="str">
        <f t="shared" si="125"/>
        <v/>
      </c>
      <c r="X425">
        <f t="shared" si="126"/>
        <v>4</v>
      </c>
      <c r="Y425">
        <f t="shared" si="127"/>
        <v>0</v>
      </c>
      <c r="AA425">
        <f t="shared" si="128"/>
        <v>1</v>
      </c>
    </row>
    <row r="426" spans="1:27" x14ac:dyDescent="0.2">
      <c r="A426" t="s">
        <v>23</v>
      </c>
      <c r="B426" t="s">
        <v>54</v>
      </c>
      <c r="C426" t="s">
        <v>1558</v>
      </c>
      <c r="D426" t="s">
        <v>8</v>
      </c>
      <c r="E426" t="s">
        <v>3</v>
      </c>
      <c r="F426" t="s">
        <v>1553</v>
      </c>
      <c r="G426" t="s">
        <v>1474</v>
      </c>
      <c r="H426" s="4">
        <f t="shared" si="112"/>
        <v>1</v>
      </c>
      <c r="I426" s="4" t="str">
        <f>IF(RIGHT(B426,1)="M",IF(AND(H426=1,E426="RFS",D426=INDEX('Station Depth Averages'!$A$3:$B$84,MATCH(B426,'Station Depth Averages'!$A$3:$A$84,0),2)),1,""),IF(AND(H426=1,OR(D426="SYN",D426="SRF",D426="MID")),1,IF(AND(H426=1,OR(E427="FDn",E427="LDn")),1,IF(AND(H426=1,OR(E426="FDn",E426="LDn")),1,""))))</f>
        <v/>
      </c>
      <c r="J426" s="4" t="str">
        <f t="shared" si="113"/>
        <v/>
      </c>
      <c r="K426" s="4">
        <f t="shared" si="114"/>
        <v>1</v>
      </c>
      <c r="L426" s="4" t="str">
        <f t="shared" si="115"/>
        <v/>
      </c>
      <c r="M426" s="4" t="str">
        <f t="shared" si="116"/>
        <v/>
      </c>
      <c r="N426" s="4" t="str">
        <f t="shared" si="117"/>
        <v/>
      </c>
      <c r="O426" s="4" t="str">
        <f t="shared" si="118"/>
        <v/>
      </c>
      <c r="P426" s="4" t="str">
        <f t="shared" si="119"/>
        <v/>
      </c>
      <c r="Q426" s="4">
        <f t="shared" si="120"/>
        <v>1</v>
      </c>
      <c r="R426" s="4" t="str">
        <f t="shared" si="121"/>
        <v/>
      </c>
      <c r="S426" s="4" t="str">
        <f t="shared" si="122"/>
        <v/>
      </c>
      <c r="T426" s="4" t="str">
        <f t="shared" si="123"/>
        <v/>
      </c>
      <c r="U426">
        <f>IF(VLOOKUP(C426,'QA Table'!$Y$5:$Y$20,1,TRUE)=C426,1,0)</f>
        <v>0</v>
      </c>
      <c r="V426" t="str">
        <f t="shared" si="124"/>
        <v/>
      </c>
      <c r="W426" t="str">
        <f t="shared" si="125"/>
        <v/>
      </c>
      <c r="X426">
        <f t="shared" si="126"/>
        <v>4</v>
      </c>
      <c r="Y426">
        <f t="shared" si="127"/>
        <v>0</v>
      </c>
      <c r="AA426">
        <f t="shared" si="128"/>
        <v>1</v>
      </c>
    </row>
    <row r="427" spans="1:27" x14ac:dyDescent="0.2">
      <c r="A427" t="s">
        <v>23</v>
      </c>
      <c r="B427" t="s">
        <v>54</v>
      </c>
      <c r="C427" t="s">
        <v>1559</v>
      </c>
      <c r="D427" t="s">
        <v>9</v>
      </c>
      <c r="E427" t="s">
        <v>3</v>
      </c>
      <c r="F427" t="s">
        <v>1553</v>
      </c>
      <c r="G427" t="s">
        <v>1474</v>
      </c>
      <c r="H427" s="4" t="str">
        <f t="shared" si="112"/>
        <v/>
      </c>
      <c r="I427" s="4" t="str">
        <f>IF(RIGHT(B427,1)="M",IF(AND(H427=1,E427="RFS",D427=INDEX('Station Depth Averages'!$A$3:$B$84,MATCH(B427,'Station Depth Averages'!$A$3:$A$84,0),2)),1,""),IF(AND(H427=1,OR(D427="SYN",D427="SRF",D427="MID")),1,IF(AND(H427=1,OR(E428="FDn",E428="LDn")),1,IF(AND(H427=1,OR(E427="FDn",E427="LDn")),1,""))))</f>
        <v/>
      </c>
      <c r="J427" s="4" t="str">
        <f t="shared" si="113"/>
        <v/>
      </c>
      <c r="K427" s="4" t="str">
        <f t="shared" si="114"/>
        <v/>
      </c>
      <c r="L427" s="4" t="str">
        <f t="shared" si="115"/>
        <v/>
      </c>
      <c r="M427" s="4" t="str">
        <f t="shared" si="116"/>
        <v/>
      </c>
      <c r="N427" s="4" t="str">
        <f t="shared" si="117"/>
        <v/>
      </c>
      <c r="O427" s="4" t="str">
        <f t="shared" si="118"/>
        <v/>
      </c>
      <c r="P427" s="4" t="str">
        <f t="shared" si="119"/>
        <v/>
      </c>
      <c r="Q427" s="4" t="str">
        <f t="shared" si="120"/>
        <v/>
      </c>
      <c r="R427" s="4" t="str">
        <f t="shared" si="121"/>
        <v/>
      </c>
      <c r="S427" s="4" t="str">
        <f t="shared" si="122"/>
        <v/>
      </c>
      <c r="T427" s="4">
        <f t="shared" si="123"/>
        <v>1</v>
      </c>
      <c r="U427">
        <f>IF(VLOOKUP(C427,'QA Table'!$Y$5:$Y$20,1,TRUE)=C427,1,0)</f>
        <v>0</v>
      </c>
      <c r="V427" t="str">
        <f t="shared" si="124"/>
        <v/>
      </c>
      <c r="W427" t="str">
        <f t="shared" si="125"/>
        <v/>
      </c>
      <c r="X427" t="str">
        <f t="shared" si="126"/>
        <v/>
      </c>
      <c r="Y427">
        <f t="shared" si="127"/>
        <v>0</v>
      </c>
      <c r="AA427" t="str">
        <f t="shared" si="128"/>
        <v/>
      </c>
    </row>
    <row r="428" spans="1:27" x14ac:dyDescent="0.2">
      <c r="A428" t="s">
        <v>23</v>
      </c>
      <c r="B428" t="s">
        <v>54</v>
      </c>
      <c r="C428" t="s">
        <v>1560</v>
      </c>
      <c r="D428" t="s">
        <v>10</v>
      </c>
      <c r="E428" t="s">
        <v>3</v>
      </c>
      <c r="F428" t="s">
        <v>1553</v>
      </c>
      <c r="G428" t="s">
        <v>1474</v>
      </c>
      <c r="H428" s="4" t="str">
        <f t="shared" si="112"/>
        <v/>
      </c>
      <c r="I428" s="4" t="str">
        <f>IF(RIGHT(B428,1)="M",IF(AND(H428=1,E428="RFS",D428=INDEX('Station Depth Averages'!$A$3:$B$84,MATCH(B428,'Station Depth Averages'!$A$3:$A$84,0),2)),1,""),IF(AND(H428=1,OR(D428="SYN",D428="SRF",D428="MID")),1,IF(AND(H428=1,OR(E429="FDn",E429="LDn")),1,IF(AND(H428=1,OR(E428="FDn",E428="LDn")),1,""))))</f>
        <v/>
      </c>
      <c r="J428" s="4" t="str">
        <f t="shared" si="113"/>
        <v/>
      </c>
      <c r="K428" s="4" t="str">
        <f t="shared" si="114"/>
        <v/>
      </c>
      <c r="L428" s="4" t="str">
        <f t="shared" si="115"/>
        <v/>
      </c>
      <c r="M428" s="4" t="str">
        <f t="shared" si="116"/>
        <v/>
      </c>
      <c r="N428" s="4" t="str">
        <f t="shared" si="117"/>
        <v/>
      </c>
      <c r="O428" s="4" t="str">
        <f t="shared" si="118"/>
        <v/>
      </c>
      <c r="P428" s="4" t="str">
        <f t="shared" si="119"/>
        <v/>
      </c>
      <c r="Q428" s="4" t="str">
        <f t="shared" si="120"/>
        <v/>
      </c>
      <c r="R428" s="4" t="str">
        <f t="shared" si="121"/>
        <v/>
      </c>
      <c r="S428" s="4" t="str">
        <f t="shared" si="122"/>
        <v/>
      </c>
      <c r="T428" s="4">
        <f t="shared" si="123"/>
        <v>1</v>
      </c>
      <c r="U428">
        <f>IF(VLOOKUP(C428,'QA Table'!$Y$5:$Y$20,1,TRUE)=C428,1,0)</f>
        <v>0</v>
      </c>
      <c r="V428" t="str">
        <f t="shared" si="124"/>
        <v/>
      </c>
      <c r="W428" t="str">
        <f t="shared" si="125"/>
        <v/>
      </c>
      <c r="X428" t="str">
        <f t="shared" si="126"/>
        <v/>
      </c>
      <c r="Y428">
        <f t="shared" si="127"/>
        <v>0</v>
      </c>
      <c r="AA428" t="str">
        <f t="shared" si="128"/>
        <v/>
      </c>
    </row>
    <row r="429" spans="1:27" x14ac:dyDescent="0.2">
      <c r="A429" t="s">
        <v>23</v>
      </c>
      <c r="B429" t="s">
        <v>55</v>
      </c>
      <c r="C429" t="s">
        <v>1561</v>
      </c>
      <c r="D429" t="s">
        <v>2</v>
      </c>
      <c r="E429" t="s">
        <v>3</v>
      </c>
      <c r="F429" t="s">
        <v>1562</v>
      </c>
      <c r="G429" t="s">
        <v>1474</v>
      </c>
      <c r="H429" s="4">
        <f t="shared" si="112"/>
        <v>1</v>
      </c>
      <c r="I429" s="4">
        <f>IF(RIGHT(B429,1)="M",IF(AND(H429=1,E429="RFS",D429=INDEX('Station Depth Averages'!$A$3:$B$84,MATCH(B429,'Station Depth Averages'!$A$3:$A$84,0),2)),1,""),IF(AND(H429=1,OR(D429="SYN",D429="SRF",D429="MID")),1,IF(AND(H429=1,OR(E430="FDn",E430="LDn")),1,IF(AND(H429=1,OR(E429="FDn",E429="LDn")),1,""))))</f>
        <v>1</v>
      </c>
      <c r="J429" s="4">
        <f t="shared" si="113"/>
        <v>1</v>
      </c>
      <c r="K429" s="4" t="str">
        <f t="shared" si="114"/>
        <v/>
      </c>
      <c r="L429" s="4" t="str">
        <f t="shared" si="115"/>
        <v/>
      </c>
      <c r="M429" s="4" t="str">
        <f t="shared" si="116"/>
        <v/>
      </c>
      <c r="N429" s="4" t="str">
        <f t="shared" si="117"/>
        <v/>
      </c>
      <c r="O429" s="4" t="str">
        <f t="shared" si="118"/>
        <v/>
      </c>
      <c r="P429" s="4" t="str">
        <f t="shared" si="119"/>
        <v/>
      </c>
      <c r="Q429" s="4" t="str">
        <f t="shared" si="120"/>
        <v/>
      </c>
      <c r="R429" s="4" t="str">
        <f t="shared" si="121"/>
        <v/>
      </c>
      <c r="S429" s="4" t="str">
        <f t="shared" si="122"/>
        <v/>
      </c>
      <c r="T429" s="4" t="str">
        <f t="shared" si="123"/>
        <v/>
      </c>
      <c r="U429">
        <f>IF(VLOOKUP(C429,'QA Table'!$Y$5:$Y$20,1,TRUE)=C429,1,0)</f>
        <v>0</v>
      </c>
      <c r="V429" t="str">
        <f t="shared" si="124"/>
        <v/>
      </c>
      <c r="W429" t="str">
        <f t="shared" si="125"/>
        <v/>
      </c>
      <c r="X429">
        <f t="shared" si="126"/>
        <v>4</v>
      </c>
      <c r="Y429">
        <f t="shared" si="127"/>
        <v>0</v>
      </c>
      <c r="AA429">
        <f t="shared" si="128"/>
        <v>1</v>
      </c>
    </row>
    <row r="430" spans="1:27" x14ac:dyDescent="0.2">
      <c r="A430" t="s">
        <v>23</v>
      </c>
      <c r="B430" t="s">
        <v>55</v>
      </c>
      <c r="C430" t="s">
        <v>1563</v>
      </c>
      <c r="D430" t="s">
        <v>1050</v>
      </c>
      <c r="E430" t="s">
        <v>3</v>
      </c>
      <c r="F430" t="s">
        <v>1562</v>
      </c>
      <c r="G430" t="s">
        <v>1474</v>
      </c>
      <c r="H430" s="4" t="str">
        <f t="shared" si="112"/>
        <v/>
      </c>
      <c r="I430" s="4" t="str">
        <f>IF(RIGHT(B430,1)="M",IF(AND(H430=1,E430="RFS",D430=INDEX('Station Depth Averages'!$A$3:$B$84,MATCH(B430,'Station Depth Averages'!$A$3:$A$84,0),2)),1,""),IF(AND(H430=1,OR(D430="SYN",D430="SRF",D430="MID")),1,IF(AND(H430=1,OR(E431="FDn",E431="LDn")),1,IF(AND(H430=1,OR(E430="FDn",E430="LDn")),1,""))))</f>
        <v/>
      </c>
      <c r="J430" s="4" t="str">
        <f t="shared" si="113"/>
        <v/>
      </c>
      <c r="K430" s="4" t="str">
        <f t="shared" si="114"/>
        <v/>
      </c>
      <c r="L430" s="4" t="str">
        <f t="shared" si="115"/>
        <v/>
      </c>
      <c r="M430" s="4" t="str">
        <f t="shared" si="116"/>
        <v/>
      </c>
      <c r="N430" s="4" t="str">
        <f t="shared" si="117"/>
        <v/>
      </c>
      <c r="O430" s="4" t="str">
        <f t="shared" si="118"/>
        <v/>
      </c>
      <c r="P430" s="4" t="str">
        <f t="shared" si="119"/>
        <v/>
      </c>
      <c r="Q430" s="4" t="str">
        <f t="shared" si="120"/>
        <v/>
      </c>
      <c r="R430" s="4" t="str">
        <f t="shared" si="121"/>
        <v/>
      </c>
      <c r="S430" s="4" t="str">
        <f t="shared" si="122"/>
        <v/>
      </c>
      <c r="T430" s="4" t="str">
        <f t="shared" si="123"/>
        <v/>
      </c>
      <c r="U430">
        <f>IF(VLOOKUP(C430,'QA Table'!$Y$5:$Y$20,1,TRUE)=C430,1,0)</f>
        <v>0</v>
      </c>
      <c r="V430" t="str">
        <f t="shared" si="124"/>
        <v/>
      </c>
      <c r="W430" t="str">
        <f t="shared" si="125"/>
        <v/>
      </c>
      <c r="X430" t="str">
        <f t="shared" si="126"/>
        <v/>
      </c>
      <c r="Y430">
        <f t="shared" si="127"/>
        <v>0</v>
      </c>
      <c r="AA430" t="str">
        <f t="shared" si="128"/>
        <v/>
      </c>
    </row>
    <row r="431" spans="1:27" x14ac:dyDescent="0.2">
      <c r="A431" t="s">
        <v>23</v>
      </c>
      <c r="B431" t="s">
        <v>55</v>
      </c>
      <c r="C431" t="s">
        <v>1564</v>
      </c>
      <c r="D431" t="s">
        <v>4</v>
      </c>
      <c r="E431" t="s">
        <v>3</v>
      </c>
      <c r="F431" t="s">
        <v>1562</v>
      </c>
      <c r="G431" t="s">
        <v>1474</v>
      </c>
      <c r="H431" s="4" t="str">
        <f t="shared" si="112"/>
        <v/>
      </c>
      <c r="I431" s="4" t="str">
        <f>IF(RIGHT(B431,1)="M",IF(AND(H431=1,E431="RFS",D431=INDEX('Station Depth Averages'!$A$3:$B$84,MATCH(B431,'Station Depth Averages'!$A$3:$A$84,0),2)),1,""),IF(AND(H431=1,OR(D431="SYN",D431="SRF",D431="MID")),1,IF(AND(H431=1,OR(E432="FDn",E432="LDn")),1,IF(AND(H431=1,OR(E431="FDn",E431="LDn")),1,""))))</f>
        <v/>
      </c>
      <c r="J431" s="4" t="str">
        <f t="shared" si="113"/>
        <v/>
      </c>
      <c r="K431" s="4" t="str">
        <f t="shared" si="114"/>
        <v/>
      </c>
      <c r="L431" s="4" t="str">
        <f t="shared" si="115"/>
        <v/>
      </c>
      <c r="M431" s="4" t="str">
        <f t="shared" si="116"/>
        <v/>
      </c>
      <c r="N431" s="4" t="str">
        <f t="shared" si="117"/>
        <v/>
      </c>
      <c r="O431" s="4" t="str">
        <f t="shared" si="118"/>
        <v/>
      </c>
      <c r="P431" s="4" t="str">
        <f t="shared" si="119"/>
        <v/>
      </c>
      <c r="Q431" s="4" t="str">
        <f t="shared" si="120"/>
        <v/>
      </c>
      <c r="R431" s="4" t="str">
        <f t="shared" si="121"/>
        <v/>
      </c>
      <c r="S431" s="4" t="str">
        <f t="shared" si="122"/>
        <v/>
      </c>
      <c r="T431" s="4" t="str">
        <f t="shared" si="123"/>
        <v/>
      </c>
      <c r="U431">
        <f>IF(VLOOKUP(C431,'QA Table'!$Y$5:$Y$20,1,TRUE)=C431,1,0)</f>
        <v>0</v>
      </c>
      <c r="V431" t="str">
        <f t="shared" si="124"/>
        <v/>
      </c>
      <c r="W431" t="str">
        <f t="shared" si="125"/>
        <v/>
      </c>
      <c r="X431" t="str">
        <f t="shared" si="126"/>
        <v/>
      </c>
      <c r="Y431">
        <f t="shared" si="127"/>
        <v>0</v>
      </c>
      <c r="AA431" t="str">
        <f t="shared" si="128"/>
        <v/>
      </c>
    </row>
    <row r="432" spans="1:27" x14ac:dyDescent="0.2">
      <c r="A432" t="s">
        <v>23</v>
      </c>
      <c r="B432" t="s">
        <v>55</v>
      </c>
      <c r="C432" t="s">
        <v>1076</v>
      </c>
      <c r="D432" t="s">
        <v>119</v>
      </c>
      <c r="E432" t="s">
        <v>3</v>
      </c>
      <c r="F432" t="s">
        <v>1562</v>
      </c>
      <c r="G432" t="s">
        <v>1474</v>
      </c>
      <c r="H432" s="4">
        <f t="shared" si="112"/>
        <v>1</v>
      </c>
      <c r="I432" s="4">
        <f>IF(RIGHT(B432,1)="M",IF(AND(H432=1,E432="RFS",D432=INDEX('Station Depth Averages'!$A$3:$B$84,MATCH(B432,'Station Depth Averages'!$A$3:$A$84,0),2)),1,""),IF(AND(H432=1,OR(D432="SYN",D432="SRF",D432="MID")),1,IF(AND(H432=1,OR(E433="FDn",E433="LDn")),1,IF(AND(H432=1,OR(E432="FDn",E432="LDn")),1,""))))</f>
        <v>1</v>
      </c>
      <c r="J432" s="4">
        <f t="shared" si="113"/>
        <v>1</v>
      </c>
      <c r="K432" s="4" t="str">
        <f t="shared" si="114"/>
        <v/>
      </c>
      <c r="L432" s="4" t="str">
        <f t="shared" si="115"/>
        <v/>
      </c>
      <c r="M432" s="4" t="str">
        <f t="shared" si="116"/>
        <v/>
      </c>
      <c r="N432" s="4" t="str">
        <f t="shared" si="117"/>
        <v/>
      </c>
      <c r="O432" s="4" t="str">
        <f t="shared" si="118"/>
        <v/>
      </c>
      <c r="P432" s="4" t="str">
        <f t="shared" si="119"/>
        <v/>
      </c>
      <c r="Q432" s="4" t="str">
        <f t="shared" si="120"/>
        <v/>
      </c>
      <c r="R432" s="4" t="str">
        <f t="shared" si="121"/>
        <v/>
      </c>
      <c r="S432" s="4" t="str">
        <f t="shared" si="122"/>
        <v/>
      </c>
      <c r="T432" s="4" t="str">
        <f t="shared" si="123"/>
        <v/>
      </c>
      <c r="U432">
        <f>IF(VLOOKUP(C432,'QA Table'!$Y$5:$Y$20,1,TRUE)=C432,1,0)</f>
        <v>1</v>
      </c>
      <c r="V432" t="str">
        <f t="shared" si="124"/>
        <v/>
      </c>
      <c r="W432" t="str">
        <f t="shared" si="125"/>
        <v/>
      </c>
      <c r="X432">
        <f t="shared" si="126"/>
        <v>4</v>
      </c>
      <c r="Y432">
        <f t="shared" si="127"/>
        <v>1</v>
      </c>
      <c r="AA432">
        <f t="shared" si="128"/>
        <v>1</v>
      </c>
    </row>
    <row r="433" spans="1:27" x14ac:dyDescent="0.2">
      <c r="A433" t="s">
        <v>23</v>
      </c>
      <c r="B433" t="s">
        <v>55</v>
      </c>
      <c r="C433" t="s">
        <v>1565</v>
      </c>
      <c r="D433" t="s">
        <v>6</v>
      </c>
      <c r="E433" t="s">
        <v>3</v>
      </c>
      <c r="F433" t="s">
        <v>1562</v>
      </c>
      <c r="G433" t="s">
        <v>1474</v>
      </c>
      <c r="H433" s="4">
        <f t="shared" si="112"/>
        <v>1</v>
      </c>
      <c r="I433" s="4" t="str">
        <f>IF(RIGHT(B433,1)="M",IF(AND(H433=1,E433="RFS",D433=INDEX('Station Depth Averages'!$A$3:$B$84,MATCH(B433,'Station Depth Averages'!$A$3:$A$84,0),2)),1,""),IF(AND(H433=1,OR(D433="SYN",D433="SRF",D433="MID")),1,IF(AND(H433=1,OR(E434="FDn",E434="LDn")),1,IF(AND(H433=1,OR(E433="FDn",E433="LDn")),1,""))))</f>
        <v/>
      </c>
      <c r="J433" s="4">
        <f t="shared" si="113"/>
        <v>1</v>
      </c>
      <c r="K433" s="4" t="str">
        <f t="shared" si="114"/>
        <v/>
      </c>
      <c r="L433" s="4" t="str">
        <f t="shared" si="115"/>
        <v/>
      </c>
      <c r="M433" s="4" t="str">
        <f t="shared" si="116"/>
        <v/>
      </c>
      <c r="N433" s="4" t="str">
        <f t="shared" si="117"/>
        <v/>
      </c>
      <c r="O433" s="4" t="str">
        <f t="shared" si="118"/>
        <v/>
      </c>
      <c r="P433" s="4" t="str">
        <f t="shared" si="119"/>
        <v/>
      </c>
      <c r="Q433" s="4" t="str">
        <f t="shared" si="120"/>
        <v/>
      </c>
      <c r="R433" s="4" t="str">
        <f t="shared" si="121"/>
        <v/>
      </c>
      <c r="S433" s="4" t="str">
        <f t="shared" si="122"/>
        <v/>
      </c>
      <c r="T433" s="4" t="str">
        <f t="shared" si="123"/>
        <v/>
      </c>
      <c r="U433">
        <f>IF(VLOOKUP(C433,'QA Table'!$Y$5:$Y$20,1,TRUE)=C433,1,0)</f>
        <v>0</v>
      </c>
      <c r="V433" t="str">
        <f t="shared" si="124"/>
        <v/>
      </c>
      <c r="W433" t="str">
        <f t="shared" si="125"/>
        <v/>
      </c>
      <c r="X433">
        <f t="shared" si="126"/>
        <v>4</v>
      </c>
      <c r="Y433">
        <f t="shared" si="127"/>
        <v>0</v>
      </c>
      <c r="AA433">
        <f t="shared" si="128"/>
        <v>1</v>
      </c>
    </row>
    <row r="434" spans="1:27" x14ac:dyDescent="0.2">
      <c r="A434" t="s">
        <v>23</v>
      </c>
      <c r="B434" t="s">
        <v>55</v>
      </c>
      <c r="C434" t="s">
        <v>1566</v>
      </c>
      <c r="D434" t="s">
        <v>8</v>
      </c>
      <c r="E434" t="s">
        <v>3</v>
      </c>
      <c r="F434" t="s">
        <v>1562</v>
      </c>
      <c r="G434" t="s">
        <v>1474</v>
      </c>
      <c r="H434" s="4">
        <f t="shared" si="112"/>
        <v>1</v>
      </c>
      <c r="I434" s="4" t="str">
        <f>IF(RIGHT(B434,1)="M",IF(AND(H434=1,E434="RFS",D434=INDEX('Station Depth Averages'!$A$3:$B$84,MATCH(B434,'Station Depth Averages'!$A$3:$A$84,0),2)),1,""),IF(AND(H434=1,OR(D434="SYN",D434="SRF",D434="MID")),1,IF(AND(H434=1,OR(E435="FDn",E435="LDn")),1,IF(AND(H434=1,OR(E434="FDn",E434="LDn")),1,""))))</f>
        <v/>
      </c>
      <c r="J434" s="4" t="str">
        <f t="shared" si="113"/>
        <v/>
      </c>
      <c r="K434" s="4">
        <f t="shared" si="114"/>
        <v>1</v>
      </c>
      <c r="L434" s="4" t="str">
        <f t="shared" si="115"/>
        <v/>
      </c>
      <c r="M434" s="4" t="str">
        <f t="shared" si="116"/>
        <v/>
      </c>
      <c r="N434" s="4" t="str">
        <f t="shared" si="117"/>
        <v/>
      </c>
      <c r="O434" s="4" t="str">
        <f t="shared" si="118"/>
        <v/>
      </c>
      <c r="P434" s="4" t="str">
        <f t="shared" si="119"/>
        <v/>
      </c>
      <c r="Q434" s="4">
        <f t="shared" si="120"/>
        <v>1</v>
      </c>
      <c r="R434" s="4" t="str">
        <f t="shared" si="121"/>
        <v/>
      </c>
      <c r="S434" s="4" t="str">
        <f t="shared" si="122"/>
        <v/>
      </c>
      <c r="T434" s="4" t="str">
        <f t="shared" si="123"/>
        <v/>
      </c>
      <c r="U434">
        <f>IF(VLOOKUP(C434,'QA Table'!$Y$5:$Y$20,1,TRUE)=C434,1,0)</f>
        <v>0</v>
      </c>
      <c r="V434" t="str">
        <f t="shared" si="124"/>
        <v/>
      </c>
      <c r="W434" t="str">
        <f t="shared" si="125"/>
        <v/>
      </c>
      <c r="X434">
        <f t="shared" si="126"/>
        <v>4</v>
      </c>
      <c r="Y434">
        <f t="shared" si="127"/>
        <v>0</v>
      </c>
      <c r="AA434">
        <f t="shared" si="128"/>
        <v>1</v>
      </c>
    </row>
    <row r="435" spans="1:27" x14ac:dyDescent="0.2">
      <c r="A435" t="s">
        <v>23</v>
      </c>
      <c r="B435" t="s">
        <v>55</v>
      </c>
      <c r="C435" t="s">
        <v>1567</v>
      </c>
      <c r="D435" t="s">
        <v>9</v>
      </c>
      <c r="E435" t="s">
        <v>3</v>
      </c>
      <c r="F435" t="s">
        <v>1562</v>
      </c>
      <c r="G435" t="s">
        <v>1474</v>
      </c>
      <c r="H435" s="4" t="str">
        <f t="shared" si="112"/>
        <v/>
      </c>
      <c r="I435" s="4" t="str">
        <f>IF(RIGHT(B435,1)="M",IF(AND(H435=1,E435="RFS",D435=INDEX('Station Depth Averages'!$A$3:$B$84,MATCH(B435,'Station Depth Averages'!$A$3:$A$84,0),2)),1,""),IF(AND(H435=1,OR(D435="SYN",D435="SRF",D435="MID")),1,IF(AND(H435=1,OR(E436="FDn",E436="LDn")),1,IF(AND(H435=1,OR(E435="FDn",E435="LDn")),1,""))))</f>
        <v/>
      </c>
      <c r="J435" s="4" t="str">
        <f t="shared" si="113"/>
        <v/>
      </c>
      <c r="K435" s="4" t="str">
        <f t="shared" si="114"/>
        <v/>
      </c>
      <c r="L435" s="4" t="str">
        <f t="shared" si="115"/>
        <v/>
      </c>
      <c r="M435" s="4" t="str">
        <f t="shared" si="116"/>
        <v/>
      </c>
      <c r="N435" s="4" t="str">
        <f t="shared" si="117"/>
        <v/>
      </c>
      <c r="O435" s="4" t="str">
        <f t="shared" si="118"/>
        <v/>
      </c>
      <c r="P435" s="4" t="str">
        <f t="shared" si="119"/>
        <v/>
      </c>
      <c r="Q435" s="4" t="str">
        <f t="shared" si="120"/>
        <v/>
      </c>
      <c r="R435" s="4" t="str">
        <f t="shared" si="121"/>
        <v/>
      </c>
      <c r="S435" s="4" t="str">
        <f t="shared" si="122"/>
        <v/>
      </c>
      <c r="T435" s="4">
        <f t="shared" si="123"/>
        <v>1</v>
      </c>
      <c r="U435">
        <f>IF(VLOOKUP(C435,'QA Table'!$Y$5:$Y$20,1,TRUE)=C435,1,0)</f>
        <v>0</v>
      </c>
      <c r="V435" t="str">
        <f t="shared" si="124"/>
        <v/>
      </c>
      <c r="W435" t="str">
        <f t="shared" si="125"/>
        <v/>
      </c>
      <c r="X435" t="str">
        <f t="shared" si="126"/>
        <v/>
      </c>
      <c r="Y435">
        <f t="shared" si="127"/>
        <v>0</v>
      </c>
      <c r="AA435" t="str">
        <f t="shared" si="128"/>
        <v/>
      </c>
    </row>
    <row r="436" spans="1:27" x14ac:dyDescent="0.2">
      <c r="A436" t="s">
        <v>23</v>
      </c>
      <c r="B436" t="s">
        <v>55</v>
      </c>
      <c r="C436" t="s">
        <v>1568</v>
      </c>
      <c r="D436" t="s">
        <v>10</v>
      </c>
      <c r="E436" t="s">
        <v>3</v>
      </c>
      <c r="F436" t="s">
        <v>1562</v>
      </c>
      <c r="G436" t="s">
        <v>1474</v>
      </c>
      <c r="H436" s="4" t="str">
        <f t="shared" si="112"/>
        <v/>
      </c>
      <c r="I436" s="4" t="str">
        <f>IF(RIGHT(B436,1)="M",IF(AND(H436=1,E436="RFS",D436=INDEX('Station Depth Averages'!$A$3:$B$84,MATCH(B436,'Station Depth Averages'!$A$3:$A$84,0),2)),1,""),IF(AND(H436=1,OR(D436="SYN",D436="SRF",D436="MID")),1,IF(AND(H436=1,OR(E437="FDn",E437="LDn")),1,IF(AND(H436=1,OR(E436="FDn",E436="LDn")),1,""))))</f>
        <v/>
      </c>
      <c r="J436" s="4" t="str">
        <f t="shared" si="113"/>
        <v/>
      </c>
      <c r="K436" s="4" t="str">
        <f t="shared" si="114"/>
        <v/>
      </c>
      <c r="L436" s="4" t="str">
        <f t="shared" si="115"/>
        <v/>
      </c>
      <c r="M436" s="4" t="str">
        <f t="shared" si="116"/>
        <v/>
      </c>
      <c r="N436" s="4" t="str">
        <f t="shared" si="117"/>
        <v/>
      </c>
      <c r="O436" s="4" t="str">
        <f t="shared" si="118"/>
        <v/>
      </c>
      <c r="P436" s="4" t="str">
        <f t="shared" si="119"/>
        <v/>
      </c>
      <c r="Q436" s="4" t="str">
        <f t="shared" si="120"/>
        <v/>
      </c>
      <c r="R436" s="4" t="str">
        <f t="shared" si="121"/>
        <v/>
      </c>
      <c r="S436" s="4" t="str">
        <f t="shared" si="122"/>
        <v/>
      </c>
      <c r="T436" s="4">
        <f t="shared" si="123"/>
        <v>1</v>
      </c>
      <c r="U436">
        <f>IF(VLOOKUP(C436,'QA Table'!$Y$5:$Y$20,1,TRUE)=C436,1,0)</f>
        <v>0</v>
      </c>
      <c r="V436" t="str">
        <f t="shared" si="124"/>
        <v/>
      </c>
      <c r="W436" t="str">
        <f t="shared" si="125"/>
        <v/>
      </c>
      <c r="X436" t="str">
        <f t="shared" si="126"/>
        <v/>
      </c>
      <c r="Y436">
        <f t="shared" si="127"/>
        <v>0</v>
      </c>
      <c r="AA436" t="str">
        <f t="shared" si="128"/>
        <v/>
      </c>
    </row>
    <row r="437" spans="1:27" x14ac:dyDescent="0.2">
      <c r="A437" t="s">
        <v>23</v>
      </c>
      <c r="B437" t="s">
        <v>56</v>
      </c>
      <c r="C437" t="s">
        <v>1569</v>
      </c>
      <c r="D437" t="s">
        <v>14</v>
      </c>
      <c r="E437" t="s">
        <v>15</v>
      </c>
      <c r="F437" t="s">
        <v>1570</v>
      </c>
      <c r="G437" t="s">
        <v>1474</v>
      </c>
      <c r="H437" s="4">
        <f t="shared" si="112"/>
        <v>1</v>
      </c>
      <c r="I437" s="4">
        <f>IF(RIGHT(B437,1)="M",IF(AND(H437=1,E437="RFS",D437=INDEX('Station Depth Averages'!$A$3:$B$84,MATCH(B437,'Station Depth Averages'!$A$3:$A$84,0),2)),1,""),IF(AND(H437=1,OR(D437="SYN",D437="SRF",D437="MID")),1,IF(AND(H437=1,OR(E438="FDn",E438="LDn")),1,IF(AND(H437=1,OR(E437="FDn",E437="LDn")),1,""))))</f>
        <v>1</v>
      </c>
      <c r="J437" s="4">
        <f t="shared" si="113"/>
        <v>1</v>
      </c>
      <c r="K437" s="4" t="str">
        <f t="shared" si="114"/>
        <v/>
      </c>
      <c r="L437" s="4" t="str">
        <f t="shared" si="115"/>
        <v/>
      </c>
      <c r="M437" s="4" t="str">
        <f t="shared" si="116"/>
        <v/>
      </c>
      <c r="N437" s="4" t="str">
        <f t="shared" si="117"/>
        <v/>
      </c>
      <c r="O437" s="4" t="str">
        <f t="shared" si="118"/>
        <v/>
      </c>
      <c r="P437" s="4" t="str">
        <f t="shared" si="119"/>
        <v/>
      </c>
      <c r="Q437" s="4" t="str">
        <f t="shared" si="120"/>
        <v/>
      </c>
      <c r="R437" s="4" t="str">
        <f t="shared" si="121"/>
        <v/>
      </c>
      <c r="S437" s="4" t="str">
        <f t="shared" si="122"/>
        <v/>
      </c>
      <c r="T437" s="4" t="str">
        <f t="shared" si="123"/>
        <v/>
      </c>
      <c r="U437">
        <f>IF(VLOOKUP(C437,'QA Table'!$Y$5:$Y$20,1,TRUE)=C437,1,0)</f>
        <v>0</v>
      </c>
      <c r="V437" t="str">
        <f t="shared" si="124"/>
        <v/>
      </c>
      <c r="W437" t="str">
        <f t="shared" si="125"/>
        <v/>
      </c>
      <c r="X437">
        <f t="shared" si="126"/>
        <v>4</v>
      </c>
      <c r="Y437">
        <f t="shared" si="127"/>
        <v>0</v>
      </c>
      <c r="AA437">
        <f t="shared" si="128"/>
        <v>1</v>
      </c>
    </row>
    <row r="438" spans="1:27" x14ac:dyDescent="0.2">
      <c r="A438" t="s">
        <v>23</v>
      </c>
      <c r="B438" t="s">
        <v>56</v>
      </c>
      <c r="C438" t="s">
        <v>1073</v>
      </c>
      <c r="D438" t="s">
        <v>2</v>
      </c>
      <c r="E438" t="s">
        <v>3</v>
      </c>
      <c r="F438" t="s">
        <v>1570</v>
      </c>
      <c r="G438" t="s">
        <v>1474</v>
      </c>
      <c r="H438" s="4">
        <f t="shared" si="112"/>
        <v>1</v>
      </c>
      <c r="I438" s="4">
        <f>IF(RIGHT(B438,1)="M",IF(AND(H438=1,E438="RFS",D438=INDEX('Station Depth Averages'!$A$3:$B$84,MATCH(B438,'Station Depth Averages'!$A$3:$A$84,0),2)),1,""),IF(AND(H438=1,OR(D438="SYN",D438="SRF",D438="MID")),1,IF(AND(H438=1,OR(E439="FDn",E439="LDn")),1,IF(AND(H438=1,OR(E438="FDn",E438="LDn")),1,""))))</f>
        <v>1</v>
      </c>
      <c r="J438" s="4">
        <f t="shared" si="113"/>
        <v>1</v>
      </c>
      <c r="K438" s="4" t="str">
        <f t="shared" si="114"/>
        <v/>
      </c>
      <c r="L438" s="4" t="str">
        <f t="shared" si="115"/>
        <v/>
      </c>
      <c r="M438" s="4" t="str">
        <f t="shared" si="116"/>
        <v/>
      </c>
      <c r="N438" s="4" t="str">
        <f t="shared" si="117"/>
        <v/>
      </c>
      <c r="O438" s="4" t="str">
        <f t="shared" si="118"/>
        <v/>
      </c>
      <c r="P438" s="4" t="str">
        <f t="shared" si="119"/>
        <v/>
      </c>
      <c r="Q438" s="4" t="str">
        <f t="shared" si="120"/>
        <v/>
      </c>
      <c r="R438" s="4" t="str">
        <f t="shared" si="121"/>
        <v/>
      </c>
      <c r="S438" s="4" t="str">
        <f t="shared" si="122"/>
        <v/>
      </c>
      <c r="T438" s="4" t="str">
        <f t="shared" si="123"/>
        <v/>
      </c>
      <c r="U438">
        <f>IF(VLOOKUP(C438,'QA Table'!$Y$5:$Y$20,1,TRUE)=C438,1,0)</f>
        <v>0</v>
      </c>
      <c r="V438" t="str">
        <f t="shared" si="124"/>
        <v/>
      </c>
      <c r="W438" t="str">
        <f t="shared" si="125"/>
        <v/>
      </c>
      <c r="X438">
        <f t="shared" si="126"/>
        <v>4</v>
      </c>
      <c r="Y438">
        <f t="shared" si="127"/>
        <v>0</v>
      </c>
      <c r="AA438">
        <f t="shared" si="128"/>
        <v>1</v>
      </c>
    </row>
    <row r="439" spans="1:27" x14ac:dyDescent="0.2">
      <c r="A439" t="s">
        <v>23</v>
      </c>
      <c r="B439" t="s">
        <v>56</v>
      </c>
      <c r="C439" t="s">
        <v>1571</v>
      </c>
      <c r="D439" t="s">
        <v>1050</v>
      </c>
      <c r="E439" t="s">
        <v>3</v>
      </c>
      <c r="F439" t="s">
        <v>1570</v>
      </c>
      <c r="G439" t="s">
        <v>1474</v>
      </c>
      <c r="H439" s="4" t="str">
        <f t="shared" si="112"/>
        <v/>
      </c>
      <c r="I439" s="4" t="str">
        <f>IF(RIGHT(B439,1)="M",IF(AND(H439=1,E439="RFS",D439=INDEX('Station Depth Averages'!$A$3:$B$84,MATCH(B439,'Station Depth Averages'!$A$3:$A$84,0),2)),1,""),IF(AND(H439=1,OR(D439="SYN",D439="SRF",D439="MID")),1,IF(AND(H439=1,OR(E440="FDn",E440="LDn")),1,IF(AND(H439=1,OR(E439="FDn",E439="LDn")),1,""))))</f>
        <v/>
      </c>
      <c r="J439" s="4" t="str">
        <f t="shared" si="113"/>
        <v/>
      </c>
      <c r="K439" s="4" t="str">
        <f t="shared" si="114"/>
        <v/>
      </c>
      <c r="L439" s="4" t="str">
        <f t="shared" si="115"/>
        <v/>
      </c>
      <c r="M439" s="4" t="str">
        <f t="shared" si="116"/>
        <v/>
      </c>
      <c r="N439" s="4" t="str">
        <f t="shared" si="117"/>
        <v/>
      </c>
      <c r="O439" s="4" t="str">
        <f t="shared" si="118"/>
        <v/>
      </c>
      <c r="P439" s="4" t="str">
        <f t="shared" si="119"/>
        <v/>
      </c>
      <c r="Q439" s="4" t="str">
        <f t="shared" si="120"/>
        <v/>
      </c>
      <c r="R439" s="4" t="str">
        <f t="shared" si="121"/>
        <v/>
      </c>
      <c r="S439" s="4" t="str">
        <f t="shared" si="122"/>
        <v/>
      </c>
      <c r="T439" s="4" t="str">
        <f t="shared" si="123"/>
        <v/>
      </c>
      <c r="U439">
        <f>IF(VLOOKUP(C439,'QA Table'!$Y$5:$Y$20,1,TRUE)=C439,1,0)</f>
        <v>0</v>
      </c>
      <c r="V439" t="str">
        <f t="shared" si="124"/>
        <v/>
      </c>
      <c r="W439" t="str">
        <f t="shared" si="125"/>
        <v/>
      </c>
      <c r="X439" t="str">
        <f t="shared" si="126"/>
        <v/>
      </c>
      <c r="Y439">
        <f t="shared" si="127"/>
        <v>0</v>
      </c>
      <c r="AA439" t="str">
        <f t="shared" si="128"/>
        <v/>
      </c>
    </row>
    <row r="440" spans="1:27" x14ac:dyDescent="0.2">
      <c r="A440" t="s">
        <v>23</v>
      </c>
      <c r="B440" t="s">
        <v>56</v>
      </c>
      <c r="C440" t="s">
        <v>1572</v>
      </c>
      <c r="D440" t="s">
        <v>4</v>
      </c>
      <c r="E440" t="s">
        <v>3</v>
      </c>
      <c r="F440" t="s">
        <v>1570</v>
      </c>
      <c r="G440" t="s">
        <v>1474</v>
      </c>
      <c r="H440" s="4" t="str">
        <f t="shared" si="112"/>
        <v/>
      </c>
      <c r="I440" s="4" t="str">
        <f>IF(RIGHT(B440,1)="M",IF(AND(H440=1,E440="RFS",D440=INDEX('Station Depth Averages'!$A$3:$B$84,MATCH(B440,'Station Depth Averages'!$A$3:$A$84,0),2)),1,""),IF(AND(H440=1,OR(D440="SYN",D440="SRF",D440="MID")),1,IF(AND(H440=1,OR(E441="FDn",E441="LDn")),1,IF(AND(H440=1,OR(E440="FDn",E440="LDn")),1,""))))</f>
        <v/>
      </c>
      <c r="J440" s="4" t="str">
        <f t="shared" si="113"/>
        <v/>
      </c>
      <c r="K440" s="4" t="str">
        <f t="shared" si="114"/>
        <v/>
      </c>
      <c r="L440" s="4" t="str">
        <f t="shared" si="115"/>
        <v/>
      </c>
      <c r="M440" s="4" t="str">
        <f t="shared" si="116"/>
        <v/>
      </c>
      <c r="N440" s="4" t="str">
        <f t="shared" si="117"/>
        <v/>
      </c>
      <c r="O440" s="4" t="str">
        <f t="shared" si="118"/>
        <v/>
      </c>
      <c r="P440" s="4" t="str">
        <f t="shared" si="119"/>
        <v/>
      </c>
      <c r="Q440" s="4" t="str">
        <f t="shared" si="120"/>
        <v/>
      </c>
      <c r="R440" s="4" t="str">
        <f t="shared" si="121"/>
        <v/>
      </c>
      <c r="S440" s="4" t="str">
        <f t="shared" si="122"/>
        <v/>
      </c>
      <c r="T440" s="4" t="str">
        <f t="shared" si="123"/>
        <v/>
      </c>
      <c r="U440">
        <f>IF(VLOOKUP(C440,'QA Table'!$Y$5:$Y$20,1,TRUE)=C440,1,0)</f>
        <v>0</v>
      </c>
      <c r="V440" t="str">
        <f t="shared" si="124"/>
        <v/>
      </c>
      <c r="W440" t="str">
        <f t="shared" si="125"/>
        <v/>
      </c>
      <c r="X440" t="str">
        <f t="shared" si="126"/>
        <v/>
      </c>
      <c r="Y440">
        <f t="shared" si="127"/>
        <v>0</v>
      </c>
      <c r="AA440" t="str">
        <f t="shared" si="128"/>
        <v/>
      </c>
    </row>
    <row r="441" spans="1:27" x14ac:dyDescent="0.2">
      <c r="A441" t="s">
        <v>23</v>
      </c>
      <c r="B441" t="s">
        <v>56</v>
      </c>
      <c r="C441" t="s">
        <v>1573</v>
      </c>
      <c r="D441" t="s">
        <v>119</v>
      </c>
      <c r="E441" t="s">
        <v>3</v>
      </c>
      <c r="F441" t="s">
        <v>1570</v>
      </c>
      <c r="G441" t="s">
        <v>1474</v>
      </c>
      <c r="H441" s="4">
        <f t="shared" si="112"/>
        <v>1</v>
      </c>
      <c r="I441" s="4">
        <f>IF(RIGHT(B441,1)="M",IF(AND(H441=1,E441="RFS",D441=INDEX('Station Depth Averages'!$A$3:$B$84,MATCH(B441,'Station Depth Averages'!$A$3:$A$84,0),2)),1,""),IF(AND(H441=1,OR(D441="SYN",D441="SRF",D441="MID")),1,IF(AND(H441=1,OR(E442="FDn",E442="LDn")),1,IF(AND(H441=1,OR(E441="FDn",E441="LDn")),1,""))))</f>
        <v>1</v>
      </c>
      <c r="J441" s="4">
        <f t="shared" si="113"/>
        <v>1</v>
      </c>
      <c r="K441" s="4" t="str">
        <f t="shared" si="114"/>
        <v/>
      </c>
      <c r="L441" s="4" t="str">
        <f t="shared" si="115"/>
        <v/>
      </c>
      <c r="M441" s="4" t="str">
        <f t="shared" si="116"/>
        <v/>
      </c>
      <c r="N441" s="4" t="str">
        <f t="shared" si="117"/>
        <v/>
      </c>
      <c r="O441" s="4" t="str">
        <f t="shared" si="118"/>
        <v/>
      </c>
      <c r="P441" s="4" t="str">
        <f t="shared" si="119"/>
        <v/>
      </c>
      <c r="Q441" s="4" t="str">
        <f t="shared" si="120"/>
        <v/>
      </c>
      <c r="R441" s="4" t="str">
        <f t="shared" si="121"/>
        <v/>
      </c>
      <c r="S441" s="4" t="str">
        <f t="shared" si="122"/>
        <v/>
      </c>
      <c r="T441" s="4" t="str">
        <f t="shared" si="123"/>
        <v/>
      </c>
      <c r="U441">
        <f>IF(VLOOKUP(C441,'QA Table'!$Y$5:$Y$20,1,TRUE)=C441,1,0)</f>
        <v>0</v>
      </c>
      <c r="V441" t="str">
        <f t="shared" si="124"/>
        <v/>
      </c>
      <c r="W441" t="str">
        <f t="shared" si="125"/>
        <v/>
      </c>
      <c r="X441">
        <f t="shared" si="126"/>
        <v>4</v>
      </c>
      <c r="Y441">
        <f t="shared" si="127"/>
        <v>0</v>
      </c>
      <c r="AA441">
        <f t="shared" si="128"/>
        <v>1</v>
      </c>
    </row>
    <row r="442" spans="1:27" x14ac:dyDescent="0.2">
      <c r="A442" t="s">
        <v>23</v>
      </c>
      <c r="B442" t="s">
        <v>56</v>
      </c>
      <c r="C442" t="s">
        <v>1075</v>
      </c>
      <c r="D442" t="s">
        <v>6</v>
      </c>
      <c r="E442" t="s">
        <v>3</v>
      </c>
      <c r="F442" t="s">
        <v>1570</v>
      </c>
      <c r="G442" t="s">
        <v>1474</v>
      </c>
      <c r="H442" s="4">
        <f t="shared" si="112"/>
        <v>1</v>
      </c>
      <c r="I442" s="4">
        <f>IF(RIGHT(B442,1)="M",IF(AND(H442=1,E442="RFS",D442=INDEX('Station Depth Averages'!$A$3:$B$84,MATCH(B442,'Station Depth Averages'!$A$3:$A$84,0),2)),1,""),IF(AND(H442=1,OR(D442="SYN",D442="SRF",D442="MID")),1,IF(AND(H442=1,OR(E443="FDn",E443="LDn")),1,IF(AND(H442=1,OR(E442="FDn",E442="LDn")),1,""))))</f>
        <v>1</v>
      </c>
      <c r="J442" s="4">
        <f t="shared" si="113"/>
        <v>1</v>
      </c>
      <c r="K442" s="4" t="str">
        <f t="shared" si="114"/>
        <v/>
      </c>
      <c r="L442" s="4" t="str">
        <f t="shared" si="115"/>
        <v/>
      </c>
      <c r="M442" s="4" t="str">
        <f t="shared" si="116"/>
        <v/>
      </c>
      <c r="N442" s="4" t="str">
        <f t="shared" si="117"/>
        <v/>
      </c>
      <c r="O442" s="4" t="str">
        <f t="shared" si="118"/>
        <v/>
      </c>
      <c r="P442" s="4" t="str">
        <f t="shared" si="119"/>
        <v/>
      </c>
      <c r="Q442" s="4" t="str">
        <f t="shared" si="120"/>
        <v/>
      </c>
      <c r="R442" s="4" t="str">
        <f t="shared" si="121"/>
        <v/>
      </c>
      <c r="S442" s="4" t="str">
        <f t="shared" si="122"/>
        <v/>
      </c>
      <c r="T442" s="4" t="str">
        <f t="shared" si="123"/>
        <v/>
      </c>
      <c r="U442">
        <f>IF(VLOOKUP(C442,'QA Table'!$Y$5:$Y$20,1,TRUE)=C442,1,0)</f>
        <v>0</v>
      </c>
      <c r="V442" t="str">
        <f t="shared" si="124"/>
        <v/>
      </c>
      <c r="W442" t="str">
        <f t="shared" si="125"/>
        <v/>
      </c>
      <c r="X442">
        <f t="shared" si="126"/>
        <v>4</v>
      </c>
      <c r="Y442">
        <f t="shared" si="127"/>
        <v>0</v>
      </c>
      <c r="AA442">
        <f t="shared" si="128"/>
        <v>1</v>
      </c>
    </row>
    <row r="443" spans="1:27" x14ac:dyDescent="0.2">
      <c r="A443" t="s">
        <v>23</v>
      </c>
      <c r="B443" t="s">
        <v>56</v>
      </c>
      <c r="C443" t="s">
        <v>1574</v>
      </c>
      <c r="D443" t="s">
        <v>6</v>
      </c>
      <c r="E443" t="s">
        <v>7</v>
      </c>
      <c r="F443" t="s">
        <v>1570</v>
      </c>
      <c r="G443" t="s">
        <v>1474</v>
      </c>
      <c r="H443" s="4">
        <f t="shared" si="112"/>
        <v>1</v>
      </c>
      <c r="I443" s="4">
        <f>IF(RIGHT(B443,1)="M",IF(AND(H443=1,E443="RFS",D443=INDEX('Station Depth Averages'!$A$3:$B$84,MATCH(B443,'Station Depth Averages'!$A$3:$A$84,0),2)),1,""),IF(AND(H443=1,OR(D443="SYN",D443="SRF",D443="MID")),1,IF(AND(H443=1,OR(E444="FDn",E444="LDn")),1,IF(AND(H443=1,OR(E443="FDn",E443="LDn")),1,""))))</f>
        <v>1</v>
      </c>
      <c r="J443" s="4">
        <f t="shared" si="113"/>
        <v>1</v>
      </c>
      <c r="K443" s="4" t="str">
        <f t="shared" si="114"/>
        <v/>
      </c>
      <c r="L443" s="4" t="str">
        <f t="shared" si="115"/>
        <v/>
      </c>
      <c r="M443" s="4" t="str">
        <f t="shared" si="116"/>
        <v/>
      </c>
      <c r="N443" s="4" t="str">
        <f t="shared" si="117"/>
        <v/>
      </c>
      <c r="O443" s="4" t="str">
        <f t="shared" si="118"/>
        <v/>
      </c>
      <c r="P443" s="4" t="str">
        <f t="shared" si="119"/>
        <v/>
      </c>
      <c r="Q443" s="4" t="str">
        <f t="shared" si="120"/>
        <v/>
      </c>
      <c r="R443" s="4" t="str">
        <f t="shared" si="121"/>
        <v/>
      </c>
      <c r="S443" s="4" t="str">
        <f t="shared" si="122"/>
        <v/>
      </c>
      <c r="T443" s="4" t="str">
        <f t="shared" si="123"/>
        <v/>
      </c>
      <c r="U443">
        <f>IF(VLOOKUP(C443,'QA Table'!$Y$5:$Y$20,1,TRUE)=C443,1,0)</f>
        <v>0</v>
      </c>
      <c r="V443" t="str">
        <f t="shared" si="124"/>
        <v/>
      </c>
      <c r="W443" t="str">
        <f t="shared" si="125"/>
        <v/>
      </c>
      <c r="X443">
        <f t="shared" si="126"/>
        <v>4</v>
      </c>
      <c r="Y443">
        <f t="shared" si="127"/>
        <v>0</v>
      </c>
      <c r="AA443">
        <f t="shared" si="128"/>
        <v>1</v>
      </c>
    </row>
    <row r="444" spans="1:27" x14ac:dyDescent="0.2">
      <c r="A444" t="s">
        <v>23</v>
      </c>
      <c r="B444" t="s">
        <v>56</v>
      </c>
      <c r="C444" t="s">
        <v>1575</v>
      </c>
      <c r="D444" t="s">
        <v>8</v>
      </c>
      <c r="E444" t="s">
        <v>3</v>
      </c>
      <c r="F444" t="s">
        <v>1570</v>
      </c>
      <c r="G444" t="s">
        <v>1474</v>
      </c>
      <c r="H444" s="4">
        <f t="shared" si="112"/>
        <v>1</v>
      </c>
      <c r="I444" s="4" t="str">
        <f>IF(RIGHT(B444,1)="M",IF(AND(H444=1,E444="RFS",D444=INDEX('Station Depth Averages'!$A$3:$B$84,MATCH(B444,'Station Depth Averages'!$A$3:$A$84,0),2)),1,""),IF(AND(H444=1,OR(D444="SYN",D444="SRF",D444="MID")),1,IF(AND(H444=1,OR(E445="FDn",E445="LDn")),1,IF(AND(H444=1,OR(E444="FDn",E444="LDn")),1,""))))</f>
        <v/>
      </c>
      <c r="J444" s="4" t="str">
        <f t="shared" si="113"/>
        <v/>
      </c>
      <c r="K444" s="4">
        <f t="shared" si="114"/>
        <v>1</v>
      </c>
      <c r="L444" s="4" t="str">
        <f t="shared" si="115"/>
        <v/>
      </c>
      <c r="M444" s="4" t="str">
        <f t="shared" si="116"/>
        <v/>
      </c>
      <c r="N444" s="4" t="str">
        <f t="shared" si="117"/>
        <v/>
      </c>
      <c r="O444" s="4" t="str">
        <f t="shared" si="118"/>
        <v/>
      </c>
      <c r="P444" s="4" t="str">
        <f t="shared" si="119"/>
        <v/>
      </c>
      <c r="Q444" s="4">
        <f t="shared" si="120"/>
        <v>1</v>
      </c>
      <c r="R444" s="4" t="str">
        <f t="shared" si="121"/>
        <v/>
      </c>
      <c r="S444" s="4" t="str">
        <f t="shared" si="122"/>
        <v/>
      </c>
      <c r="T444" s="4" t="str">
        <f t="shared" si="123"/>
        <v/>
      </c>
      <c r="U444">
        <f>IF(VLOOKUP(C444,'QA Table'!$Y$5:$Y$20,1,TRUE)=C444,1,0)</f>
        <v>0</v>
      </c>
      <c r="V444" t="str">
        <f t="shared" si="124"/>
        <v/>
      </c>
      <c r="W444" t="str">
        <f t="shared" si="125"/>
        <v/>
      </c>
      <c r="X444">
        <f t="shared" si="126"/>
        <v>4</v>
      </c>
      <c r="Y444">
        <f t="shared" si="127"/>
        <v>0</v>
      </c>
      <c r="AA444">
        <f t="shared" si="128"/>
        <v>1</v>
      </c>
    </row>
    <row r="445" spans="1:27" x14ac:dyDescent="0.2">
      <c r="A445" t="s">
        <v>23</v>
      </c>
      <c r="B445" t="s">
        <v>56</v>
      </c>
      <c r="C445" t="s">
        <v>1576</v>
      </c>
      <c r="D445" t="s">
        <v>9</v>
      </c>
      <c r="E445" t="s">
        <v>3</v>
      </c>
      <c r="F445" t="s">
        <v>1570</v>
      </c>
      <c r="G445" t="s">
        <v>1474</v>
      </c>
      <c r="H445" s="4" t="str">
        <f t="shared" si="112"/>
        <v/>
      </c>
      <c r="I445" s="4" t="str">
        <f>IF(RIGHT(B445,1)="M",IF(AND(H445=1,E445="RFS",D445=INDEX('Station Depth Averages'!$A$3:$B$84,MATCH(B445,'Station Depth Averages'!$A$3:$A$84,0),2)),1,""),IF(AND(H445=1,OR(D445="SYN",D445="SRF",D445="MID")),1,IF(AND(H445=1,OR(E446="FDn",E446="LDn")),1,IF(AND(H445=1,OR(E445="FDn",E445="LDn")),1,""))))</f>
        <v/>
      </c>
      <c r="J445" s="4" t="str">
        <f t="shared" si="113"/>
        <v/>
      </c>
      <c r="K445" s="4" t="str">
        <f t="shared" si="114"/>
        <v/>
      </c>
      <c r="L445" s="4" t="str">
        <f t="shared" si="115"/>
        <v/>
      </c>
      <c r="M445" s="4" t="str">
        <f t="shared" si="116"/>
        <v/>
      </c>
      <c r="N445" s="4" t="str">
        <f t="shared" si="117"/>
        <v/>
      </c>
      <c r="O445" s="4" t="str">
        <f t="shared" si="118"/>
        <v/>
      </c>
      <c r="P445" s="4" t="str">
        <f t="shared" si="119"/>
        <v/>
      </c>
      <c r="Q445" s="4" t="str">
        <f t="shared" si="120"/>
        <v/>
      </c>
      <c r="R445" s="4" t="str">
        <f t="shared" si="121"/>
        <v/>
      </c>
      <c r="S445" s="4" t="str">
        <f t="shared" si="122"/>
        <v/>
      </c>
      <c r="T445" s="4">
        <f t="shared" si="123"/>
        <v>1</v>
      </c>
      <c r="U445">
        <f>IF(VLOOKUP(C445,'QA Table'!$Y$5:$Y$20,1,TRUE)=C445,1,0)</f>
        <v>0</v>
      </c>
      <c r="V445" t="str">
        <f t="shared" si="124"/>
        <v/>
      </c>
      <c r="W445" t="str">
        <f t="shared" si="125"/>
        <v/>
      </c>
      <c r="X445" t="str">
        <f t="shared" si="126"/>
        <v/>
      </c>
      <c r="Y445">
        <f t="shared" si="127"/>
        <v>0</v>
      </c>
      <c r="AA445" t="str">
        <f t="shared" si="128"/>
        <v/>
      </c>
    </row>
    <row r="446" spans="1:27" x14ac:dyDescent="0.2">
      <c r="A446" t="s">
        <v>23</v>
      </c>
      <c r="B446" t="s">
        <v>56</v>
      </c>
      <c r="C446" t="s">
        <v>1577</v>
      </c>
      <c r="D446" t="s">
        <v>10</v>
      </c>
      <c r="E446" t="s">
        <v>3</v>
      </c>
      <c r="F446" t="s">
        <v>1570</v>
      </c>
      <c r="G446" t="s">
        <v>1474</v>
      </c>
      <c r="H446" s="4" t="str">
        <f t="shared" si="112"/>
        <v/>
      </c>
      <c r="I446" s="4" t="str">
        <f>IF(RIGHT(B446,1)="M",IF(AND(H446=1,E446="RFS",D446=INDEX('Station Depth Averages'!$A$3:$B$84,MATCH(B446,'Station Depth Averages'!$A$3:$A$84,0),2)),1,""),IF(AND(H446=1,OR(D446="SYN",D446="SRF",D446="MID")),1,IF(AND(H446=1,OR(E447="FDn",E447="LDn")),1,IF(AND(H446=1,OR(E446="FDn",E446="LDn")),1,""))))</f>
        <v/>
      </c>
      <c r="J446" s="4" t="str">
        <f t="shared" si="113"/>
        <v/>
      </c>
      <c r="K446" s="4" t="str">
        <f t="shared" si="114"/>
        <v/>
      </c>
      <c r="L446" s="4" t="str">
        <f t="shared" si="115"/>
        <v/>
      </c>
      <c r="M446" s="4" t="str">
        <f t="shared" si="116"/>
        <v/>
      </c>
      <c r="N446" s="4" t="str">
        <f t="shared" si="117"/>
        <v/>
      </c>
      <c r="O446" s="4" t="str">
        <f t="shared" si="118"/>
        <v/>
      </c>
      <c r="P446" s="4" t="str">
        <f t="shared" si="119"/>
        <v/>
      </c>
      <c r="Q446" s="4" t="str">
        <f t="shared" si="120"/>
        <v/>
      </c>
      <c r="R446" s="4" t="str">
        <f t="shared" si="121"/>
        <v/>
      </c>
      <c r="S446" s="4" t="str">
        <f t="shared" si="122"/>
        <v/>
      </c>
      <c r="T446" s="4">
        <f t="shared" si="123"/>
        <v>1</v>
      </c>
      <c r="U446">
        <f>IF(VLOOKUP(C446,'QA Table'!$Y$5:$Y$20,1,TRUE)=C446,1,0)</f>
        <v>0</v>
      </c>
      <c r="V446" t="str">
        <f t="shared" si="124"/>
        <v/>
      </c>
      <c r="W446" t="str">
        <f t="shared" si="125"/>
        <v/>
      </c>
      <c r="X446" t="str">
        <f t="shared" si="126"/>
        <v/>
      </c>
      <c r="Y446">
        <f t="shared" si="127"/>
        <v>0</v>
      </c>
      <c r="AA446" t="str">
        <f t="shared" si="128"/>
        <v/>
      </c>
    </row>
    <row r="447" spans="1:27" x14ac:dyDescent="0.2">
      <c r="A447" t="s">
        <v>23</v>
      </c>
      <c r="B447" t="s">
        <v>57</v>
      </c>
      <c r="C447" t="s">
        <v>1578</v>
      </c>
      <c r="D447" t="s">
        <v>2</v>
      </c>
      <c r="E447" t="s">
        <v>3</v>
      </c>
      <c r="F447" t="s">
        <v>1579</v>
      </c>
      <c r="G447" t="s">
        <v>1474</v>
      </c>
      <c r="H447" s="4">
        <f t="shared" si="112"/>
        <v>1</v>
      </c>
      <c r="I447" s="4" t="str">
        <f>IF(RIGHT(B447,1)="M",IF(AND(H447=1,E447="RFS",D447=INDEX('Station Depth Averages'!$A$3:$B$84,MATCH(B447,'Station Depth Averages'!$A$3:$A$84,0),2)),1,""),IF(AND(H447=1,OR(D447="SYN",D447="SRF",D447="MID")),1,IF(AND(H447=1,OR(E448="FDn",E448="LDn")),1,IF(AND(H447=1,OR(E447="FDn",E447="LDn")),1,""))))</f>
        <v/>
      </c>
      <c r="J447" s="4">
        <f t="shared" si="113"/>
        <v>1</v>
      </c>
      <c r="K447" s="4" t="str">
        <f t="shared" si="114"/>
        <v/>
      </c>
      <c r="L447" s="4" t="str">
        <f t="shared" si="115"/>
        <v/>
      </c>
      <c r="M447" s="4" t="str">
        <f t="shared" si="116"/>
        <v/>
      </c>
      <c r="N447" s="4" t="str">
        <f t="shared" si="117"/>
        <v/>
      </c>
      <c r="O447" s="4" t="str">
        <f t="shared" si="118"/>
        <v/>
      </c>
      <c r="P447" s="4" t="str">
        <f t="shared" si="119"/>
        <v/>
      </c>
      <c r="Q447" s="4" t="str">
        <f t="shared" si="120"/>
        <v/>
      </c>
      <c r="R447" s="4" t="str">
        <f t="shared" si="121"/>
        <v/>
      </c>
      <c r="S447" s="4" t="str">
        <f t="shared" si="122"/>
        <v/>
      </c>
      <c r="T447" s="4" t="str">
        <f t="shared" si="123"/>
        <v/>
      </c>
      <c r="U447">
        <f>IF(VLOOKUP(C447,'QA Table'!$Y$5:$Y$20,1,TRUE)=C447,1,0)</f>
        <v>0</v>
      </c>
      <c r="V447" t="str">
        <f t="shared" si="124"/>
        <v/>
      </c>
      <c r="W447" t="str">
        <f t="shared" si="125"/>
        <v/>
      </c>
      <c r="X447">
        <f t="shared" si="126"/>
        <v>4</v>
      </c>
      <c r="Y447">
        <f t="shared" si="127"/>
        <v>0</v>
      </c>
      <c r="AA447">
        <f t="shared" si="128"/>
        <v>1</v>
      </c>
    </row>
    <row r="448" spans="1:27" x14ac:dyDescent="0.2">
      <c r="A448" t="s">
        <v>23</v>
      </c>
      <c r="B448" t="s">
        <v>57</v>
      </c>
      <c r="C448" t="s">
        <v>1580</v>
      </c>
      <c r="D448" t="s">
        <v>1050</v>
      </c>
      <c r="E448" t="s">
        <v>3</v>
      </c>
      <c r="F448" t="s">
        <v>1579</v>
      </c>
      <c r="G448" t="s">
        <v>1474</v>
      </c>
      <c r="H448" s="4">
        <f t="shared" si="112"/>
        <v>1</v>
      </c>
      <c r="I448" s="4" t="str">
        <f>IF(RIGHT(B448,1)="M",IF(AND(H448=1,E448="RFS",D448=INDEX('Station Depth Averages'!$A$3:$B$84,MATCH(B448,'Station Depth Averages'!$A$3:$A$84,0),2)),1,""),IF(AND(H448=1,OR(D448="SYN",D448="SRF",D448="MID")),1,IF(AND(H448=1,OR(E449="FDn",E449="LDn")),1,IF(AND(H448=1,OR(E448="FDn",E448="LDn")),1,""))))</f>
        <v/>
      </c>
      <c r="J448" s="4">
        <f t="shared" si="113"/>
        <v>1</v>
      </c>
      <c r="K448" s="4" t="str">
        <f t="shared" si="114"/>
        <v/>
      </c>
      <c r="L448" s="4">
        <f t="shared" si="115"/>
        <v>1</v>
      </c>
      <c r="M448" s="4">
        <f t="shared" si="116"/>
        <v>1</v>
      </c>
      <c r="N448" s="4">
        <f t="shared" si="117"/>
        <v>1</v>
      </c>
      <c r="O448" s="4">
        <f t="shared" si="118"/>
        <v>1</v>
      </c>
      <c r="P448" s="4">
        <f t="shared" si="119"/>
        <v>1</v>
      </c>
      <c r="Q448" s="4" t="str">
        <f t="shared" si="120"/>
        <v/>
      </c>
      <c r="R448" s="4" t="str">
        <f t="shared" si="121"/>
        <v/>
      </c>
      <c r="S448" s="4" t="str">
        <f t="shared" si="122"/>
        <v/>
      </c>
      <c r="T448" s="4" t="str">
        <f t="shared" si="123"/>
        <v/>
      </c>
      <c r="U448">
        <f>IF(VLOOKUP(C448,'QA Table'!$Y$5:$Y$20,1,TRUE)=C448,1,0)</f>
        <v>0</v>
      </c>
      <c r="V448" t="str">
        <f t="shared" si="124"/>
        <v/>
      </c>
      <c r="W448" t="str">
        <f t="shared" si="125"/>
        <v/>
      </c>
      <c r="X448">
        <f t="shared" si="126"/>
        <v>4</v>
      </c>
      <c r="Y448">
        <f t="shared" si="127"/>
        <v>0</v>
      </c>
      <c r="AA448">
        <f t="shared" si="128"/>
        <v>1</v>
      </c>
    </row>
    <row r="449" spans="1:27" x14ac:dyDescent="0.2">
      <c r="A449" t="s">
        <v>23</v>
      </c>
      <c r="B449" t="s">
        <v>57</v>
      </c>
      <c r="C449" t="s">
        <v>1581</v>
      </c>
      <c r="D449" t="s">
        <v>4</v>
      </c>
      <c r="E449" t="s">
        <v>3</v>
      </c>
      <c r="F449" t="s">
        <v>1579</v>
      </c>
      <c r="G449" t="s">
        <v>1474</v>
      </c>
      <c r="H449" s="4">
        <f t="shared" si="112"/>
        <v>1</v>
      </c>
      <c r="I449" s="4">
        <f>IF(RIGHT(B449,1)="M",IF(AND(H449=1,E449="RFS",D449=INDEX('Station Depth Averages'!$A$3:$B$84,MATCH(B449,'Station Depth Averages'!$A$3:$A$84,0),2)),1,""),IF(AND(H449=1,OR(D449="SYN",D449="SRF",D449="MID")),1,IF(AND(H449=1,OR(E450="FDn",E450="LDn")),1,IF(AND(H449=1,OR(E449="FDn",E449="LDn")),1,""))))</f>
        <v>1</v>
      </c>
      <c r="J449" s="4">
        <f t="shared" si="113"/>
        <v>1</v>
      </c>
      <c r="K449" s="4" t="str">
        <f t="shared" si="114"/>
        <v/>
      </c>
      <c r="L449" s="4" t="str">
        <f t="shared" si="115"/>
        <v/>
      </c>
      <c r="M449" s="4" t="str">
        <f t="shared" si="116"/>
        <v/>
      </c>
      <c r="N449" s="4" t="str">
        <f t="shared" si="117"/>
        <v/>
      </c>
      <c r="O449" s="4" t="str">
        <f t="shared" si="118"/>
        <v/>
      </c>
      <c r="P449" s="4" t="str">
        <f t="shared" si="119"/>
        <v/>
      </c>
      <c r="Q449" s="4" t="str">
        <f t="shared" si="120"/>
        <v/>
      </c>
      <c r="R449" s="4" t="str">
        <f t="shared" si="121"/>
        <v/>
      </c>
      <c r="S449" s="4" t="str">
        <f t="shared" si="122"/>
        <v/>
      </c>
      <c r="T449" s="4" t="str">
        <f t="shared" si="123"/>
        <v/>
      </c>
      <c r="U449">
        <f>IF(VLOOKUP(C449,'QA Table'!$Y$5:$Y$20,1,TRUE)=C449,1,0)</f>
        <v>0</v>
      </c>
      <c r="V449" t="str">
        <f t="shared" si="124"/>
        <v/>
      </c>
      <c r="W449" t="str">
        <f t="shared" si="125"/>
        <v/>
      </c>
      <c r="X449">
        <f t="shared" si="126"/>
        <v>4</v>
      </c>
      <c r="Y449">
        <f t="shared" si="127"/>
        <v>0</v>
      </c>
      <c r="AA449">
        <f t="shared" si="128"/>
        <v>1</v>
      </c>
    </row>
    <row r="450" spans="1:27" x14ac:dyDescent="0.2">
      <c r="A450" t="s">
        <v>23</v>
      </c>
      <c r="B450" t="s">
        <v>57</v>
      </c>
      <c r="C450" t="s">
        <v>1074</v>
      </c>
      <c r="D450" t="s">
        <v>6</v>
      </c>
      <c r="E450" t="s">
        <v>3</v>
      </c>
      <c r="F450" t="s">
        <v>1579</v>
      </c>
      <c r="G450" t="s">
        <v>1474</v>
      </c>
      <c r="H450" s="4">
        <f t="shared" si="112"/>
        <v>1</v>
      </c>
      <c r="I450" s="4" t="str">
        <f>IF(RIGHT(B450,1)="M",IF(AND(H450=1,E450="RFS",D450=INDEX('Station Depth Averages'!$A$3:$B$84,MATCH(B450,'Station Depth Averages'!$A$3:$A$84,0),2)),1,""),IF(AND(H450=1,OR(D450="SYN",D450="SRF",D450="MID")),1,IF(AND(H450=1,OR(E451="FDn",E451="LDn")),1,IF(AND(H450=1,OR(E450="FDn",E450="LDn")),1,""))))</f>
        <v/>
      </c>
      <c r="J450" s="4">
        <f t="shared" si="113"/>
        <v>1</v>
      </c>
      <c r="K450" s="4" t="str">
        <f t="shared" si="114"/>
        <v/>
      </c>
      <c r="L450" s="4" t="str">
        <f t="shared" si="115"/>
        <v/>
      </c>
      <c r="M450" s="4" t="str">
        <f t="shared" si="116"/>
        <v/>
      </c>
      <c r="N450" s="4" t="str">
        <f t="shared" si="117"/>
        <v/>
      </c>
      <c r="O450" s="4" t="str">
        <f t="shared" si="118"/>
        <v/>
      </c>
      <c r="P450" s="4" t="str">
        <f t="shared" si="119"/>
        <v/>
      </c>
      <c r="Q450" s="4" t="str">
        <f t="shared" si="120"/>
        <v/>
      </c>
      <c r="R450" s="4" t="str">
        <f t="shared" si="121"/>
        <v/>
      </c>
      <c r="S450" s="4" t="str">
        <f t="shared" si="122"/>
        <v/>
      </c>
      <c r="T450" s="4" t="str">
        <f t="shared" si="123"/>
        <v/>
      </c>
      <c r="U450">
        <f>IF(VLOOKUP(C450,'QA Table'!$Y$5:$Y$20,1,TRUE)=C450,1,0)</f>
        <v>0</v>
      </c>
      <c r="V450" t="str">
        <f t="shared" si="124"/>
        <v/>
      </c>
      <c r="W450" t="str">
        <f t="shared" si="125"/>
        <v/>
      </c>
      <c r="X450">
        <f t="shared" si="126"/>
        <v>4</v>
      </c>
      <c r="Y450">
        <f t="shared" si="127"/>
        <v>0</v>
      </c>
      <c r="AA450">
        <f t="shared" si="128"/>
        <v>1</v>
      </c>
    </row>
    <row r="451" spans="1:27" x14ac:dyDescent="0.2">
      <c r="A451" t="s">
        <v>23</v>
      </c>
      <c r="B451" t="s">
        <v>57</v>
      </c>
      <c r="C451" t="s">
        <v>1582</v>
      </c>
      <c r="D451" t="s">
        <v>6</v>
      </c>
      <c r="E451" t="s">
        <v>12</v>
      </c>
      <c r="F451" t="s">
        <v>1579</v>
      </c>
      <c r="G451" t="s">
        <v>1474</v>
      </c>
      <c r="H451" s="4">
        <f t="shared" si="112"/>
        <v>1</v>
      </c>
      <c r="I451" s="4" t="str">
        <f>IF(RIGHT(B451,1)="M",IF(AND(H451=1,E451="RFS",D451=INDEX('Station Depth Averages'!$A$3:$B$84,MATCH(B451,'Station Depth Averages'!$A$3:$A$84,0),2)),1,""),IF(AND(H451=1,OR(D451="SYN",D451="SRF",D451="MID")),1,IF(AND(H451=1,OR(E452="FDn",E452="LDn")),1,IF(AND(H451=1,OR(E451="FDn",E451="LDn")),1,""))))</f>
        <v/>
      </c>
      <c r="J451" s="4" t="str">
        <f t="shared" si="113"/>
        <v/>
      </c>
      <c r="K451" s="4" t="str">
        <f t="shared" si="114"/>
        <v/>
      </c>
      <c r="L451" s="4" t="str">
        <f t="shared" si="115"/>
        <v/>
      </c>
      <c r="M451" s="4" t="str">
        <f t="shared" si="116"/>
        <v/>
      </c>
      <c r="N451" s="4" t="str">
        <f t="shared" si="117"/>
        <v/>
      </c>
      <c r="O451" s="4" t="str">
        <f t="shared" si="118"/>
        <v/>
      </c>
      <c r="P451" s="4" t="str">
        <f t="shared" si="119"/>
        <v/>
      </c>
      <c r="Q451" s="4" t="str">
        <f t="shared" si="120"/>
        <v/>
      </c>
      <c r="R451" s="4" t="str">
        <f t="shared" si="121"/>
        <v/>
      </c>
      <c r="S451" s="4" t="str">
        <f t="shared" si="122"/>
        <v/>
      </c>
      <c r="T451" s="4" t="str">
        <f t="shared" si="123"/>
        <v/>
      </c>
      <c r="U451">
        <f>IF(VLOOKUP(C451,'QA Table'!$Y$5:$Y$20,1,TRUE)=C451,1,0)</f>
        <v>0</v>
      </c>
      <c r="V451" t="str">
        <f t="shared" si="124"/>
        <v/>
      </c>
      <c r="W451" t="str">
        <f t="shared" si="125"/>
        <v/>
      </c>
      <c r="X451">
        <f t="shared" si="126"/>
        <v>4</v>
      </c>
      <c r="Y451">
        <f t="shared" si="127"/>
        <v>0</v>
      </c>
      <c r="AA451">
        <f t="shared" si="128"/>
        <v>1</v>
      </c>
    </row>
    <row r="452" spans="1:27" x14ac:dyDescent="0.2">
      <c r="A452" t="s">
        <v>23</v>
      </c>
      <c r="B452" t="s">
        <v>57</v>
      </c>
      <c r="C452" t="s">
        <v>1583</v>
      </c>
      <c r="D452" t="s">
        <v>8</v>
      </c>
      <c r="E452" t="s">
        <v>3</v>
      </c>
      <c r="F452" t="s">
        <v>1579</v>
      </c>
      <c r="G452" t="s">
        <v>1474</v>
      </c>
      <c r="H452" s="4">
        <f t="shared" si="112"/>
        <v>1</v>
      </c>
      <c r="I452" s="4" t="str">
        <f>IF(RIGHT(B452,1)="M",IF(AND(H452=1,E452="RFS",D452=INDEX('Station Depth Averages'!$A$3:$B$84,MATCH(B452,'Station Depth Averages'!$A$3:$A$84,0),2)),1,""),IF(AND(H452=1,OR(D452="SYN",D452="SRF",D452="MID")),1,IF(AND(H452=1,OR(E453="FDn",E453="LDn")),1,IF(AND(H452=1,OR(E452="FDn",E452="LDn")),1,""))))</f>
        <v/>
      </c>
      <c r="J452" s="4" t="str">
        <f t="shared" si="113"/>
        <v/>
      </c>
      <c r="K452" s="4">
        <f t="shared" si="114"/>
        <v>1</v>
      </c>
      <c r="L452" s="4" t="str">
        <f t="shared" si="115"/>
        <v/>
      </c>
      <c r="M452" s="4" t="str">
        <f t="shared" si="116"/>
        <v/>
      </c>
      <c r="N452" s="4" t="str">
        <f t="shared" si="117"/>
        <v/>
      </c>
      <c r="O452" s="4" t="str">
        <f t="shared" si="118"/>
        <v/>
      </c>
      <c r="P452" s="4" t="str">
        <f t="shared" si="119"/>
        <v/>
      </c>
      <c r="Q452" s="4">
        <f t="shared" si="120"/>
        <v>1</v>
      </c>
      <c r="R452" s="4" t="str">
        <f t="shared" si="121"/>
        <v/>
      </c>
      <c r="S452" s="4" t="str">
        <f t="shared" si="122"/>
        <v/>
      </c>
      <c r="T452" s="4" t="str">
        <f t="shared" si="123"/>
        <v/>
      </c>
      <c r="U452">
        <f>IF(VLOOKUP(C452,'QA Table'!$Y$5:$Y$20,1,TRUE)=C452,1,0)</f>
        <v>0</v>
      </c>
      <c r="V452" t="str">
        <f t="shared" si="124"/>
        <v/>
      </c>
      <c r="W452" t="str">
        <f t="shared" si="125"/>
        <v/>
      </c>
      <c r="X452">
        <f t="shared" si="126"/>
        <v>4</v>
      </c>
      <c r="Y452">
        <f t="shared" si="127"/>
        <v>0</v>
      </c>
      <c r="AA452">
        <f t="shared" si="128"/>
        <v>1</v>
      </c>
    </row>
    <row r="453" spans="1:27" x14ac:dyDescent="0.2">
      <c r="A453" t="s">
        <v>23</v>
      </c>
      <c r="B453" t="s">
        <v>57</v>
      </c>
      <c r="C453" t="s">
        <v>1584</v>
      </c>
      <c r="D453" t="s">
        <v>9</v>
      </c>
      <c r="E453" t="s">
        <v>3</v>
      </c>
      <c r="F453" t="s">
        <v>1579</v>
      </c>
      <c r="G453" t="s">
        <v>1474</v>
      </c>
      <c r="H453" s="4" t="str">
        <f t="shared" si="112"/>
        <v/>
      </c>
      <c r="I453" s="4" t="str">
        <f>IF(RIGHT(B453,1)="M",IF(AND(H453=1,E453="RFS",D453=INDEX('Station Depth Averages'!$A$3:$B$84,MATCH(B453,'Station Depth Averages'!$A$3:$A$84,0),2)),1,""),IF(AND(H453=1,OR(D453="SYN",D453="SRF",D453="MID")),1,IF(AND(H453=1,OR(E454="FDn",E454="LDn")),1,IF(AND(H453=1,OR(E453="FDn",E453="LDn")),1,""))))</f>
        <v/>
      </c>
      <c r="J453" s="4" t="str">
        <f t="shared" si="113"/>
        <v/>
      </c>
      <c r="K453" s="4" t="str">
        <f t="shared" si="114"/>
        <v/>
      </c>
      <c r="L453" s="4" t="str">
        <f t="shared" si="115"/>
        <v/>
      </c>
      <c r="M453" s="4" t="str">
        <f t="shared" si="116"/>
        <v/>
      </c>
      <c r="N453" s="4" t="str">
        <f t="shared" si="117"/>
        <v/>
      </c>
      <c r="O453" s="4" t="str">
        <f t="shared" si="118"/>
        <v/>
      </c>
      <c r="P453" s="4" t="str">
        <f t="shared" si="119"/>
        <v/>
      </c>
      <c r="Q453" s="4" t="str">
        <f t="shared" si="120"/>
        <v/>
      </c>
      <c r="R453" s="4" t="str">
        <f t="shared" si="121"/>
        <v/>
      </c>
      <c r="S453" s="4" t="str">
        <f t="shared" si="122"/>
        <v/>
      </c>
      <c r="T453" s="4">
        <f t="shared" si="123"/>
        <v>1</v>
      </c>
      <c r="U453">
        <f>IF(VLOOKUP(C453,'QA Table'!$Y$5:$Y$20,1,TRUE)=C453,1,0)</f>
        <v>0</v>
      </c>
      <c r="V453" t="str">
        <f t="shared" si="124"/>
        <v/>
      </c>
      <c r="W453" t="str">
        <f t="shared" si="125"/>
        <v/>
      </c>
      <c r="X453" t="str">
        <f t="shared" si="126"/>
        <v/>
      </c>
      <c r="Y453">
        <f t="shared" si="127"/>
        <v>0</v>
      </c>
      <c r="AA453" t="str">
        <f t="shared" si="128"/>
        <v/>
      </c>
    </row>
    <row r="454" spans="1:27" x14ac:dyDescent="0.2">
      <c r="A454" t="s">
        <v>23</v>
      </c>
      <c r="B454" t="s">
        <v>57</v>
      </c>
      <c r="C454" t="s">
        <v>1585</v>
      </c>
      <c r="D454" t="s">
        <v>10</v>
      </c>
      <c r="E454" t="s">
        <v>3</v>
      </c>
      <c r="F454" t="s">
        <v>1579</v>
      </c>
      <c r="G454" t="s">
        <v>1474</v>
      </c>
      <c r="H454" s="4" t="str">
        <f t="shared" si="112"/>
        <v/>
      </c>
      <c r="I454" s="4" t="str">
        <f>IF(RIGHT(B454,1)="M",IF(AND(H454=1,E454="RFS",D454=INDEX('Station Depth Averages'!$A$3:$B$84,MATCH(B454,'Station Depth Averages'!$A$3:$A$84,0),2)),1,""),IF(AND(H454=1,OR(D454="SYN",D454="SRF",D454="MID")),1,IF(AND(H454=1,OR(E455="FDn",E455="LDn")),1,IF(AND(H454=1,OR(E454="FDn",E454="LDn")),1,""))))</f>
        <v/>
      </c>
      <c r="J454" s="4" t="str">
        <f t="shared" si="113"/>
        <v/>
      </c>
      <c r="K454" s="4" t="str">
        <f t="shared" si="114"/>
        <v/>
      </c>
      <c r="L454" s="4" t="str">
        <f t="shared" si="115"/>
        <v/>
      </c>
      <c r="M454" s="4" t="str">
        <f t="shared" si="116"/>
        <v/>
      </c>
      <c r="N454" s="4" t="str">
        <f t="shared" si="117"/>
        <v/>
      </c>
      <c r="O454" s="4" t="str">
        <f t="shared" si="118"/>
        <v/>
      </c>
      <c r="P454" s="4" t="str">
        <f t="shared" si="119"/>
        <v/>
      </c>
      <c r="Q454" s="4" t="str">
        <f t="shared" si="120"/>
        <v/>
      </c>
      <c r="R454" s="4" t="str">
        <f t="shared" si="121"/>
        <v/>
      </c>
      <c r="S454" s="4" t="str">
        <f t="shared" si="122"/>
        <v/>
      </c>
      <c r="T454" s="4">
        <f t="shared" si="123"/>
        <v>1</v>
      </c>
      <c r="U454">
        <f>IF(VLOOKUP(C454,'QA Table'!$Y$5:$Y$20,1,TRUE)=C454,1,0)</f>
        <v>0</v>
      </c>
      <c r="V454" t="str">
        <f t="shared" si="124"/>
        <v/>
      </c>
      <c r="W454" t="str">
        <f t="shared" si="125"/>
        <v/>
      </c>
      <c r="X454" t="str">
        <f t="shared" si="126"/>
        <v/>
      </c>
      <c r="Y454">
        <f t="shared" si="127"/>
        <v>0</v>
      </c>
      <c r="AA454" t="str">
        <f t="shared" si="128"/>
        <v/>
      </c>
    </row>
    <row r="455" spans="1:27" x14ac:dyDescent="0.2">
      <c r="A455" t="s">
        <v>23</v>
      </c>
      <c r="B455" t="s">
        <v>58</v>
      </c>
      <c r="C455" t="s">
        <v>1586</v>
      </c>
      <c r="D455" t="s">
        <v>2</v>
      </c>
      <c r="E455" t="s">
        <v>3</v>
      </c>
      <c r="F455" t="s">
        <v>1587</v>
      </c>
      <c r="G455" t="s">
        <v>1474</v>
      </c>
      <c r="H455" s="4">
        <f t="shared" ref="H455:H518" si="129">IF(OR(RIGHT(C455,1)="A",RIGHT(C455,1)="B",RIGHT(C455,1)="C",D455="Benthos",D455="Sediment",D455="Sediments",D455="D100",D455="D20",D455="Mysis",E455="FD1",E455="LD1"),"",1)</f>
        <v>1</v>
      </c>
      <c r="I455" s="4">
        <f>IF(RIGHT(B455,1)="M",IF(AND(H455=1,E455="RFS",D455=INDEX('Station Depth Averages'!$A$3:$B$84,MATCH(B455,'Station Depth Averages'!$A$3:$A$84,0),2)),1,""),IF(AND(H455=1,OR(D455="SYN",D455="SRF",D455="MID")),1,IF(AND(H455=1,OR(E456="FDn",E456="LDn")),1,IF(AND(H455=1,OR(E455="FDn",E455="LDn")),1,""))))</f>
        <v>1</v>
      </c>
      <c r="J455" s="4">
        <f t="shared" ref="J455:J518" si="130">IF(OR(D455="INT",D455="Benthos",D455="D100",D455="D20",E455="LDn",D455="mysis",D455="sediment",D455="sediments",OR(RIGHT(C455,1)="A",RIGHT(C455,1)="B",RIGHT(C455,1)="C",E455="FD1",E455="LD1")),"",1)</f>
        <v>1</v>
      </c>
      <c r="K455" s="4" t="str">
        <f t="shared" ref="K455:K518" si="131">IF(D455="INT",1,"")</f>
        <v/>
      </c>
      <c r="L455" s="4" t="str">
        <f t="shared" ref="L455:L518" si="132">IF(AND(LEFT(B455,1)="E",A455&lt;&gt;"E",RIGHT(B455,1)="M"),IF(AND(A455="w",D455="MID",E455="RFS"),1,IF(AND(A455="C",D455="5M",E455="RFS"),1,"")),IF(AND(RIGHT(B455,1)="M",D455="10M",E455="RFS"),1,""))</f>
        <v/>
      </c>
      <c r="M455" s="4" t="str">
        <f t="shared" ref="M455:M518" si="133">IF(L455=1,1,"")</f>
        <v/>
      </c>
      <c r="N455" s="4" t="str">
        <f t="shared" ref="N455:N518" si="134">IF(M455=1,1,"")</f>
        <v/>
      </c>
      <c r="O455" s="4" t="str">
        <f t="shared" ref="O455:O518" si="135">IF(N455=1,1,"")</f>
        <v/>
      </c>
      <c r="P455" s="4" t="str">
        <f t="shared" ref="P455:P518" si="136">IF(O455=1,1,"")</f>
        <v/>
      </c>
      <c r="Q455" s="4" t="str">
        <f t="shared" ref="Q455:Q518" si="137">IF(AND(OR(D455="INT",D455="DCL"),OR(LEFT(B455,2)="SU",LEFT(B455,2)="HU",LEFT(B455,2)="MI",LEFT(B455,2)="CS",LEFT(B455,2)="ON")),2,IF(AND(OR(D455="INT",D455="DCL"),LEFT(B455,2)="ER"),1,""))</f>
        <v/>
      </c>
      <c r="R455" s="4" t="str">
        <f t="shared" ref="R455:R518" si="138">IF(D455="benthos",1,"")</f>
        <v/>
      </c>
      <c r="S455" s="4" t="str">
        <f t="shared" ref="S455:S518" si="139">IF(D455="mysis",1,"")</f>
        <v/>
      </c>
      <c r="T455" s="4" t="str">
        <f t="shared" ref="T455:T518" si="140">IF(AND(OR(D455="d20",D455="d100"),LEFT(B455,2)="SU"),2,IF(OR(D455="D20",D455="d100"),1,""))</f>
        <v/>
      </c>
      <c r="U455">
        <f>IF(VLOOKUP(C455,'QA Table'!$Y$5:$Y$20,1,TRUE)=C455,1,0)</f>
        <v>0</v>
      </c>
      <c r="V455" t="str">
        <f t="shared" ref="V455:V518" si="141">IF(AND(D455="Sediment",RIGHT(C455,1)="8"),1,"")</f>
        <v/>
      </c>
      <c r="W455" t="str">
        <f t="shared" ref="W455:W518" si="142">IF(AND(D455="Sediment",RIGHT(C455,1)="9"),1,"")</f>
        <v/>
      </c>
      <c r="X455">
        <f t="shared" ref="X455:X518" si="143">IF(AND(H455=1,OR(LEFT(B455,1)="M",LEFT(B455,1)="E",LEFT(B455,1)="O",LEFT(B455,1)="C")),4,IF(AND(H455=1,OR(LEFT(B455,1)="H",LEFT(B455,1)="S")),3,""))</f>
        <v>4</v>
      </c>
      <c r="Y455">
        <f t="shared" ref="Y455:Y518" si="144">IF(U455=1,1,IF(AND(E455="LD1",U454=1),1,IF(AND(E455="FD1",U453=1),1,0)))</f>
        <v>0</v>
      </c>
      <c r="AA455">
        <f t="shared" ref="AA455:AA518" si="145">IF(X455&lt;&gt;"",1,"")</f>
        <v>1</v>
      </c>
    </row>
    <row r="456" spans="1:27" x14ac:dyDescent="0.2">
      <c r="A456" t="s">
        <v>23</v>
      </c>
      <c r="B456" t="s">
        <v>58</v>
      </c>
      <c r="C456" t="s">
        <v>1588</v>
      </c>
      <c r="D456" t="s">
        <v>1050</v>
      </c>
      <c r="E456" t="s">
        <v>3</v>
      </c>
      <c r="F456" t="s">
        <v>1587</v>
      </c>
      <c r="G456" t="s">
        <v>1474</v>
      </c>
      <c r="H456" s="4" t="str">
        <f t="shared" si="129"/>
        <v/>
      </c>
      <c r="I456" s="4" t="str">
        <f>IF(RIGHT(B456,1)="M",IF(AND(H456=1,E456="RFS",D456=INDEX('Station Depth Averages'!$A$3:$B$84,MATCH(B456,'Station Depth Averages'!$A$3:$A$84,0),2)),1,""),IF(AND(H456=1,OR(D456="SYN",D456="SRF",D456="MID")),1,IF(AND(H456=1,OR(E457="FDn",E457="LDn")),1,IF(AND(H456=1,OR(E456="FDn",E456="LDn")),1,""))))</f>
        <v/>
      </c>
      <c r="J456" s="4" t="str">
        <f t="shared" si="130"/>
        <v/>
      </c>
      <c r="K456" s="4" t="str">
        <f t="shared" si="131"/>
        <v/>
      </c>
      <c r="L456" s="4" t="str">
        <f t="shared" si="132"/>
        <v/>
      </c>
      <c r="M456" s="4" t="str">
        <f t="shared" si="133"/>
        <v/>
      </c>
      <c r="N456" s="4" t="str">
        <f t="shared" si="134"/>
        <v/>
      </c>
      <c r="O456" s="4" t="str">
        <f t="shared" si="135"/>
        <v/>
      </c>
      <c r="P456" s="4" t="str">
        <f t="shared" si="136"/>
        <v/>
      </c>
      <c r="Q456" s="4" t="str">
        <f t="shared" si="137"/>
        <v/>
      </c>
      <c r="R456" s="4" t="str">
        <f t="shared" si="138"/>
        <v/>
      </c>
      <c r="S456" s="4" t="str">
        <f t="shared" si="139"/>
        <v/>
      </c>
      <c r="T456" s="4" t="str">
        <f t="shared" si="140"/>
        <v/>
      </c>
      <c r="U456">
        <f>IF(VLOOKUP(C456,'QA Table'!$Y$5:$Y$20,1,TRUE)=C456,1,0)</f>
        <v>0</v>
      </c>
      <c r="V456" t="str">
        <f t="shared" si="141"/>
        <v/>
      </c>
      <c r="W456" t="str">
        <f t="shared" si="142"/>
        <v/>
      </c>
      <c r="X456" t="str">
        <f t="shared" si="143"/>
        <v/>
      </c>
      <c r="Y456">
        <f t="shared" si="144"/>
        <v>0</v>
      </c>
      <c r="AA456" t="str">
        <f t="shared" si="145"/>
        <v/>
      </c>
    </row>
    <row r="457" spans="1:27" x14ac:dyDescent="0.2">
      <c r="A457" t="s">
        <v>23</v>
      </c>
      <c r="B457" t="s">
        <v>58</v>
      </c>
      <c r="C457" t="s">
        <v>1589</v>
      </c>
      <c r="D457" t="s">
        <v>4</v>
      </c>
      <c r="E457" t="s">
        <v>3</v>
      </c>
      <c r="F457" t="s">
        <v>1587</v>
      </c>
      <c r="G457" t="s">
        <v>1474</v>
      </c>
      <c r="H457" s="4" t="str">
        <f t="shared" si="129"/>
        <v/>
      </c>
      <c r="I457" s="4" t="str">
        <f>IF(RIGHT(B457,1)="M",IF(AND(H457=1,E457="RFS",D457=INDEX('Station Depth Averages'!$A$3:$B$84,MATCH(B457,'Station Depth Averages'!$A$3:$A$84,0),2)),1,""),IF(AND(H457=1,OR(D457="SYN",D457="SRF",D457="MID")),1,IF(AND(H457=1,OR(E458="FDn",E458="LDn")),1,IF(AND(H457=1,OR(E457="FDn",E457="LDn")),1,""))))</f>
        <v/>
      </c>
      <c r="J457" s="4" t="str">
        <f t="shared" si="130"/>
        <v/>
      </c>
      <c r="K457" s="4" t="str">
        <f t="shared" si="131"/>
        <v/>
      </c>
      <c r="L457" s="4" t="str">
        <f t="shared" si="132"/>
        <v/>
      </c>
      <c r="M457" s="4" t="str">
        <f t="shared" si="133"/>
        <v/>
      </c>
      <c r="N457" s="4" t="str">
        <f t="shared" si="134"/>
        <v/>
      </c>
      <c r="O457" s="4" t="str">
        <f t="shared" si="135"/>
        <v/>
      </c>
      <c r="P457" s="4" t="str">
        <f t="shared" si="136"/>
        <v/>
      </c>
      <c r="Q457" s="4" t="str">
        <f t="shared" si="137"/>
        <v/>
      </c>
      <c r="R457" s="4" t="str">
        <f t="shared" si="138"/>
        <v/>
      </c>
      <c r="S457" s="4" t="str">
        <f t="shared" si="139"/>
        <v/>
      </c>
      <c r="T457" s="4" t="str">
        <f t="shared" si="140"/>
        <v/>
      </c>
      <c r="U457">
        <f>IF(VLOOKUP(C457,'QA Table'!$Y$5:$Y$20,1,TRUE)=C457,1,0)</f>
        <v>0</v>
      </c>
      <c r="V457" t="str">
        <f t="shared" si="141"/>
        <v/>
      </c>
      <c r="W457" t="str">
        <f t="shared" si="142"/>
        <v/>
      </c>
      <c r="X457" t="str">
        <f t="shared" si="143"/>
        <v/>
      </c>
      <c r="Y457">
        <f t="shared" si="144"/>
        <v>0</v>
      </c>
      <c r="AA457" t="str">
        <f t="shared" si="145"/>
        <v/>
      </c>
    </row>
    <row r="458" spans="1:27" x14ac:dyDescent="0.2">
      <c r="A458" t="s">
        <v>23</v>
      </c>
      <c r="B458" t="s">
        <v>58</v>
      </c>
      <c r="C458" t="s">
        <v>1590</v>
      </c>
      <c r="D458" t="s">
        <v>119</v>
      </c>
      <c r="E458" t="s">
        <v>3</v>
      </c>
      <c r="F458" t="s">
        <v>1587</v>
      </c>
      <c r="G458" t="s">
        <v>1474</v>
      </c>
      <c r="H458" s="4">
        <f t="shared" si="129"/>
        <v>1</v>
      </c>
      <c r="I458" s="4">
        <f>IF(RIGHT(B458,1)="M",IF(AND(H458=1,E458="RFS",D458=INDEX('Station Depth Averages'!$A$3:$B$84,MATCH(B458,'Station Depth Averages'!$A$3:$A$84,0),2)),1,""),IF(AND(H458=1,OR(D458="SYN",D458="SRF",D458="MID")),1,IF(AND(H458=1,OR(E459="FDn",E459="LDn")),1,IF(AND(H458=1,OR(E458="FDn",E458="LDn")),1,""))))</f>
        <v>1</v>
      </c>
      <c r="J458" s="4">
        <f t="shared" si="130"/>
        <v>1</v>
      </c>
      <c r="K458" s="4" t="str">
        <f t="shared" si="131"/>
        <v/>
      </c>
      <c r="L458" s="4" t="str">
        <f t="shared" si="132"/>
        <v/>
      </c>
      <c r="M458" s="4" t="str">
        <f t="shared" si="133"/>
        <v/>
      </c>
      <c r="N458" s="4" t="str">
        <f t="shared" si="134"/>
        <v/>
      </c>
      <c r="O458" s="4" t="str">
        <f t="shared" si="135"/>
        <v/>
      </c>
      <c r="P458" s="4" t="str">
        <f t="shared" si="136"/>
        <v/>
      </c>
      <c r="Q458" s="4" t="str">
        <f t="shared" si="137"/>
        <v/>
      </c>
      <c r="R458" s="4" t="str">
        <f t="shared" si="138"/>
        <v/>
      </c>
      <c r="S458" s="4" t="str">
        <f t="shared" si="139"/>
        <v/>
      </c>
      <c r="T458" s="4" t="str">
        <f t="shared" si="140"/>
        <v/>
      </c>
      <c r="U458">
        <f>IF(VLOOKUP(C458,'QA Table'!$Y$5:$Y$20,1,TRUE)=C458,1,0)</f>
        <v>0</v>
      </c>
      <c r="V458" t="str">
        <f t="shared" si="141"/>
        <v/>
      </c>
      <c r="W458" t="str">
        <f t="shared" si="142"/>
        <v/>
      </c>
      <c r="X458">
        <f t="shared" si="143"/>
        <v>4</v>
      </c>
      <c r="Y458">
        <f t="shared" si="144"/>
        <v>0</v>
      </c>
      <c r="AA458">
        <f t="shared" si="145"/>
        <v>1</v>
      </c>
    </row>
    <row r="459" spans="1:27" x14ac:dyDescent="0.2">
      <c r="A459" t="s">
        <v>23</v>
      </c>
      <c r="B459" t="s">
        <v>58</v>
      </c>
      <c r="C459" t="s">
        <v>1591</v>
      </c>
      <c r="D459" t="s">
        <v>6</v>
      </c>
      <c r="E459" t="s">
        <v>3</v>
      </c>
      <c r="F459" t="s">
        <v>1587</v>
      </c>
      <c r="G459" t="s">
        <v>1474</v>
      </c>
      <c r="H459" s="4">
        <f t="shared" si="129"/>
        <v>1</v>
      </c>
      <c r="I459" s="4" t="str">
        <f>IF(RIGHT(B459,1)="M",IF(AND(H459=1,E459="RFS",D459=INDEX('Station Depth Averages'!$A$3:$B$84,MATCH(B459,'Station Depth Averages'!$A$3:$A$84,0),2)),1,""),IF(AND(H459=1,OR(D459="SYN",D459="SRF",D459="MID")),1,IF(AND(H459=1,OR(E460="FDn",E460="LDn")),1,IF(AND(H459=1,OR(E459="FDn",E459="LDn")),1,""))))</f>
        <v/>
      </c>
      <c r="J459" s="4">
        <f t="shared" si="130"/>
        <v>1</v>
      </c>
      <c r="K459" s="4" t="str">
        <f t="shared" si="131"/>
        <v/>
      </c>
      <c r="L459" s="4" t="str">
        <f t="shared" si="132"/>
        <v/>
      </c>
      <c r="M459" s="4" t="str">
        <f t="shared" si="133"/>
        <v/>
      </c>
      <c r="N459" s="4" t="str">
        <f t="shared" si="134"/>
        <v/>
      </c>
      <c r="O459" s="4" t="str">
        <f t="shared" si="135"/>
        <v/>
      </c>
      <c r="P459" s="4" t="str">
        <f t="shared" si="136"/>
        <v/>
      </c>
      <c r="Q459" s="4" t="str">
        <f t="shared" si="137"/>
        <v/>
      </c>
      <c r="R459" s="4" t="str">
        <f t="shared" si="138"/>
        <v/>
      </c>
      <c r="S459" s="4" t="str">
        <f t="shared" si="139"/>
        <v/>
      </c>
      <c r="T459" s="4" t="str">
        <f t="shared" si="140"/>
        <v/>
      </c>
      <c r="U459">
        <f>IF(VLOOKUP(C459,'QA Table'!$Y$5:$Y$20,1,TRUE)=C459,1,0)</f>
        <v>0</v>
      </c>
      <c r="V459" t="str">
        <f t="shared" si="141"/>
        <v/>
      </c>
      <c r="W459" t="str">
        <f t="shared" si="142"/>
        <v/>
      </c>
      <c r="X459">
        <f t="shared" si="143"/>
        <v>4</v>
      </c>
      <c r="Y459">
        <f t="shared" si="144"/>
        <v>0</v>
      </c>
      <c r="AA459">
        <f t="shared" si="145"/>
        <v>1</v>
      </c>
    </row>
    <row r="460" spans="1:27" x14ac:dyDescent="0.2">
      <c r="A460" t="s">
        <v>23</v>
      </c>
      <c r="B460" t="s">
        <v>58</v>
      </c>
      <c r="C460" t="s">
        <v>1592</v>
      </c>
      <c r="D460" t="s">
        <v>8</v>
      </c>
      <c r="E460" t="s">
        <v>3</v>
      </c>
      <c r="F460" t="s">
        <v>1587</v>
      </c>
      <c r="G460" t="s">
        <v>1474</v>
      </c>
      <c r="H460" s="4">
        <f t="shared" si="129"/>
        <v>1</v>
      </c>
      <c r="I460" s="4" t="str">
        <f>IF(RIGHT(B460,1)="M",IF(AND(H460=1,E460="RFS",D460=INDEX('Station Depth Averages'!$A$3:$B$84,MATCH(B460,'Station Depth Averages'!$A$3:$A$84,0),2)),1,""),IF(AND(H460=1,OR(D460="SYN",D460="SRF",D460="MID")),1,IF(AND(H460=1,OR(E461="FDn",E461="LDn")),1,IF(AND(H460=1,OR(E460="FDn",E460="LDn")),1,""))))</f>
        <v/>
      </c>
      <c r="J460" s="4" t="str">
        <f t="shared" si="130"/>
        <v/>
      </c>
      <c r="K460" s="4">
        <f t="shared" si="131"/>
        <v>1</v>
      </c>
      <c r="L460" s="4" t="str">
        <f t="shared" si="132"/>
        <v/>
      </c>
      <c r="M460" s="4" t="str">
        <f t="shared" si="133"/>
        <v/>
      </c>
      <c r="N460" s="4" t="str">
        <f t="shared" si="134"/>
        <v/>
      </c>
      <c r="O460" s="4" t="str">
        <f t="shared" si="135"/>
        <v/>
      </c>
      <c r="P460" s="4" t="str">
        <f t="shared" si="136"/>
        <v/>
      </c>
      <c r="Q460" s="4">
        <f t="shared" si="137"/>
        <v>1</v>
      </c>
      <c r="R460" s="4" t="str">
        <f t="shared" si="138"/>
        <v/>
      </c>
      <c r="S460" s="4" t="str">
        <f t="shared" si="139"/>
        <v/>
      </c>
      <c r="T460" s="4" t="str">
        <f t="shared" si="140"/>
        <v/>
      </c>
      <c r="U460">
        <f>IF(VLOOKUP(C460,'QA Table'!$Y$5:$Y$20,1,TRUE)=C460,1,0)</f>
        <v>0</v>
      </c>
      <c r="V460" t="str">
        <f t="shared" si="141"/>
        <v/>
      </c>
      <c r="W460" t="str">
        <f t="shared" si="142"/>
        <v/>
      </c>
      <c r="X460">
        <f t="shared" si="143"/>
        <v>4</v>
      </c>
      <c r="Y460">
        <f t="shared" si="144"/>
        <v>0</v>
      </c>
      <c r="AA460">
        <f t="shared" si="145"/>
        <v>1</v>
      </c>
    </row>
    <row r="461" spans="1:27" x14ac:dyDescent="0.2">
      <c r="A461" t="s">
        <v>23</v>
      </c>
      <c r="B461" t="s">
        <v>58</v>
      </c>
      <c r="C461" t="s">
        <v>1593</v>
      </c>
      <c r="D461" t="s">
        <v>9</v>
      </c>
      <c r="E461" t="s">
        <v>3</v>
      </c>
      <c r="F461" t="s">
        <v>1587</v>
      </c>
      <c r="G461" t="s">
        <v>1474</v>
      </c>
      <c r="H461" s="4" t="str">
        <f t="shared" si="129"/>
        <v/>
      </c>
      <c r="I461" s="4" t="str">
        <f>IF(RIGHT(B461,1)="M",IF(AND(H461=1,E461="RFS",D461=INDEX('Station Depth Averages'!$A$3:$B$84,MATCH(B461,'Station Depth Averages'!$A$3:$A$84,0),2)),1,""),IF(AND(H461=1,OR(D461="SYN",D461="SRF",D461="MID")),1,IF(AND(H461=1,OR(E462="FDn",E462="LDn")),1,IF(AND(H461=1,OR(E461="FDn",E461="LDn")),1,""))))</f>
        <v/>
      </c>
      <c r="J461" s="4" t="str">
        <f t="shared" si="130"/>
        <v/>
      </c>
      <c r="K461" s="4" t="str">
        <f t="shared" si="131"/>
        <v/>
      </c>
      <c r="L461" s="4" t="str">
        <f t="shared" si="132"/>
        <v/>
      </c>
      <c r="M461" s="4" t="str">
        <f t="shared" si="133"/>
        <v/>
      </c>
      <c r="N461" s="4" t="str">
        <f t="shared" si="134"/>
        <v/>
      </c>
      <c r="O461" s="4" t="str">
        <f t="shared" si="135"/>
        <v/>
      </c>
      <c r="P461" s="4" t="str">
        <f t="shared" si="136"/>
        <v/>
      </c>
      <c r="Q461" s="4" t="str">
        <f t="shared" si="137"/>
        <v/>
      </c>
      <c r="R461" s="4" t="str">
        <f t="shared" si="138"/>
        <v/>
      </c>
      <c r="S461" s="4" t="str">
        <f t="shared" si="139"/>
        <v/>
      </c>
      <c r="T461" s="4">
        <f t="shared" si="140"/>
        <v>1</v>
      </c>
      <c r="U461">
        <f>IF(VLOOKUP(C461,'QA Table'!$Y$5:$Y$20,1,TRUE)=C461,1,0)</f>
        <v>0</v>
      </c>
      <c r="V461" t="str">
        <f t="shared" si="141"/>
        <v/>
      </c>
      <c r="W461" t="str">
        <f t="shared" si="142"/>
        <v/>
      </c>
      <c r="X461" t="str">
        <f t="shared" si="143"/>
        <v/>
      </c>
      <c r="Y461">
        <f t="shared" si="144"/>
        <v>0</v>
      </c>
      <c r="AA461" t="str">
        <f t="shared" si="145"/>
        <v/>
      </c>
    </row>
    <row r="462" spans="1:27" x14ac:dyDescent="0.2">
      <c r="A462" t="s">
        <v>23</v>
      </c>
      <c r="B462" t="s">
        <v>58</v>
      </c>
      <c r="C462" t="s">
        <v>1594</v>
      </c>
      <c r="D462" t="s">
        <v>10</v>
      </c>
      <c r="E462" t="s">
        <v>3</v>
      </c>
      <c r="F462" t="s">
        <v>1587</v>
      </c>
      <c r="G462" t="s">
        <v>1474</v>
      </c>
      <c r="H462" s="4" t="str">
        <f t="shared" si="129"/>
        <v/>
      </c>
      <c r="I462" s="4" t="str">
        <f>IF(RIGHT(B462,1)="M",IF(AND(H462=1,E462="RFS",D462=INDEX('Station Depth Averages'!$A$3:$B$84,MATCH(B462,'Station Depth Averages'!$A$3:$A$84,0),2)),1,""),IF(AND(H462=1,OR(D462="SYN",D462="SRF",D462="MID")),1,IF(AND(H462=1,OR(E463="FDn",E463="LDn")),1,IF(AND(H462=1,OR(E462="FDn",E462="LDn")),1,""))))</f>
        <v/>
      </c>
      <c r="J462" s="4" t="str">
        <f t="shared" si="130"/>
        <v/>
      </c>
      <c r="K462" s="4" t="str">
        <f t="shared" si="131"/>
        <v/>
      </c>
      <c r="L462" s="4" t="str">
        <f t="shared" si="132"/>
        <v/>
      </c>
      <c r="M462" s="4" t="str">
        <f t="shared" si="133"/>
        <v/>
      </c>
      <c r="N462" s="4" t="str">
        <f t="shared" si="134"/>
        <v/>
      </c>
      <c r="O462" s="4" t="str">
        <f t="shared" si="135"/>
        <v/>
      </c>
      <c r="P462" s="4" t="str">
        <f t="shared" si="136"/>
        <v/>
      </c>
      <c r="Q462" s="4" t="str">
        <f t="shared" si="137"/>
        <v/>
      </c>
      <c r="R462" s="4" t="str">
        <f t="shared" si="138"/>
        <v/>
      </c>
      <c r="S462" s="4" t="str">
        <f t="shared" si="139"/>
        <v/>
      </c>
      <c r="T462" s="4">
        <f t="shared" si="140"/>
        <v>1</v>
      </c>
      <c r="U462">
        <f>IF(VLOOKUP(C462,'QA Table'!$Y$5:$Y$20,1,TRUE)=C462,1,0)</f>
        <v>0</v>
      </c>
      <c r="V462" t="str">
        <f t="shared" si="141"/>
        <v/>
      </c>
      <c r="W462" t="str">
        <f t="shared" si="142"/>
        <v/>
      </c>
      <c r="X462" t="str">
        <f t="shared" si="143"/>
        <v/>
      </c>
      <c r="Y462">
        <f t="shared" si="144"/>
        <v>0</v>
      </c>
      <c r="AA462" t="str">
        <f t="shared" si="145"/>
        <v/>
      </c>
    </row>
    <row r="463" spans="1:27" x14ac:dyDescent="0.2">
      <c r="A463" t="s">
        <v>23</v>
      </c>
      <c r="B463" t="s">
        <v>59</v>
      </c>
      <c r="C463" t="s">
        <v>1595</v>
      </c>
      <c r="D463" t="s">
        <v>2</v>
      </c>
      <c r="E463" t="s">
        <v>3</v>
      </c>
      <c r="F463" t="s">
        <v>1596</v>
      </c>
      <c r="G463" t="s">
        <v>1474</v>
      </c>
      <c r="H463" s="4">
        <f t="shared" si="129"/>
        <v>1</v>
      </c>
      <c r="I463" s="4">
        <f>IF(RIGHT(B463,1)="M",IF(AND(H463=1,E463="RFS",D463=INDEX('Station Depth Averages'!$A$3:$B$84,MATCH(B463,'Station Depth Averages'!$A$3:$A$84,0),2)),1,""),IF(AND(H463=1,OR(D463="SYN",D463="SRF",D463="MID")),1,IF(AND(H463=1,OR(E464="FDn",E464="LDn")),1,IF(AND(H463=1,OR(E463="FDn",E463="LDn")),1,""))))</f>
        <v>1</v>
      </c>
      <c r="J463" s="4">
        <f t="shared" si="130"/>
        <v>1</v>
      </c>
      <c r="K463" s="4" t="str">
        <f t="shared" si="131"/>
        <v/>
      </c>
      <c r="L463" s="4" t="str">
        <f t="shared" si="132"/>
        <v/>
      </c>
      <c r="M463" s="4" t="str">
        <f t="shared" si="133"/>
        <v/>
      </c>
      <c r="N463" s="4" t="str">
        <f t="shared" si="134"/>
        <v/>
      </c>
      <c r="O463" s="4" t="str">
        <f t="shared" si="135"/>
        <v/>
      </c>
      <c r="P463" s="4" t="str">
        <f t="shared" si="136"/>
        <v/>
      </c>
      <c r="Q463" s="4" t="str">
        <f t="shared" si="137"/>
        <v/>
      </c>
      <c r="R463" s="4" t="str">
        <f t="shared" si="138"/>
        <v/>
      </c>
      <c r="S463" s="4" t="str">
        <f t="shared" si="139"/>
        <v/>
      </c>
      <c r="T463" s="4" t="str">
        <f t="shared" si="140"/>
        <v/>
      </c>
      <c r="U463">
        <f>IF(VLOOKUP(C463,'QA Table'!$Y$5:$Y$20,1,TRUE)=C463,1,0)</f>
        <v>0</v>
      </c>
      <c r="V463" t="str">
        <f t="shared" si="141"/>
        <v/>
      </c>
      <c r="W463" t="str">
        <f t="shared" si="142"/>
        <v/>
      </c>
      <c r="X463">
        <f t="shared" si="143"/>
        <v>4</v>
      </c>
      <c r="Y463">
        <f t="shared" si="144"/>
        <v>0</v>
      </c>
      <c r="AA463">
        <f t="shared" si="145"/>
        <v>1</v>
      </c>
    </row>
    <row r="464" spans="1:27" x14ac:dyDescent="0.2">
      <c r="A464" t="s">
        <v>23</v>
      </c>
      <c r="B464" t="s">
        <v>59</v>
      </c>
      <c r="C464" t="s">
        <v>1597</v>
      </c>
      <c r="D464" t="s">
        <v>1050</v>
      </c>
      <c r="E464" t="s">
        <v>3</v>
      </c>
      <c r="F464" t="s">
        <v>1596</v>
      </c>
      <c r="G464" t="s">
        <v>1474</v>
      </c>
      <c r="H464" s="4" t="str">
        <f t="shared" si="129"/>
        <v/>
      </c>
      <c r="I464" s="4" t="str">
        <f>IF(RIGHT(B464,1)="M",IF(AND(H464=1,E464="RFS",D464=INDEX('Station Depth Averages'!$A$3:$B$84,MATCH(B464,'Station Depth Averages'!$A$3:$A$84,0),2)),1,""),IF(AND(H464=1,OR(D464="SYN",D464="SRF",D464="MID")),1,IF(AND(H464=1,OR(E465="FDn",E465="LDn")),1,IF(AND(H464=1,OR(E464="FDn",E464="LDn")),1,""))))</f>
        <v/>
      </c>
      <c r="J464" s="4" t="str">
        <f t="shared" si="130"/>
        <v/>
      </c>
      <c r="K464" s="4" t="str">
        <f t="shared" si="131"/>
        <v/>
      </c>
      <c r="L464" s="4" t="str">
        <f t="shared" si="132"/>
        <v/>
      </c>
      <c r="M464" s="4" t="str">
        <f t="shared" si="133"/>
        <v/>
      </c>
      <c r="N464" s="4" t="str">
        <f t="shared" si="134"/>
        <v/>
      </c>
      <c r="O464" s="4" t="str">
        <f t="shared" si="135"/>
        <v/>
      </c>
      <c r="P464" s="4" t="str">
        <f t="shared" si="136"/>
        <v/>
      </c>
      <c r="Q464" s="4" t="str">
        <f t="shared" si="137"/>
        <v/>
      </c>
      <c r="R464" s="4" t="str">
        <f t="shared" si="138"/>
        <v/>
      </c>
      <c r="S464" s="4" t="str">
        <f t="shared" si="139"/>
        <v/>
      </c>
      <c r="T464" s="4" t="str">
        <f t="shared" si="140"/>
        <v/>
      </c>
      <c r="U464">
        <f>IF(VLOOKUP(C464,'QA Table'!$Y$5:$Y$20,1,TRUE)=C464,1,0)</f>
        <v>0</v>
      </c>
      <c r="V464" t="str">
        <f t="shared" si="141"/>
        <v/>
      </c>
      <c r="W464" t="str">
        <f t="shared" si="142"/>
        <v/>
      </c>
      <c r="X464" t="str">
        <f t="shared" si="143"/>
        <v/>
      </c>
      <c r="Y464">
        <f t="shared" si="144"/>
        <v>0</v>
      </c>
      <c r="AA464" t="str">
        <f t="shared" si="145"/>
        <v/>
      </c>
    </row>
    <row r="465" spans="1:27" x14ac:dyDescent="0.2">
      <c r="A465" t="s">
        <v>23</v>
      </c>
      <c r="B465" t="s">
        <v>59</v>
      </c>
      <c r="C465" t="s">
        <v>1598</v>
      </c>
      <c r="D465" t="s">
        <v>4</v>
      </c>
      <c r="E465" t="s">
        <v>3</v>
      </c>
      <c r="F465" t="s">
        <v>1596</v>
      </c>
      <c r="G465" t="s">
        <v>1474</v>
      </c>
      <c r="H465" s="4" t="str">
        <f t="shared" si="129"/>
        <v/>
      </c>
      <c r="I465" s="4" t="str">
        <f>IF(RIGHT(B465,1)="M",IF(AND(H465=1,E465="RFS",D465=INDEX('Station Depth Averages'!$A$3:$B$84,MATCH(B465,'Station Depth Averages'!$A$3:$A$84,0),2)),1,""),IF(AND(H465=1,OR(D465="SYN",D465="SRF",D465="MID")),1,IF(AND(H465=1,OR(E466="FDn",E466="LDn")),1,IF(AND(H465=1,OR(E465="FDn",E465="LDn")),1,""))))</f>
        <v/>
      </c>
      <c r="J465" s="4" t="str">
        <f t="shared" si="130"/>
        <v/>
      </c>
      <c r="K465" s="4" t="str">
        <f t="shared" si="131"/>
        <v/>
      </c>
      <c r="L465" s="4" t="str">
        <f t="shared" si="132"/>
        <v/>
      </c>
      <c r="M465" s="4" t="str">
        <f t="shared" si="133"/>
        <v/>
      </c>
      <c r="N465" s="4" t="str">
        <f t="shared" si="134"/>
        <v/>
      </c>
      <c r="O465" s="4" t="str">
        <f t="shared" si="135"/>
        <v/>
      </c>
      <c r="P465" s="4" t="str">
        <f t="shared" si="136"/>
        <v/>
      </c>
      <c r="Q465" s="4" t="str">
        <f t="shared" si="137"/>
        <v/>
      </c>
      <c r="R465" s="4" t="str">
        <f t="shared" si="138"/>
        <v/>
      </c>
      <c r="S465" s="4" t="str">
        <f t="shared" si="139"/>
        <v/>
      </c>
      <c r="T465" s="4" t="str">
        <f t="shared" si="140"/>
        <v/>
      </c>
      <c r="U465">
        <f>IF(VLOOKUP(C465,'QA Table'!$Y$5:$Y$20,1,TRUE)=C465,1,0)</f>
        <v>0</v>
      </c>
      <c r="V465" t="str">
        <f t="shared" si="141"/>
        <v/>
      </c>
      <c r="W465" t="str">
        <f t="shared" si="142"/>
        <v/>
      </c>
      <c r="X465" t="str">
        <f t="shared" si="143"/>
        <v/>
      </c>
      <c r="Y465">
        <f t="shared" si="144"/>
        <v>0</v>
      </c>
      <c r="AA465" t="str">
        <f t="shared" si="145"/>
        <v/>
      </c>
    </row>
    <row r="466" spans="1:27" x14ac:dyDescent="0.2">
      <c r="A466" t="s">
        <v>23</v>
      </c>
      <c r="B466" t="s">
        <v>59</v>
      </c>
      <c r="C466" t="s">
        <v>1599</v>
      </c>
      <c r="D466" t="s">
        <v>119</v>
      </c>
      <c r="E466" t="s">
        <v>3</v>
      </c>
      <c r="F466" t="s">
        <v>1596</v>
      </c>
      <c r="G466" t="s">
        <v>1474</v>
      </c>
      <c r="H466" s="4">
        <f t="shared" si="129"/>
        <v>1</v>
      </c>
      <c r="I466" s="4">
        <f>IF(RIGHT(B466,1)="M",IF(AND(H466=1,E466="RFS",D466=INDEX('Station Depth Averages'!$A$3:$B$84,MATCH(B466,'Station Depth Averages'!$A$3:$A$84,0),2)),1,""),IF(AND(H466=1,OR(D466="SYN",D466="SRF",D466="MID")),1,IF(AND(H466=1,OR(E467="FDn",E467="LDn")),1,IF(AND(H466=1,OR(E466="FDn",E466="LDn")),1,""))))</f>
        <v>1</v>
      </c>
      <c r="J466" s="4">
        <f t="shared" si="130"/>
        <v>1</v>
      </c>
      <c r="K466" s="4" t="str">
        <f t="shared" si="131"/>
        <v/>
      </c>
      <c r="L466" s="4" t="str">
        <f t="shared" si="132"/>
        <v/>
      </c>
      <c r="M466" s="4" t="str">
        <f t="shared" si="133"/>
        <v/>
      </c>
      <c r="N466" s="4" t="str">
        <f t="shared" si="134"/>
        <v/>
      </c>
      <c r="O466" s="4" t="str">
        <f t="shared" si="135"/>
        <v/>
      </c>
      <c r="P466" s="4" t="str">
        <f t="shared" si="136"/>
        <v/>
      </c>
      <c r="Q466" s="4" t="str">
        <f t="shared" si="137"/>
        <v/>
      </c>
      <c r="R466" s="4" t="str">
        <f t="shared" si="138"/>
        <v/>
      </c>
      <c r="S466" s="4" t="str">
        <f t="shared" si="139"/>
        <v/>
      </c>
      <c r="T466" s="4" t="str">
        <f t="shared" si="140"/>
        <v/>
      </c>
      <c r="U466">
        <f>IF(VLOOKUP(C466,'QA Table'!$Y$5:$Y$20,1,TRUE)=C466,1,0)</f>
        <v>0</v>
      </c>
      <c r="V466" t="str">
        <f t="shared" si="141"/>
        <v/>
      </c>
      <c r="W466" t="str">
        <f t="shared" si="142"/>
        <v/>
      </c>
      <c r="X466">
        <f t="shared" si="143"/>
        <v>4</v>
      </c>
      <c r="Y466">
        <f t="shared" si="144"/>
        <v>0</v>
      </c>
      <c r="AA466">
        <f t="shared" si="145"/>
        <v>1</v>
      </c>
    </row>
    <row r="467" spans="1:27" x14ac:dyDescent="0.2">
      <c r="A467" t="s">
        <v>23</v>
      </c>
      <c r="B467" t="s">
        <v>59</v>
      </c>
      <c r="C467" t="s">
        <v>1600</v>
      </c>
      <c r="D467" t="s">
        <v>6</v>
      </c>
      <c r="E467" t="s">
        <v>3</v>
      </c>
      <c r="F467" t="s">
        <v>1596</v>
      </c>
      <c r="G467" t="s">
        <v>1474</v>
      </c>
      <c r="H467" s="4">
        <f t="shared" si="129"/>
        <v>1</v>
      </c>
      <c r="I467" s="4" t="str">
        <f>IF(RIGHT(B467,1)="M",IF(AND(H467=1,E467="RFS",D467=INDEX('Station Depth Averages'!$A$3:$B$84,MATCH(B467,'Station Depth Averages'!$A$3:$A$84,0),2)),1,""),IF(AND(H467=1,OR(D467="SYN",D467="SRF",D467="MID")),1,IF(AND(H467=1,OR(E468="FDn",E468="LDn")),1,IF(AND(H467=1,OR(E467="FDn",E467="LDn")),1,""))))</f>
        <v/>
      </c>
      <c r="J467" s="4">
        <f t="shared" si="130"/>
        <v>1</v>
      </c>
      <c r="K467" s="4" t="str">
        <f t="shared" si="131"/>
        <v/>
      </c>
      <c r="L467" s="4" t="str">
        <f t="shared" si="132"/>
        <v/>
      </c>
      <c r="M467" s="4" t="str">
        <f t="shared" si="133"/>
        <v/>
      </c>
      <c r="N467" s="4" t="str">
        <f t="shared" si="134"/>
        <v/>
      </c>
      <c r="O467" s="4" t="str">
        <f t="shared" si="135"/>
        <v/>
      </c>
      <c r="P467" s="4" t="str">
        <f t="shared" si="136"/>
        <v/>
      </c>
      <c r="Q467" s="4" t="str">
        <f t="shared" si="137"/>
        <v/>
      </c>
      <c r="R467" s="4" t="str">
        <f t="shared" si="138"/>
        <v/>
      </c>
      <c r="S467" s="4" t="str">
        <f t="shared" si="139"/>
        <v/>
      </c>
      <c r="T467" s="4" t="str">
        <f t="shared" si="140"/>
        <v/>
      </c>
      <c r="U467">
        <f>IF(VLOOKUP(C467,'QA Table'!$Y$5:$Y$20,1,TRUE)=C467,1,0)</f>
        <v>0</v>
      </c>
      <c r="V467" t="str">
        <f t="shared" si="141"/>
        <v/>
      </c>
      <c r="W467" t="str">
        <f t="shared" si="142"/>
        <v/>
      </c>
      <c r="X467">
        <f t="shared" si="143"/>
        <v>4</v>
      </c>
      <c r="Y467">
        <f t="shared" si="144"/>
        <v>0</v>
      </c>
      <c r="AA467">
        <f t="shared" si="145"/>
        <v>1</v>
      </c>
    </row>
    <row r="468" spans="1:27" x14ac:dyDescent="0.2">
      <c r="A468" t="s">
        <v>23</v>
      </c>
      <c r="B468" t="s">
        <v>59</v>
      </c>
      <c r="C468" t="s">
        <v>1601</v>
      </c>
      <c r="D468" t="s">
        <v>8</v>
      </c>
      <c r="E468" t="s">
        <v>3</v>
      </c>
      <c r="F468" t="s">
        <v>1596</v>
      </c>
      <c r="G468" t="s">
        <v>1474</v>
      </c>
      <c r="H468" s="4">
        <f t="shared" si="129"/>
        <v>1</v>
      </c>
      <c r="I468" s="4" t="str">
        <f>IF(RIGHT(B468,1)="M",IF(AND(H468=1,E468="RFS",D468=INDEX('Station Depth Averages'!$A$3:$B$84,MATCH(B468,'Station Depth Averages'!$A$3:$A$84,0),2)),1,""),IF(AND(H468=1,OR(D468="SYN",D468="SRF",D468="MID")),1,IF(AND(H468=1,OR(E469="FDn",E469="LDn")),1,IF(AND(H468=1,OR(E468="FDn",E468="LDn")),1,""))))</f>
        <v/>
      </c>
      <c r="J468" s="4" t="str">
        <f t="shared" si="130"/>
        <v/>
      </c>
      <c r="K468" s="4">
        <f t="shared" si="131"/>
        <v>1</v>
      </c>
      <c r="L468" s="4" t="str">
        <f t="shared" si="132"/>
        <v/>
      </c>
      <c r="M468" s="4" t="str">
        <f t="shared" si="133"/>
        <v/>
      </c>
      <c r="N468" s="4" t="str">
        <f t="shared" si="134"/>
        <v/>
      </c>
      <c r="O468" s="4" t="str">
        <f t="shared" si="135"/>
        <v/>
      </c>
      <c r="P468" s="4" t="str">
        <f t="shared" si="136"/>
        <v/>
      </c>
      <c r="Q468" s="4">
        <f t="shared" si="137"/>
        <v>1</v>
      </c>
      <c r="R468" s="4" t="str">
        <f t="shared" si="138"/>
        <v/>
      </c>
      <c r="S468" s="4" t="str">
        <f t="shared" si="139"/>
        <v/>
      </c>
      <c r="T468" s="4" t="str">
        <f t="shared" si="140"/>
        <v/>
      </c>
      <c r="U468">
        <f>IF(VLOOKUP(C468,'QA Table'!$Y$5:$Y$20,1,TRUE)=C468,1,0)</f>
        <v>0</v>
      </c>
      <c r="V468" t="str">
        <f t="shared" si="141"/>
        <v/>
      </c>
      <c r="W468" t="str">
        <f t="shared" si="142"/>
        <v/>
      </c>
      <c r="X468">
        <f t="shared" si="143"/>
        <v>4</v>
      </c>
      <c r="Y468">
        <f t="shared" si="144"/>
        <v>0</v>
      </c>
      <c r="AA468">
        <f t="shared" si="145"/>
        <v>1</v>
      </c>
    </row>
    <row r="469" spans="1:27" x14ac:dyDescent="0.2">
      <c r="A469" t="s">
        <v>23</v>
      </c>
      <c r="B469" t="s">
        <v>59</v>
      </c>
      <c r="C469" t="s">
        <v>1602</v>
      </c>
      <c r="D469" t="s">
        <v>9</v>
      </c>
      <c r="E469" t="s">
        <v>3</v>
      </c>
      <c r="F469" t="s">
        <v>1596</v>
      </c>
      <c r="G469" t="s">
        <v>1474</v>
      </c>
      <c r="H469" s="4" t="str">
        <f t="shared" si="129"/>
        <v/>
      </c>
      <c r="I469" s="4" t="str">
        <f>IF(RIGHT(B469,1)="M",IF(AND(H469=1,E469="RFS",D469=INDEX('Station Depth Averages'!$A$3:$B$84,MATCH(B469,'Station Depth Averages'!$A$3:$A$84,0),2)),1,""),IF(AND(H469=1,OR(D469="SYN",D469="SRF",D469="MID")),1,IF(AND(H469=1,OR(E470="FDn",E470="LDn")),1,IF(AND(H469=1,OR(E469="FDn",E469="LDn")),1,""))))</f>
        <v/>
      </c>
      <c r="J469" s="4" t="str">
        <f t="shared" si="130"/>
        <v/>
      </c>
      <c r="K469" s="4" t="str">
        <f t="shared" si="131"/>
        <v/>
      </c>
      <c r="L469" s="4" t="str">
        <f t="shared" si="132"/>
        <v/>
      </c>
      <c r="M469" s="4" t="str">
        <f t="shared" si="133"/>
        <v/>
      </c>
      <c r="N469" s="4" t="str">
        <f t="shared" si="134"/>
        <v/>
      </c>
      <c r="O469" s="4" t="str">
        <f t="shared" si="135"/>
        <v/>
      </c>
      <c r="P469" s="4" t="str">
        <f t="shared" si="136"/>
        <v/>
      </c>
      <c r="Q469" s="4" t="str">
        <f t="shared" si="137"/>
        <v/>
      </c>
      <c r="R469" s="4" t="str">
        <f t="shared" si="138"/>
        <v/>
      </c>
      <c r="S469" s="4" t="str">
        <f t="shared" si="139"/>
        <v/>
      </c>
      <c r="T469" s="4">
        <f t="shared" si="140"/>
        <v>1</v>
      </c>
      <c r="U469">
        <f>IF(VLOOKUP(C469,'QA Table'!$Y$5:$Y$20,1,TRUE)=C469,1,0)</f>
        <v>0</v>
      </c>
      <c r="V469" t="str">
        <f t="shared" si="141"/>
        <v/>
      </c>
      <c r="W469" t="str">
        <f t="shared" si="142"/>
        <v/>
      </c>
      <c r="X469" t="str">
        <f t="shared" si="143"/>
        <v/>
      </c>
      <c r="Y469">
        <f t="shared" si="144"/>
        <v>0</v>
      </c>
      <c r="AA469" t="str">
        <f t="shared" si="145"/>
        <v/>
      </c>
    </row>
    <row r="470" spans="1:27" x14ac:dyDescent="0.2">
      <c r="A470" t="s">
        <v>23</v>
      </c>
      <c r="B470" t="s">
        <v>59</v>
      </c>
      <c r="C470" t="s">
        <v>1603</v>
      </c>
      <c r="D470" t="s">
        <v>10</v>
      </c>
      <c r="E470" t="s">
        <v>3</v>
      </c>
      <c r="F470" t="s">
        <v>1596</v>
      </c>
      <c r="G470" t="s">
        <v>1474</v>
      </c>
      <c r="H470" s="4" t="str">
        <f t="shared" si="129"/>
        <v/>
      </c>
      <c r="I470" s="4" t="str">
        <f>IF(RIGHT(B470,1)="M",IF(AND(H470=1,E470="RFS",D470=INDEX('Station Depth Averages'!$A$3:$B$84,MATCH(B470,'Station Depth Averages'!$A$3:$A$84,0),2)),1,""),IF(AND(H470=1,OR(D470="SYN",D470="SRF",D470="MID")),1,IF(AND(H470=1,OR(E471="FDn",E471="LDn")),1,IF(AND(H470=1,OR(E470="FDn",E470="LDn")),1,""))))</f>
        <v/>
      </c>
      <c r="J470" s="4" t="str">
        <f t="shared" si="130"/>
        <v/>
      </c>
      <c r="K470" s="4" t="str">
        <f t="shared" si="131"/>
        <v/>
      </c>
      <c r="L470" s="4" t="str">
        <f t="shared" si="132"/>
        <v/>
      </c>
      <c r="M470" s="4" t="str">
        <f t="shared" si="133"/>
        <v/>
      </c>
      <c r="N470" s="4" t="str">
        <f t="shared" si="134"/>
        <v/>
      </c>
      <c r="O470" s="4" t="str">
        <f t="shared" si="135"/>
        <v/>
      </c>
      <c r="P470" s="4" t="str">
        <f t="shared" si="136"/>
        <v/>
      </c>
      <c r="Q470" s="4" t="str">
        <f t="shared" si="137"/>
        <v/>
      </c>
      <c r="R470" s="4" t="str">
        <f t="shared" si="138"/>
        <v/>
      </c>
      <c r="S470" s="4" t="str">
        <f t="shared" si="139"/>
        <v/>
      </c>
      <c r="T470" s="4">
        <f t="shared" si="140"/>
        <v>1</v>
      </c>
      <c r="U470">
        <f>IF(VLOOKUP(C470,'QA Table'!$Y$5:$Y$20,1,TRUE)=C470,1,0)</f>
        <v>0</v>
      </c>
      <c r="V470" t="str">
        <f t="shared" si="141"/>
        <v/>
      </c>
      <c r="W470" t="str">
        <f t="shared" si="142"/>
        <v/>
      </c>
      <c r="X470" t="str">
        <f t="shared" si="143"/>
        <v/>
      </c>
      <c r="Y470">
        <f t="shared" si="144"/>
        <v>0</v>
      </c>
      <c r="AA470" t="str">
        <f t="shared" si="145"/>
        <v/>
      </c>
    </row>
    <row r="471" spans="1:27" x14ac:dyDescent="0.2">
      <c r="A471" t="s">
        <v>23</v>
      </c>
      <c r="B471" t="s">
        <v>60</v>
      </c>
      <c r="C471" t="s">
        <v>1604</v>
      </c>
      <c r="D471" t="s">
        <v>2</v>
      </c>
      <c r="E471" t="s">
        <v>3</v>
      </c>
      <c r="F471" t="s">
        <v>1605</v>
      </c>
      <c r="G471" t="s">
        <v>1474</v>
      </c>
      <c r="H471" s="4">
        <f t="shared" si="129"/>
        <v>1</v>
      </c>
      <c r="I471" s="4">
        <f>IF(RIGHT(B471,1)="M",IF(AND(H471=1,E471="RFS",D471=INDEX('Station Depth Averages'!$A$3:$B$84,MATCH(B471,'Station Depth Averages'!$A$3:$A$84,0),2)),1,""),IF(AND(H471=1,OR(D471="SYN",D471="SRF",D471="MID")),1,IF(AND(H471=1,OR(E472="FDn",E472="LDn")),1,IF(AND(H471=1,OR(E471="FDn",E471="LDn")),1,""))))</f>
        <v>1</v>
      </c>
      <c r="J471" s="4">
        <f t="shared" si="130"/>
        <v>1</v>
      </c>
      <c r="K471" s="4" t="str">
        <f t="shared" si="131"/>
        <v/>
      </c>
      <c r="L471" s="4" t="str">
        <f t="shared" si="132"/>
        <v/>
      </c>
      <c r="M471" s="4" t="str">
        <f t="shared" si="133"/>
        <v/>
      </c>
      <c r="N471" s="4" t="str">
        <f t="shared" si="134"/>
        <v/>
      </c>
      <c r="O471" s="4" t="str">
        <f t="shared" si="135"/>
        <v/>
      </c>
      <c r="P471" s="4" t="str">
        <f t="shared" si="136"/>
        <v/>
      </c>
      <c r="Q471" s="4" t="str">
        <f t="shared" si="137"/>
        <v/>
      </c>
      <c r="R471" s="4" t="str">
        <f t="shared" si="138"/>
        <v/>
      </c>
      <c r="S471" s="4" t="str">
        <f t="shared" si="139"/>
        <v/>
      </c>
      <c r="T471" s="4" t="str">
        <f t="shared" si="140"/>
        <v/>
      </c>
      <c r="U471">
        <f>IF(VLOOKUP(C471,'QA Table'!$Y$5:$Y$20,1,TRUE)=C471,1,0)</f>
        <v>0</v>
      </c>
      <c r="V471" t="str">
        <f t="shared" si="141"/>
        <v/>
      </c>
      <c r="W471" t="str">
        <f t="shared" si="142"/>
        <v/>
      </c>
      <c r="X471">
        <f t="shared" si="143"/>
        <v>4</v>
      </c>
      <c r="Y471">
        <f t="shared" si="144"/>
        <v>0</v>
      </c>
      <c r="AA471">
        <f t="shared" si="145"/>
        <v>1</v>
      </c>
    </row>
    <row r="472" spans="1:27" x14ac:dyDescent="0.2">
      <c r="A472" t="s">
        <v>23</v>
      </c>
      <c r="B472" t="s">
        <v>60</v>
      </c>
      <c r="C472" t="s">
        <v>1606</v>
      </c>
      <c r="D472" t="s">
        <v>1050</v>
      </c>
      <c r="E472" t="s">
        <v>3</v>
      </c>
      <c r="F472" t="s">
        <v>1605</v>
      </c>
      <c r="G472" t="s">
        <v>1474</v>
      </c>
      <c r="H472" s="4" t="str">
        <f t="shared" si="129"/>
        <v/>
      </c>
      <c r="I472" s="4" t="str">
        <f>IF(RIGHT(B472,1)="M",IF(AND(H472=1,E472="RFS",D472=INDEX('Station Depth Averages'!$A$3:$B$84,MATCH(B472,'Station Depth Averages'!$A$3:$A$84,0),2)),1,""),IF(AND(H472=1,OR(D472="SYN",D472="SRF",D472="MID")),1,IF(AND(H472=1,OR(E473="FDn",E473="LDn")),1,IF(AND(H472=1,OR(E472="FDn",E472="LDn")),1,""))))</f>
        <v/>
      </c>
      <c r="J472" s="4" t="str">
        <f t="shared" si="130"/>
        <v/>
      </c>
      <c r="K472" s="4" t="str">
        <f t="shared" si="131"/>
        <v/>
      </c>
      <c r="L472" s="4" t="str">
        <f t="shared" si="132"/>
        <v/>
      </c>
      <c r="M472" s="4" t="str">
        <f t="shared" si="133"/>
        <v/>
      </c>
      <c r="N472" s="4" t="str">
        <f t="shared" si="134"/>
        <v/>
      </c>
      <c r="O472" s="4" t="str">
        <f t="shared" si="135"/>
        <v/>
      </c>
      <c r="P472" s="4" t="str">
        <f t="shared" si="136"/>
        <v/>
      </c>
      <c r="Q472" s="4" t="str">
        <f t="shared" si="137"/>
        <v/>
      </c>
      <c r="R472" s="4" t="str">
        <f t="shared" si="138"/>
        <v/>
      </c>
      <c r="S472" s="4" t="str">
        <f t="shared" si="139"/>
        <v/>
      </c>
      <c r="T472" s="4" t="str">
        <f t="shared" si="140"/>
        <v/>
      </c>
      <c r="U472">
        <f>IF(VLOOKUP(C472,'QA Table'!$Y$5:$Y$20,1,TRUE)=C472,1,0)</f>
        <v>0</v>
      </c>
      <c r="V472" t="str">
        <f t="shared" si="141"/>
        <v/>
      </c>
      <c r="W472" t="str">
        <f t="shared" si="142"/>
        <v/>
      </c>
      <c r="X472" t="str">
        <f t="shared" si="143"/>
        <v/>
      </c>
      <c r="Y472">
        <f t="shared" si="144"/>
        <v>0</v>
      </c>
      <c r="AA472" t="str">
        <f t="shared" si="145"/>
        <v/>
      </c>
    </row>
    <row r="473" spans="1:27" x14ac:dyDescent="0.2">
      <c r="A473" t="s">
        <v>23</v>
      </c>
      <c r="B473" t="s">
        <v>60</v>
      </c>
      <c r="C473" t="s">
        <v>1607</v>
      </c>
      <c r="D473" t="s">
        <v>4</v>
      </c>
      <c r="E473" t="s">
        <v>3</v>
      </c>
      <c r="F473" t="s">
        <v>1605</v>
      </c>
      <c r="G473" t="s">
        <v>1474</v>
      </c>
      <c r="H473" s="4" t="str">
        <f t="shared" si="129"/>
        <v/>
      </c>
      <c r="I473" s="4" t="str">
        <f>IF(RIGHT(B473,1)="M",IF(AND(H473=1,E473="RFS",D473=INDEX('Station Depth Averages'!$A$3:$B$84,MATCH(B473,'Station Depth Averages'!$A$3:$A$84,0),2)),1,""),IF(AND(H473=1,OR(D473="SYN",D473="SRF",D473="MID")),1,IF(AND(H473=1,OR(E474="FDn",E474="LDn")),1,IF(AND(H473=1,OR(E473="FDn",E473="LDn")),1,""))))</f>
        <v/>
      </c>
      <c r="J473" s="4" t="str">
        <f t="shared" si="130"/>
        <v/>
      </c>
      <c r="K473" s="4" t="str">
        <f t="shared" si="131"/>
        <v/>
      </c>
      <c r="L473" s="4" t="str">
        <f t="shared" si="132"/>
        <v/>
      </c>
      <c r="M473" s="4" t="str">
        <f t="shared" si="133"/>
        <v/>
      </c>
      <c r="N473" s="4" t="str">
        <f t="shared" si="134"/>
        <v/>
      </c>
      <c r="O473" s="4" t="str">
        <f t="shared" si="135"/>
        <v/>
      </c>
      <c r="P473" s="4" t="str">
        <f t="shared" si="136"/>
        <v/>
      </c>
      <c r="Q473" s="4" t="str">
        <f t="shared" si="137"/>
        <v/>
      </c>
      <c r="R473" s="4" t="str">
        <f t="shared" si="138"/>
        <v/>
      </c>
      <c r="S473" s="4" t="str">
        <f t="shared" si="139"/>
        <v/>
      </c>
      <c r="T473" s="4" t="str">
        <f t="shared" si="140"/>
        <v/>
      </c>
      <c r="U473">
        <f>IF(VLOOKUP(C473,'QA Table'!$Y$5:$Y$20,1,TRUE)=C473,1,0)</f>
        <v>0</v>
      </c>
      <c r="V473" t="str">
        <f t="shared" si="141"/>
        <v/>
      </c>
      <c r="W473" t="str">
        <f t="shared" si="142"/>
        <v/>
      </c>
      <c r="X473" t="str">
        <f t="shared" si="143"/>
        <v/>
      </c>
      <c r="Y473">
        <f t="shared" si="144"/>
        <v>0</v>
      </c>
      <c r="AA473" t="str">
        <f t="shared" si="145"/>
        <v/>
      </c>
    </row>
    <row r="474" spans="1:27" x14ac:dyDescent="0.2">
      <c r="A474" t="s">
        <v>23</v>
      </c>
      <c r="B474" t="s">
        <v>60</v>
      </c>
      <c r="C474" t="s">
        <v>1608</v>
      </c>
      <c r="D474" t="s">
        <v>119</v>
      </c>
      <c r="E474" t="s">
        <v>3</v>
      </c>
      <c r="F474" t="s">
        <v>1605</v>
      </c>
      <c r="G474" t="s">
        <v>1474</v>
      </c>
      <c r="H474" s="4">
        <f t="shared" si="129"/>
        <v>1</v>
      </c>
      <c r="I474" s="4">
        <f>IF(RIGHT(B474,1)="M",IF(AND(H474=1,E474="RFS",D474=INDEX('Station Depth Averages'!$A$3:$B$84,MATCH(B474,'Station Depth Averages'!$A$3:$A$84,0),2)),1,""),IF(AND(H474=1,OR(D474="SYN",D474="SRF",D474="MID")),1,IF(AND(H474=1,OR(E475="FDn",E475="LDn")),1,IF(AND(H474=1,OR(E474="FDn",E474="LDn")),1,""))))</f>
        <v>1</v>
      </c>
      <c r="J474" s="4">
        <f t="shared" si="130"/>
        <v>1</v>
      </c>
      <c r="K474" s="4" t="str">
        <f t="shared" si="131"/>
        <v/>
      </c>
      <c r="L474" s="4" t="str">
        <f t="shared" si="132"/>
        <v/>
      </c>
      <c r="M474" s="4" t="str">
        <f t="shared" si="133"/>
        <v/>
      </c>
      <c r="N474" s="4" t="str">
        <f t="shared" si="134"/>
        <v/>
      </c>
      <c r="O474" s="4" t="str">
        <f t="shared" si="135"/>
        <v/>
      </c>
      <c r="P474" s="4" t="str">
        <f t="shared" si="136"/>
        <v/>
      </c>
      <c r="Q474" s="4" t="str">
        <f t="shared" si="137"/>
        <v/>
      </c>
      <c r="R474" s="4" t="str">
        <f t="shared" si="138"/>
        <v/>
      </c>
      <c r="S474" s="4" t="str">
        <f t="shared" si="139"/>
        <v/>
      </c>
      <c r="T474" s="4" t="str">
        <f t="shared" si="140"/>
        <v/>
      </c>
      <c r="U474">
        <f>IF(VLOOKUP(C474,'QA Table'!$Y$5:$Y$20,1,TRUE)=C474,1,0)</f>
        <v>0</v>
      </c>
      <c r="V474" t="str">
        <f t="shared" si="141"/>
        <v/>
      </c>
      <c r="W474" t="str">
        <f t="shared" si="142"/>
        <v/>
      </c>
      <c r="X474">
        <f t="shared" si="143"/>
        <v>4</v>
      </c>
      <c r="Y474">
        <f t="shared" si="144"/>
        <v>0</v>
      </c>
      <c r="AA474">
        <f t="shared" si="145"/>
        <v>1</v>
      </c>
    </row>
    <row r="475" spans="1:27" x14ac:dyDescent="0.2">
      <c r="A475" t="s">
        <v>23</v>
      </c>
      <c r="B475" t="s">
        <v>60</v>
      </c>
      <c r="C475" t="s">
        <v>1609</v>
      </c>
      <c r="D475" t="s">
        <v>6</v>
      </c>
      <c r="E475" t="s">
        <v>3</v>
      </c>
      <c r="F475" t="s">
        <v>1605</v>
      </c>
      <c r="G475" t="s">
        <v>1474</v>
      </c>
      <c r="H475" s="4">
        <f t="shared" si="129"/>
        <v>1</v>
      </c>
      <c r="I475" s="4" t="str">
        <f>IF(RIGHT(B475,1)="M",IF(AND(H475=1,E475="RFS",D475=INDEX('Station Depth Averages'!$A$3:$B$84,MATCH(B475,'Station Depth Averages'!$A$3:$A$84,0),2)),1,""),IF(AND(H475=1,OR(D475="SYN",D475="SRF",D475="MID")),1,IF(AND(H475=1,OR(E476="FDn",E476="LDn")),1,IF(AND(H475=1,OR(E475="FDn",E475="LDn")),1,""))))</f>
        <v/>
      </c>
      <c r="J475" s="4">
        <f t="shared" si="130"/>
        <v>1</v>
      </c>
      <c r="K475" s="4" t="str">
        <f t="shared" si="131"/>
        <v/>
      </c>
      <c r="L475" s="4" t="str">
        <f t="shared" si="132"/>
        <v/>
      </c>
      <c r="M475" s="4" t="str">
        <f t="shared" si="133"/>
        <v/>
      </c>
      <c r="N475" s="4" t="str">
        <f t="shared" si="134"/>
        <v/>
      </c>
      <c r="O475" s="4" t="str">
        <f t="shared" si="135"/>
        <v/>
      </c>
      <c r="P475" s="4" t="str">
        <f t="shared" si="136"/>
        <v/>
      </c>
      <c r="Q475" s="4" t="str">
        <f t="shared" si="137"/>
        <v/>
      </c>
      <c r="R475" s="4" t="str">
        <f t="shared" si="138"/>
        <v/>
      </c>
      <c r="S475" s="4" t="str">
        <f t="shared" si="139"/>
        <v/>
      </c>
      <c r="T475" s="4" t="str">
        <f t="shared" si="140"/>
        <v/>
      </c>
      <c r="U475">
        <f>IF(VLOOKUP(C475,'QA Table'!$Y$5:$Y$20,1,TRUE)=C475,1,0)</f>
        <v>0</v>
      </c>
      <c r="V475" t="str">
        <f t="shared" si="141"/>
        <v/>
      </c>
      <c r="W475" t="str">
        <f t="shared" si="142"/>
        <v/>
      </c>
      <c r="X475">
        <f t="shared" si="143"/>
        <v>4</v>
      </c>
      <c r="Y475">
        <f t="shared" si="144"/>
        <v>0</v>
      </c>
      <c r="AA475">
        <f t="shared" si="145"/>
        <v>1</v>
      </c>
    </row>
    <row r="476" spans="1:27" x14ac:dyDescent="0.2">
      <c r="A476" t="s">
        <v>23</v>
      </c>
      <c r="B476" t="s">
        <v>60</v>
      </c>
      <c r="C476" t="s">
        <v>1610</v>
      </c>
      <c r="D476" t="s">
        <v>8</v>
      </c>
      <c r="E476" t="s">
        <v>3</v>
      </c>
      <c r="F476" t="s">
        <v>1605</v>
      </c>
      <c r="G476" t="s">
        <v>1474</v>
      </c>
      <c r="H476" s="4">
        <f t="shared" si="129"/>
        <v>1</v>
      </c>
      <c r="I476" s="4" t="str">
        <f>IF(RIGHT(B476,1)="M",IF(AND(H476=1,E476="RFS",D476=INDEX('Station Depth Averages'!$A$3:$B$84,MATCH(B476,'Station Depth Averages'!$A$3:$A$84,0),2)),1,""),IF(AND(H476=1,OR(D476="SYN",D476="SRF",D476="MID")),1,IF(AND(H476=1,OR(E477="FDn",E477="LDn")),1,IF(AND(H476=1,OR(E476="FDn",E476="LDn")),1,""))))</f>
        <v/>
      </c>
      <c r="J476" s="4" t="str">
        <f t="shared" si="130"/>
        <v/>
      </c>
      <c r="K476" s="4">
        <f t="shared" si="131"/>
        <v>1</v>
      </c>
      <c r="L476" s="4" t="str">
        <f t="shared" si="132"/>
        <v/>
      </c>
      <c r="M476" s="4" t="str">
        <f t="shared" si="133"/>
        <v/>
      </c>
      <c r="N476" s="4" t="str">
        <f t="shared" si="134"/>
        <v/>
      </c>
      <c r="O476" s="4" t="str">
        <f t="shared" si="135"/>
        <v/>
      </c>
      <c r="P476" s="4" t="str">
        <f t="shared" si="136"/>
        <v/>
      </c>
      <c r="Q476" s="4">
        <f t="shared" si="137"/>
        <v>1</v>
      </c>
      <c r="R476" s="4" t="str">
        <f t="shared" si="138"/>
        <v/>
      </c>
      <c r="S476" s="4" t="str">
        <f t="shared" si="139"/>
        <v/>
      </c>
      <c r="T476" s="4" t="str">
        <f t="shared" si="140"/>
        <v/>
      </c>
      <c r="U476">
        <f>IF(VLOOKUP(C476,'QA Table'!$Y$5:$Y$20,1,TRUE)=C476,1,0)</f>
        <v>0</v>
      </c>
      <c r="V476" t="str">
        <f t="shared" si="141"/>
        <v/>
      </c>
      <c r="W476" t="str">
        <f t="shared" si="142"/>
        <v/>
      </c>
      <c r="X476">
        <f t="shared" si="143"/>
        <v>4</v>
      </c>
      <c r="Y476">
        <f t="shared" si="144"/>
        <v>0</v>
      </c>
      <c r="AA476">
        <f t="shared" si="145"/>
        <v>1</v>
      </c>
    </row>
    <row r="477" spans="1:27" x14ac:dyDescent="0.2">
      <c r="A477" t="s">
        <v>23</v>
      </c>
      <c r="B477" t="s">
        <v>60</v>
      </c>
      <c r="C477" t="s">
        <v>1611</v>
      </c>
      <c r="D477" t="s">
        <v>9</v>
      </c>
      <c r="E477" t="s">
        <v>3</v>
      </c>
      <c r="F477" t="s">
        <v>1605</v>
      </c>
      <c r="G477" t="s">
        <v>1474</v>
      </c>
      <c r="H477" s="4" t="str">
        <f t="shared" si="129"/>
        <v/>
      </c>
      <c r="I477" s="4" t="str">
        <f>IF(RIGHT(B477,1)="M",IF(AND(H477=1,E477="RFS",D477=INDEX('Station Depth Averages'!$A$3:$B$84,MATCH(B477,'Station Depth Averages'!$A$3:$A$84,0),2)),1,""),IF(AND(H477=1,OR(D477="SYN",D477="SRF",D477="MID")),1,IF(AND(H477=1,OR(E478="FDn",E478="LDn")),1,IF(AND(H477=1,OR(E477="FDn",E477="LDn")),1,""))))</f>
        <v/>
      </c>
      <c r="J477" s="4" t="str">
        <f t="shared" si="130"/>
        <v/>
      </c>
      <c r="K477" s="4" t="str">
        <f t="shared" si="131"/>
        <v/>
      </c>
      <c r="L477" s="4" t="str">
        <f t="shared" si="132"/>
        <v/>
      </c>
      <c r="M477" s="4" t="str">
        <f t="shared" si="133"/>
        <v/>
      </c>
      <c r="N477" s="4" t="str">
        <f t="shared" si="134"/>
        <v/>
      </c>
      <c r="O477" s="4" t="str">
        <f t="shared" si="135"/>
        <v/>
      </c>
      <c r="P477" s="4" t="str">
        <f t="shared" si="136"/>
        <v/>
      </c>
      <c r="Q477" s="4" t="str">
        <f t="shared" si="137"/>
        <v/>
      </c>
      <c r="R477" s="4" t="str">
        <f t="shared" si="138"/>
        <v/>
      </c>
      <c r="S477" s="4" t="str">
        <f t="shared" si="139"/>
        <v/>
      </c>
      <c r="T477" s="4">
        <f t="shared" si="140"/>
        <v>1</v>
      </c>
      <c r="U477">
        <f>IF(VLOOKUP(C477,'QA Table'!$Y$5:$Y$20,1,TRUE)=C477,1,0)</f>
        <v>0</v>
      </c>
      <c r="V477" t="str">
        <f t="shared" si="141"/>
        <v/>
      </c>
      <c r="W477" t="str">
        <f t="shared" si="142"/>
        <v/>
      </c>
      <c r="X477" t="str">
        <f t="shared" si="143"/>
        <v/>
      </c>
      <c r="Y477">
        <f t="shared" si="144"/>
        <v>0</v>
      </c>
      <c r="AA477" t="str">
        <f t="shared" si="145"/>
        <v/>
      </c>
    </row>
    <row r="478" spans="1:27" x14ac:dyDescent="0.2">
      <c r="A478" t="s">
        <v>23</v>
      </c>
      <c r="B478" t="s">
        <v>60</v>
      </c>
      <c r="C478" t="s">
        <v>1612</v>
      </c>
      <c r="D478" t="s">
        <v>10</v>
      </c>
      <c r="E478" t="s">
        <v>3</v>
      </c>
      <c r="F478" t="s">
        <v>1605</v>
      </c>
      <c r="G478" t="s">
        <v>1474</v>
      </c>
      <c r="H478" s="4" t="str">
        <f t="shared" si="129"/>
        <v/>
      </c>
      <c r="I478" s="4" t="str">
        <f>IF(RIGHT(B478,1)="M",IF(AND(H478=1,E478="RFS",D478=INDEX('Station Depth Averages'!$A$3:$B$84,MATCH(B478,'Station Depth Averages'!$A$3:$A$84,0),2)),1,""),IF(AND(H478=1,OR(D478="SYN",D478="SRF",D478="MID")),1,IF(AND(H478=1,OR(E479="FDn",E479="LDn")),1,IF(AND(H478=1,OR(E478="FDn",E478="LDn")),1,""))))</f>
        <v/>
      </c>
      <c r="J478" s="4" t="str">
        <f t="shared" si="130"/>
        <v/>
      </c>
      <c r="K478" s="4" t="str">
        <f t="shared" si="131"/>
        <v/>
      </c>
      <c r="L478" s="4" t="str">
        <f t="shared" si="132"/>
        <v/>
      </c>
      <c r="M478" s="4" t="str">
        <f t="shared" si="133"/>
        <v/>
      </c>
      <c r="N478" s="4" t="str">
        <f t="shared" si="134"/>
        <v/>
      </c>
      <c r="O478" s="4" t="str">
        <f t="shared" si="135"/>
        <v/>
      </c>
      <c r="P478" s="4" t="str">
        <f t="shared" si="136"/>
        <v/>
      </c>
      <c r="Q478" s="4" t="str">
        <f t="shared" si="137"/>
        <v/>
      </c>
      <c r="R478" s="4" t="str">
        <f t="shared" si="138"/>
        <v/>
      </c>
      <c r="S478" s="4" t="str">
        <f t="shared" si="139"/>
        <v/>
      </c>
      <c r="T478" s="4">
        <f t="shared" si="140"/>
        <v>1</v>
      </c>
      <c r="U478">
        <f>IF(VLOOKUP(C478,'QA Table'!$Y$5:$Y$20,1,TRUE)=C478,1,0)</f>
        <v>0</v>
      </c>
      <c r="V478" t="str">
        <f t="shared" si="141"/>
        <v/>
      </c>
      <c r="W478" t="str">
        <f t="shared" si="142"/>
        <v/>
      </c>
      <c r="X478" t="str">
        <f t="shared" si="143"/>
        <v/>
      </c>
      <c r="Y478">
        <f t="shared" si="144"/>
        <v>0</v>
      </c>
      <c r="AA478" t="str">
        <f t="shared" si="145"/>
        <v/>
      </c>
    </row>
    <row r="479" spans="1:27" x14ac:dyDescent="0.2">
      <c r="A479" t="s">
        <v>61</v>
      </c>
      <c r="B479" t="s">
        <v>62</v>
      </c>
      <c r="C479" t="s">
        <v>1613</v>
      </c>
      <c r="D479" t="s">
        <v>2</v>
      </c>
      <c r="E479" t="s">
        <v>3</v>
      </c>
      <c r="F479" t="s">
        <v>1614</v>
      </c>
      <c r="G479" t="s">
        <v>1474</v>
      </c>
      <c r="H479" s="4">
        <f t="shared" si="129"/>
        <v>1</v>
      </c>
      <c r="I479" s="4">
        <f>IF(RIGHT(B479,1)="M",IF(AND(H479=1,E479="RFS",D479=INDEX('Station Depth Averages'!$A$3:$B$84,MATCH(B479,'Station Depth Averages'!$A$3:$A$84,0),2)),1,""),IF(AND(H479=1,OR(D479="SYN",D479="SRF",D479="MID")),1,IF(AND(H479=1,OR(E480="FDn",E480="LDn")),1,IF(AND(H479=1,OR(E479="FDn",E479="LDn")),1,""))))</f>
        <v>1</v>
      </c>
      <c r="J479" s="4">
        <f t="shared" si="130"/>
        <v>1</v>
      </c>
      <c r="K479" s="4" t="str">
        <f t="shared" si="131"/>
        <v/>
      </c>
      <c r="L479" s="4" t="str">
        <f t="shared" si="132"/>
        <v/>
      </c>
      <c r="M479" s="4" t="str">
        <f t="shared" si="133"/>
        <v/>
      </c>
      <c r="N479" s="4" t="str">
        <f t="shared" si="134"/>
        <v/>
      </c>
      <c r="O479" s="4" t="str">
        <f t="shared" si="135"/>
        <v/>
      </c>
      <c r="P479" s="4" t="str">
        <f t="shared" si="136"/>
        <v/>
      </c>
      <c r="Q479" s="4" t="str">
        <f t="shared" si="137"/>
        <v/>
      </c>
      <c r="R479" s="4" t="str">
        <f t="shared" si="138"/>
        <v/>
      </c>
      <c r="S479" s="4" t="str">
        <f t="shared" si="139"/>
        <v/>
      </c>
      <c r="T479" s="4" t="str">
        <f t="shared" si="140"/>
        <v/>
      </c>
      <c r="U479">
        <f>IF(VLOOKUP(C479,'QA Table'!$Y$5:$Y$20,1,TRUE)=C479,1,0)</f>
        <v>0</v>
      </c>
      <c r="V479" t="str">
        <f t="shared" si="141"/>
        <v/>
      </c>
      <c r="W479" t="str">
        <f t="shared" si="142"/>
        <v/>
      </c>
      <c r="X479">
        <f t="shared" si="143"/>
        <v>4</v>
      </c>
      <c r="Y479">
        <f t="shared" si="144"/>
        <v>0</v>
      </c>
      <c r="AA479">
        <f t="shared" si="145"/>
        <v>1</v>
      </c>
    </row>
    <row r="480" spans="1:27" x14ac:dyDescent="0.2">
      <c r="A480" t="s">
        <v>61</v>
      </c>
      <c r="B480" t="s">
        <v>62</v>
      </c>
      <c r="C480" t="s">
        <v>1615</v>
      </c>
      <c r="D480" t="s">
        <v>1050</v>
      </c>
      <c r="E480" t="s">
        <v>3</v>
      </c>
      <c r="F480" t="s">
        <v>1614</v>
      </c>
      <c r="G480" t="s">
        <v>1474</v>
      </c>
      <c r="H480" s="4" t="str">
        <f t="shared" si="129"/>
        <v/>
      </c>
      <c r="I480" s="4" t="str">
        <f>IF(RIGHT(B480,1)="M",IF(AND(H480=1,E480="RFS",D480=INDEX('Station Depth Averages'!$A$3:$B$84,MATCH(B480,'Station Depth Averages'!$A$3:$A$84,0),2)),1,""),IF(AND(H480=1,OR(D480="SYN",D480="SRF",D480="MID")),1,IF(AND(H480=1,OR(E481="FDn",E481="LDn")),1,IF(AND(H480=1,OR(E480="FDn",E480="LDn")),1,""))))</f>
        <v/>
      </c>
      <c r="J480" s="4" t="str">
        <f t="shared" si="130"/>
        <v/>
      </c>
      <c r="K480" s="4" t="str">
        <f t="shared" si="131"/>
        <v/>
      </c>
      <c r="L480" s="4" t="str">
        <f t="shared" si="132"/>
        <v/>
      </c>
      <c r="M480" s="4" t="str">
        <f t="shared" si="133"/>
        <v/>
      </c>
      <c r="N480" s="4" t="str">
        <f t="shared" si="134"/>
        <v/>
      </c>
      <c r="O480" s="4" t="str">
        <f t="shared" si="135"/>
        <v/>
      </c>
      <c r="P480" s="4" t="str">
        <f t="shared" si="136"/>
        <v/>
      </c>
      <c r="Q480" s="4" t="str">
        <f t="shared" si="137"/>
        <v/>
      </c>
      <c r="R480" s="4" t="str">
        <f t="shared" si="138"/>
        <v/>
      </c>
      <c r="S480" s="4" t="str">
        <f t="shared" si="139"/>
        <v/>
      </c>
      <c r="T480" s="4" t="str">
        <f t="shared" si="140"/>
        <v/>
      </c>
      <c r="U480">
        <f>IF(VLOOKUP(C480,'QA Table'!$Y$5:$Y$20,1,TRUE)=C480,1,0)</f>
        <v>0</v>
      </c>
      <c r="V480" t="str">
        <f t="shared" si="141"/>
        <v/>
      </c>
      <c r="W480" t="str">
        <f t="shared" si="142"/>
        <v/>
      </c>
      <c r="X480" t="str">
        <f t="shared" si="143"/>
        <v/>
      </c>
      <c r="Y480">
        <f t="shared" si="144"/>
        <v>0</v>
      </c>
      <c r="AA480" t="str">
        <f t="shared" si="145"/>
        <v/>
      </c>
    </row>
    <row r="481" spans="1:27" x14ac:dyDescent="0.2">
      <c r="A481" t="s">
        <v>61</v>
      </c>
      <c r="B481" t="s">
        <v>62</v>
      </c>
      <c r="C481" t="s">
        <v>1616</v>
      </c>
      <c r="D481" t="s">
        <v>4</v>
      </c>
      <c r="E481" t="s">
        <v>3</v>
      </c>
      <c r="F481" t="s">
        <v>1614</v>
      </c>
      <c r="G481" t="s">
        <v>1474</v>
      </c>
      <c r="H481" s="4" t="str">
        <f t="shared" si="129"/>
        <v/>
      </c>
      <c r="I481" s="4" t="str">
        <f>IF(RIGHT(B481,1)="M",IF(AND(H481=1,E481="RFS",D481=INDEX('Station Depth Averages'!$A$3:$B$84,MATCH(B481,'Station Depth Averages'!$A$3:$A$84,0),2)),1,""),IF(AND(H481=1,OR(D481="SYN",D481="SRF",D481="MID")),1,IF(AND(H481=1,OR(E482="FDn",E482="LDn")),1,IF(AND(H481=1,OR(E481="FDn",E481="LDn")),1,""))))</f>
        <v/>
      </c>
      <c r="J481" s="4" t="str">
        <f t="shared" si="130"/>
        <v/>
      </c>
      <c r="K481" s="4" t="str">
        <f t="shared" si="131"/>
        <v/>
      </c>
      <c r="L481" s="4" t="str">
        <f t="shared" si="132"/>
        <v/>
      </c>
      <c r="M481" s="4" t="str">
        <f t="shared" si="133"/>
        <v/>
      </c>
      <c r="N481" s="4" t="str">
        <f t="shared" si="134"/>
        <v/>
      </c>
      <c r="O481" s="4" t="str">
        <f t="shared" si="135"/>
        <v/>
      </c>
      <c r="P481" s="4" t="str">
        <f t="shared" si="136"/>
        <v/>
      </c>
      <c r="Q481" s="4" t="str">
        <f t="shared" si="137"/>
        <v/>
      </c>
      <c r="R481" s="4" t="str">
        <f t="shared" si="138"/>
        <v/>
      </c>
      <c r="S481" s="4" t="str">
        <f t="shared" si="139"/>
        <v/>
      </c>
      <c r="T481" s="4" t="str">
        <f t="shared" si="140"/>
        <v/>
      </c>
      <c r="U481">
        <f>IF(VLOOKUP(C481,'QA Table'!$Y$5:$Y$20,1,TRUE)=C481,1,0)</f>
        <v>0</v>
      </c>
      <c r="V481" t="str">
        <f t="shared" si="141"/>
        <v/>
      </c>
      <c r="W481" t="str">
        <f t="shared" si="142"/>
        <v/>
      </c>
      <c r="X481" t="str">
        <f t="shared" si="143"/>
        <v/>
      </c>
      <c r="Y481">
        <f t="shared" si="144"/>
        <v>0</v>
      </c>
      <c r="AA481" t="str">
        <f t="shared" si="145"/>
        <v/>
      </c>
    </row>
    <row r="482" spans="1:27" x14ac:dyDescent="0.2">
      <c r="A482" t="s">
        <v>61</v>
      </c>
      <c r="B482" t="s">
        <v>62</v>
      </c>
      <c r="C482" t="s">
        <v>1617</v>
      </c>
      <c r="D482" t="s">
        <v>119</v>
      </c>
      <c r="E482" t="s">
        <v>3</v>
      </c>
      <c r="F482" t="s">
        <v>1614</v>
      </c>
      <c r="G482" t="s">
        <v>1474</v>
      </c>
      <c r="H482" s="4">
        <f t="shared" si="129"/>
        <v>1</v>
      </c>
      <c r="I482" s="4">
        <f>IF(RIGHT(B482,1)="M",IF(AND(H482=1,E482="RFS",D482=INDEX('Station Depth Averages'!$A$3:$B$84,MATCH(B482,'Station Depth Averages'!$A$3:$A$84,0),2)),1,""),IF(AND(H482=1,OR(D482="SYN",D482="SRF",D482="MID")),1,IF(AND(H482=1,OR(E483="FDn",E483="LDn")),1,IF(AND(H482=1,OR(E482="FDn",E482="LDn")),1,""))))</f>
        <v>1</v>
      </c>
      <c r="J482" s="4">
        <f t="shared" si="130"/>
        <v>1</v>
      </c>
      <c r="K482" s="4" t="str">
        <f t="shared" si="131"/>
        <v/>
      </c>
      <c r="L482" s="4" t="str">
        <f t="shared" si="132"/>
        <v/>
      </c>
      <c r="M482" s="4" t="str">
        <f t="shared" si="133"/>
        <v/>
      </c>
      <c r="N482" s="4" t="str">
        <f t="shared" si="134"/>
        <v/>
      </c>
      <c r="O482" s="4" t="str">
        <f t="shared" si="135"/>
        <v/>
      </c>
      <c r="P482" s="4" t="str">
        <f t="shared" si="136"/>
        <v/>
      </c>
      <c r="Q482" s="4" t="str">
        <f t="shared" si="137"/>
        <v/>
      </c>
      <c r="R482" s="4" t="str">
        <f t="shared" si="138"/>
        <v/>
      </c>
      <c r="S482" s="4" t="str">
        <f t="shared" si="139"/>
        <v/>
      </c>
      <c r="T482" s="4" t="str">
        <f t="shared" si="140"/>
        <v/>
      </c>
      <c r="U482">
        <f>IF(VLOOKUP(C482,'QA Table'!$Y$5:$Y$20,1,TRUE)=C482,1,0)</f>
        <v>0</v>
      </c>
      <c r="V482" t="str">
        <f t="shared" si="141"/>
        <v/>
      </c>
      <c r="W482" t="str">
        <f t="shared" si="142"/>
        <v/>
      </c>
      <c r="X482">
        <f t="shared" si="143"/>
        <v>4</v>
      </c>
      <c r="Y482">
        <f t="shared" si="144"/>
        <v>0</v>
      </c>
      <c r="AA482">
        <f t="shared" si="145"/>
        <v>1</v>
      </c>
    </row>
    <row r="483" spans="1:27" x14ac:dyDescent="0.2">
      <c r="A483" t="s">
        <v>61</v>
      </c>
      <c r="B483" t="s">
        <v>62</v>
      </c>
      <c r="C483" t="s">
        <v>1618</v>
      </c>
      <c r="D483" t="s">
        <v>6</v>
      </c>
      <c r="E483" t="s">
        <v>3</v>
      </c>
      <c r="F483" t="s">
        <v>1614</v>
      </c>
      <c r="G483" t="s">
        <v>1474</v>
      </c>
      <c r="H483" s="4">
        <f t="shared" si="129"/>
        <v>1</v>
      </c>
      <c r="I483" s="4" t="str">
        <f>IF(RIGHT(B483,1)="M",IF(AND(H483=1,E483="RFS",D483=INDEX('Station Depth Averages'!$A$3:$B$84,MATCH(B483,'Station Depth Averages'!$A$3:$A$84,0),2)),1,""),IF(AND(H483=1,OR(D483="SYN",D483="SRF",D483="MID")),1,IF(AND(H483=1,OR(E484="FDn",E484="LDn")),1,IF(AND(H483=1,OR(E483="FDn",E483="LDn")),1,""))))</f>
        <v/>
      </c>
      <c r="J483" s="4">
        <f t="shared" si="130"/>
        <v>1</v>
      </c>
      <c r="K483" s="4" t="str">
        <f t="shared" si="131"/>
        <v/>
      </c>
      <c r="L483" s="4" t="str">
        <f t="shared" si="132"/>
        <v/>
      </c>
      <c r="M483" s="4" t="str">
        <f t="shared" si="133"/>
        <v/>
      </c>
      <c r="N483" s="4" t="str">
        <f t="shared" si="134"/>
        <v/>
      </c>
      <c r="O483" s="4" t="str">
        <f t="shared" si="135"/>
        <v/>
      </c>
      <c r="P483" s="4" t="str">
        <f t="shared" si="136"/>
        <v/>
      </c>
      <c r="Q483" s="4" t="str">
        <f t="shared" si="137"/>
        <v/>
      </c>
      <c r="R483" s="4" t="str">
        <f t="shared" si="138"/>
        <v/>
      </c>
      <c r="S483" s="4" t="str">
        <f t="shared" si="139"/>
        <v/>
      </c>
      <c r="T483" s="4" t="str">
        <f t="shared" si="140"/>
        <v/>
      </c>
      <c r="U483">
        <f>IF(VLOOKUP(C483,'QA Table'!$Y$5:$Y$20,1,TRUE)=C483,1,0)</f>
        <v>0</v>
      </c>
      <c r="V483" t="str">
        <f t="shared" si="141"/>
        <v/>
      </c>
      <c r="W483" t="str">
        <f t="shared" si="142"/>
        <v/>
      </c>
      <c r="X483">
        <f t="shared" si="143"/>
        <v>4</v>
      </c>
      <c r="Y483">
        <f t="shared" si="144"/>
        <v>0</v>
      </c>
      <c r="AA483">
        <f t="shared" si="145"/>
        <v>1</v>
      </c>
    </row>
    <row r="484" spans="1:27" x14ac:dyDescent="0.2">
      <c r="A484" t="s">
        <v>61</v>
      </c>
      <c r="B484" t="s">
        <v>62</v>
      </c>
      <c r="C484" t="s">
        <v>1619</v>
      </c>
      <c r="D484" t="s">
        <v>8</v>
      </c>
      <c r="E484" t="s">
        <v>3</v>
      </c>
      <c r="F484" t="s">
        <v>1614</v>
      </c>
      <c r="G484" t="s">
        <v>1474</v>
      </c>
      <c r="H484" s="4">
        <f t="shared" si="129"/>
        <v>1</v>
      </c>
      <c r="I484" s="4" t="str">
        <f>IF(RIGHT(B484,1)="M",IF(AND(H484=1,E484="RFS",D484=INDEX('Station Depth Averages'!$A$3:$B$84,MATCH(B484,'Station Depth Averages'!$A$3:$A$84,0),2)),1,""),IF(AND(H484=1,OR(D484="SYN",D484="SRF",D484="MID")),1,IF(AND(H484=1,OR(E485="FDn",E485="LDn")),1,IF(AND(H484=1,OR(E484="FDn",E484="LDn")),1,""))))</f>
        <v/>
      </c>
      <c r="J484" s="4" t="str">
        <f t="shared" si="130"/>
        <v/>
      </c>
      <c r="K484" s="4">
        <f t="shared" si="131"/>
        <v>1</v>
      </c>
      <c r="L484" s="4" t="str">
        <f t="shared" si="132"/>
        <v/>
      </c>
      <c r="M484" s="4" t="str">
        <f t="shared" si="133"/>
        <v/>
      </c>
      <c r="N484" s="4" t="str">
        <f t="shared" si="134"/>
        <v/>
      </c>
      <c r="O484" s="4" t="str">
        <f t="shared" si="135"/>
        <v/>
      </c>
      <c r="P484" s="4" t="str">
        <f t="shared" si="136"/>
        <v/>
      </c>
      <c r="Q484" s="4">
        <f t="shared" si="137"/>
        <v>1</v>
      </c>
      <c r="R484" s="4" t="str">
        <f t="shared" si="138"/>
        <v/>
      </c>
      <c r="S484" s="4" t="str">
        <f t="shared" si="139"/>
        <v/>
      </c>
      <c r="T484" s="4" t="str">
        <f t="shared" si="140"/>
        <v/>
      </c>
      <c r="U484">
        <f>IF(VLOOKUP(C484,'QA Table'!$Y$5:$Y$20,1,TRUE)=C484,1,0)</f>
        <v>0</v>
      </c>
      <c r="V484" t="str">
        <f t="shared" si="141"/>
        <v/>
      </c>
      <c r="W484" t="str">
        <f t="shared" si="142"/>
        <v/>
      </c>
      <c r="X484">
        <f t="shared" si="143"/>
        <v>4</v>
      </c>
      <c r="Y484">
        <f t="shared" si="144"/>
        <v>0</v>
      </c>
      <c r="AA484">
        <f t="shared" si="145"/>
        <v>1</v>
      </c>
    </row>
    <row r="485" spans="1:27" x14ac:dyDescent="0.2">
      <c r="A485" t="s">
        <v>61</v>
      </c>
      <c r="B485" t="s">
        <v>62</v>
      </c>
      <c r="C485" t="s">
        <v>1620</v>
      </c>
      <c r="D485" t="s">
        <v>9</v>
      </c>
      <c r="E485" t="s">
        <v>3</v>
      </c>
      <c r="F485" t="s">
        <v>1614</v>
      </c>
      <c r="G485" t="s">
        <v>1474</v>
      </c>
      <c r="H485" s="4" t="str">
        <f t="shared" si="129"/>
        <v/>
      </c>
      <c r="I485" s="4" t="str">
        <f>IF(RIGHT(B485,1)="M",IF(AND(H485=1,E485="RFS",D485=INDEX('Station Depth Averages'!$A$3:$B$84,MATCH(B485,'Station Depth Averages'!$A$3:$A$84,0),2)),1,""),IF(AND(H485=1,OR(D485="SYN",D485="SRF",D485="MID")),1,IF(AND(H485=1,OR(E486="FDn",E486="LDn")),1,IF(AND(H485=1,OR(E485="FDn",E485="LDn")),1,""))))</f>
        <v/>
      </c>
      <c r="J485" s="4" t="str">
        <f t="shared" si="130"/>
        <v/>
      </c>
      <c r="K485" s="4" t="str">
        <f t="shared" si="131"/>
        <v/>
      </c>
      <c r="L485" s="4" t="str">
        <f t="shared" si="132"/>
        <v/>
      </c>
      <c r="M485" s="4" t="str">
        <f t="shared" si="133"/>
        <v/>
      </c>
      <c r="N485" s="4" t="str">
        <f t="shared" si="134"/>
        <v/>
      </c>
      <c r="O485" s="4" t="str">
        <f t="shared" si="135"/>
        <v/>
      </c>
      <c r="P485" s="4" t="str">
        <f t="shared" si="136"/>
        <v/>
      </c>
      <c r="Q485" s="4" t="str">
        <f t="shared" si="137"/>
        <v/>
      </c>
      <c r="R485" s="4" t="str">
        <f t="shared" si="138"/>
        <v/>
      </c>
      <c r="S485" s="4" t="str">
        <f t="shared" si="139"/>
        <v/>
      </c>
      <c r="T485" s="4">
        <f t="shared" si="140"/>
        <v>1</v>
      </c>
      <c r="U485">
        <f>IF(VLOOKUP(C485,'QA Table'!$Y$5:$Y$20,1,TRUE)=C485,1,0)</f>
        <v>0</v>
      </c>
      <c r="V485" t="str">
        <f t="shared" si="141"/>
        <v/>
      </c>
      <c r="W485" t="str">
        <f t="shared" si="142"/>
        <v/>
      </c>
      <c r="X485" t="str">
        <f t="shared" si="143"/>
        <v/>
      </c>
      <c r="Y485">
        <f t="shared" si="144"/>
        <v>0</v>
      </c>
      <c r="AA485" t="str">
        <f t="shared" si="145"/>
        <v/>
      </c>
    </row>
    <row r="486" spans="1:27" x14ac:dyDescent="0.2">
      <c r="A486" t="s">
        <v>61</v>
      </c>
      <c r="B486" t="s">
        <v>62</v>
      </c>
      <c r="C486" t="s">
        <v>1621</v>
      </c>
      <c r="D486" t="s">
        <v>10</v>
      </c>
      <c r="E486" t="s">
        <v>3</v>
      </c>
      <c r="F486" t="s">
        <v>1614</v>
      </c>
      <c r="G486" t="s">
        <v>1474</v>
      </c>
      <c r="H486" s="4" t="str">
        <f t="shared" si="129"/>
        <v/>
      </c>
      <c r="I486" s="4" t="str">
        <f>IF(RIGHT(B486,1)="M",IF(AND(H486=1,E486="RFS",D486=INDEX('Station Depth Averages'!$A$3:$B$84,MATCH(B486,'Station Depth Averages'!$A$3:$A$84,0),2)),1,""),IF(AND(H486=1,OR(D486="SYN",D486="SRF",D486="MID")),1,IF(AND(H486=1,OR(E487="FDn",E487="LDn")),1,IF(AND(H486=1,OR(E486="FDn",E486="LDn")),1,""))))</f>
        <v/>
      </c>
      <c r="J486" s="4" t="str">
        <f t="shared" si="130"/>
        <v/>
      </c>
      <c r="K486" s="4" t="str">
        <f t="shared" si="131"/>
        <v/>
      </c>
      <c r="L486" s="4" t="str">
        <f t="shared" si="132"/>
        <v/>
      </c>
      <c r="M486" s="4" t="str">
        <f t="shared" si="133"/>
        <v/>
      </c>
      <c r="N486" s="4" t="str">
        <f t="shared" si="134"/>
        <v/>
      </c>
      <c r="O486" s="4" t="str">
        <f t="shared" si="135"/>
        <v/>
      </c>
      <c r="P486" s="4" t="str">
        <f t="shared" si="136"/>
        <v/>
      </c>
      <c r="Q486" s="4" t="str">
        <f t="shared" si="137"/>
        <v/>
      </c>
      <c r="R486" s="4" t="str">
        <f t="shared" si="138"/>
        <v/>
      </c>
      <c r="S486" s="4" t="str">
        <f t="shared" si="139"/>
        <v/>
      </c>
      <c r="T486" s="4">
        <f t="shared" si="140"/>
        <v>1</v>
      </c>
      <c r="U486">
        <f>IF(VLOOKUP(C486,'QA Table'!$Y$5:$Y$20,1,TRUE)=C486,1,0)</f>
        <v>0</v>
      </c>
      <c r="V486" t="str">
        <f t="shared" si="141"/>
        <v/>
      </c>
      <c r="W486" t="str">
        <f t="shared" si="142"/>
        <v/>
      </c>
      <c r="X486" t="str">
        <f t="shared" si="143"/>
        <v/>
      </c>
      <c r="Y486">
        <f t="shared" si="144"/>
        <v>0</v>
      </c>
      <c r="AA486" t="str">
        <f t="shared" si="145"/>
        <v/>
      </c>
    </row>
    <row r="487" spans="1:27" x14ac:dyDescent="0.2">
      <c r="A487" t="s">
        <v>61</v>
      </c>
      <c r="B487" t="s">
        <v>63</v>
      </c>
      <c r="C487" t="s">
        <v>1081</v>
      </c>
      <c r="D487" t="s">
        <v>2</v>
      </c>
      <c r="E487" t="s">
        <v>3</v>
      </c>
      <c r="F487" t="s">
        <v>1622</v>
      </c>
      <c r="G487" t="s">
        <v>1474</v>
      </c>
      <c r="H487" s="4">
        <f t="shared" si="129"/>
        <v>1</v>
      </c>
      <c r="I487" s="4">
        <f>IF(RIGHT(B487,1)="M",IF(AND(H487=1,E487="RFS",D487=INDEX('Station Depth Averages'!$A$3:$B$84,MATCH(B487,'Station Depth Averages'!$A$3:$A$84,0),2)),1,""),IF(AND(H487=1,OR(D487="SYN",D487="SRF",D487="MID")),1,IF(AND(H487=1,OR(E488="FDn",E488="LDn")),1,IF(AND(H487=1,OR(E487="FDn",E487="LDn")),1,""))))</f>
        <v>1</v>
      </c>
      <c r="J487" s="4">
        <f t="shared" si="130"/>
        <v>1</v>
      </c>
      <c r="K487" s="4" t="str">
        <f t="shared" si="131"/>
        <v/>
      </c>
      <c r="L487" s="4" t="str">
        <f t="shared" si="132"/>
        <v/>
      </c>
      <c r="M487" s="4" t="str">
        <f t="shared" si="133"/>
        <v/>
      </c>
      <c r="N487" s="4" t="str">
        <f t="shared" si="134"/>
        <v/>
      </c>
      <c r="O487" s="4" t="str">
        <f t="shared" si="135"/>
        <v/>
      </c>
      <c r="P487" s="4" t="str">
        <f t="shared" si="136"/>
        <v/>
      </c>
      <c r="Q487" s="4" t="str">
        <f t="shared" si="137"/>
        <v/>
      </c>
      <c r="R487" s="4" t="str">
        <f t="shared" si="138"/>
        <v/>
      </c>
      <c r="S487" s="4" t="str">
        <f t="shared" si="139"/>
        <v/>
      </c>
      <c r="T487" s="4" t="str">
        <f t="shared" si="140"/>
        <v/>
      </c>
      <c r="U487">
        <f>IF(VLOOKUP(C487,'QA Table'!$Y$5:$Y$20,1,TRUE)=C487,1,0)</f>
        <v>0</v>
      </c>
      <c r="V487" t="str">
        <f t="shared" si="141"/>
        <v/>
      </c>
      <c r="W487" t="str">
        <f t="shared" si="142"/>
        <v/>
      </c>
      <c r="X487">
        <f t="shared" si="143"/>
        <v>4</v>
      </c>
      <c r="Y487">
        <f t="shared" si="144"/>
        <v>0</v>
      </c>
      <c r="AA487">
        <f t="shared" si="145"/>
        <v>1</v>
      </c>
    </row>
    <row r="488" spans="1:27" x14ac:dyDescent="0.2">
      <c r="A488" t="s">
        <v>61</v>
      </c>
      <c r="B488" t="s">
        <v>63</v>
      </c>
      <c r="C488" t="s">
        <v>1623</v>
      </c>
      <c r="D488" t="s">
        <v>2</v>
      </c>
      <c r="E488" t="s">
        <v>7</v>
      </c>
      <c r="F488" t="s">
        <v>1622</v>
      </c>
      <c r="G488" t="s">
        <v>1474</v>
      </c>
      <c r="H488" s="4">
        <f t="shared" si="129"/>
        <v>1</v>
      </c>
      <c r="I488" s="4">
        <f>IF(RIGHT(B488,1)="M",IF(AND(H488=1,E488="RFS",D488=INDEX('Station Depth Averages'!$A$3:$B$84,MATCH(B488,'Station Depth Averages'!$A$3:$A$84,0),2)),1,""),IF(AND(H488=1,OR(D488="SYN",D488="SRF",D488="MID")),1,IF(AND(H488=1,OR(E489="FDn",E489="LDn")),1,IF(AND(H488=1,OR(E488="FDn",E488="LDn")),1,""))))</f>
        <v>1</v>
      </c>
      <c r="J488" s="4">
        <f t="shared" si="130"/>
        <v>1</v>
      </c>
      <c r="K488" s="4" t="str">
        <f t="shared" si="131"/>
        <v/>
      </c>
      <c r="L488" s="4" t="str">
        <f t="shared" si="132"/>
        <v/>
      </c>
      <c r="M488" s="4" t="str">
        <f t="shared" si="133"/>
        <v/>
      </c>
      <c r="N488" s="4" t="str">
        <f t="shared" si="134"/>
        <v/>
      </c>
      <c r="O488" s="4" t="str">
        <f t="shared" si="135"/>
        <v/>
      </c>
      <c r="P488" s="4" t="str">
        <f t="shared" si="136"/>
        <v/>
      </c>
      <c r="Q488" s="4" t="str">
        <f t="shared" si="137"/>
        <v/>
      </c>
      <c r="R488" s="4" t="str">
        <f t="shared" si="138"/>
        <v/>
      </c>
      <c r="S488" s="4" t="str">
        <f t="shared" si="139"/>
        <v/>
      </c>
      <c r="T488" s="4" t="str">
        <f t="shared" si="140"/>
        <v/>
      </c>
      <c r="U488">
        <f>IF(VLOOKUP(C488,'QA Table'!$Y$5:$Y$20,1,TRUE)=C488,1,0)</f>
        <v>0</v>
      </c>
      <c r="V488" t="str">
        <f t="shared" si="141"/>
        <v/>
      </c>
      <c r="W488" t="str">
        <f t="shared" si="142"/>
        <v/>
      </c>
      <c r="X488">
        <f t="shared" si="143"/>
        <v>4</v>
      </c>
      <c r="Y488">
        <f t="shared" si="144"/>
        <v>0</v>
      </c>
      <c r="AA488">
        <f t="shared" si="145"/>
        <v>1</v>
      </c>
    </row>
    <row r="489" spans="1:27" x14ac:dyDescent="0.2">
      <c r="A489" t="s">
        <v>61</v>
      </c>
      <c r="B489" t="s">
        <v>63</v>
      </c>
      <c r="C489" t="s">
        <v>1624</v>
      </c>
      <c r="D489" t="s">
        <v>1050</v>
      </c>
      <c r="E489" t="s">
        <v>3</v>
      </c>
      <c r="F489" t="s">
        <v>1622</v>
      </c>
      <c r="G489" t="s">
        <v>1474</v>
      </c>
      <c r="H489" s="4" t="str">
        <f t="shared" si="129"/>
        <v/>
      </c>
      <c r="I489" s="4" t="str">
        <f>IF(RIGHT(B489,1)="M",IF(AND(H489=1,E489="RFS",D489=INDEX('Station Depth Averages'!$A$3:$B$84,MATCH(B489,'Station Depth Averages'!$A$3:$A$84,0),2)),1,""),IF(AND(H489=1,OR(D489="SYN",D489="SRF",D489="MID")),1,IF(AND(H489=1,OR(E490="FDn",E490="LDn")),1,IF(AND(H489=1,OR(E489="FDn",E489="LDn")),1,""))))</f>
        <v/>
      </c>
      <c r="J489" s="4" t="str">
        <f t="shared" si="130"/>
        <v/>
      </c>
      <c r="K489" s="4" t="str">
        <f t="shared" si="131"/>
        <v/>
      </c>
      <c r="L489" s="4" t="str">
        <f t="shared" si="132"/>
        <v/>
      </c>
      <c r="M489" s="4" t="str">
        <f t="shared" si="133"/>
        <v/>
      </c>
      <c r="N489" s="4" t="str">
        <f t="shared" si="134"/>
        <v/>
      </c>
      <c r="O489" s="4" t="str">
        <f t="shared" si="135"/>
        <v/>
      </c>
      <c r="P489" s="4" t="str">
        <f t="shared" si="136"/>
        <v/>
      </c>
      <c r="Q489" s="4" t="str">
        <f t="shared" si="137"/>
        <v/>
      </c>
      <c r="R489" s="4" t="str">
        <f t="shared" si="138"/>
        <v/>
      </c>
      <c r="S489" s="4" t="str">
        <f t="shared" si="139"/>
        <v/>
      </c>
      <c r="T489" s="4" t="str">
        <f t="shared" si="140"/>
        <v/>
      </c>
      <c r="U489">
        <f>IF(VLOOKUP(C489,'QA Table'!$Y$5:$Y$20,1,TRUE)=C489,1,0)</f>
        <v>0</v>
      </c>
      <c r="V489" t="str">
        <f t="shared" si="141"/>
        <v/>
      </c>
      <c r="W489" t="str">
        <f t="shared" si="142"/>
        <v/>
      </c>
      <c r="X489" t="str">
        <f t="shared" si="143"/>
        <v/>
      </c>
      <c r="Y489">
        <f t="shared" si="144"/>
        <v>0</v>
      </c>
      <c r="AA489" t="str">
        <f t="shared" si="145"/>
        <v/>
      </c>
    </row>
    <row r="490" spans="1:27" x14ac:dyDescent="0.2">
      <c r="A490" t="s">
        <v>61</v>
      </c>
      <c r="B490" t="s">
        <v>63</v>
      </c>
      <c r="C490" t="s">
        <v>1625</v>
      </c>
      <c r="D490" t="s">
        <v>4</v>
      </c>
      <c r="E490" t="s">
        <v>3</v>
      </c>
      <c r="F490" t="s">
        <v>1622</v>
      </c>
      <c r="G490" t="s">
        <v>1474</v>
      </c>
      <c r="H490" s="4" t="str">
        <f t="shared" si="129"/>
        <v/>
      </c>
      <c r="I490" s="4" t="str">
        <f>IF(RIGHT(B490,1)="M",IF(AND(H490=1,E490="RFS",D490=INDEX('Station Depth Averages'!$A$3:$B$84,MATCH(B490,'Station Depth Averages'!$A$3:$A$84,0),2)),1,""),IF(AND(H490=1,OR(D490="SYN",D490="SRF",D490="MID")),1,IF(AND(H490=1,OR(E491="FDn",E491="LDn")),1,IF(AND(H490=1,OR(E490="FDn",E490="LDn")),1,""))))</f>
        <v/>
      </c>
      <c r="J490" s="4" t="str">
        <f t="shared" si="130"/>
        <v/>
      </c>
      <c r="K490" s="4" t="str">
        <f t="shared" si="131"/>
        <v/>
      </c>
      <c r="L490" s="4" t="str">
        <f t="shared" si="132"/>
        <v/>
      </c>
      <c r="M490" s="4" t="str">
        <f t="shared" si="133"/>
        <v/>
      </c>
      <c r="N490" s="4" t="str">
        <f t="shared" si="134"/>
        <v/>
      </c>
      <c r="O490" s="4" t="str">
        <f t="shared" si="135"/>
        <v/>
      </c>
      <c r="P490" s="4" t="str">
        <f t="shared" si="136"/>
        <v/>
      </c>
      <c r="Q490" s="4" t="str">
        <f t="shared" si="137"/>
        <v/>
      </c>
      <c r="R490" s="4" t="str">
        <f t="shared" si="138"/>
        <v/>
      </c>
      <c r="S490" s="4" t="str">
        <f t="shared" si="139"/>
        <v/>
      </c>
      <c r="T490" s="4" t="str">
        <f t="shared" si="140"/>
        <v/>
      </c>
      <c r="U490">
        <f>IF(VLOOKUP(C490,'QA Table'!$Y$5:$Y$20,1,TRUE)=C490,1,0)</f>
        <v>0</v>
      </c>
      <c r="V490" t="str">
        <f t="shared" si="141"/>
        <v/>
      </c>
      <c r="W490" t="str">
        <f t="shared" si="142"/>
        <v/>
      </c>
      <c r="X490" t="str">
        <f t="shared" si="143"/>
        <v/>
      </c>
      <c r="Y490">
        <f t="shared" si="144"/>
        <v>0</v>
      </c>
      <c r="AA490" t="str">
        <f t="shared" si="145"/>
        <v/>
      </c>
    </row>
    <row r="491" spans="1:27" x14ac:dyDescent="0.2">
      <c r="A491" t="s">
        <v>61</v>
      </c>
      <c r="B491" t="s">
        <v>63</v>
      </c>
      <c r="C491" t="s">
        <v>1626</v>
      </c>
      <c r="D491" t="s">
        <v>119</v>
      </c>
      <c r="E491" t="s">
        <v>3</v>
      </c>
      <c r="F491" t="s">
        <v>1622</v>
      </c>
      <c r="G491" t="s">
        <v>1474</v>
      </c>
      <c r="H491" s="4">
        <f t="shared" si="129"/>
        <v>1</v>
      </c>
      <c r="I491" s="4">
        <f>IF(RIGHT(B491,1)="M",IF(AND(H491=1,E491="RFS",D491=INDEX('Station Depth Averages'!$A$3:$B$84,MATCH(B491,'Station Depth Averages'!$A$3:$A$84,0),2)),1,""),IF(AND(H491=1,OR(D491="SYN",D491="SRF",D491="MID")),1,IF(AND(H491=1,OR(E492="FDn",E492="LDn")),1,IF(AND(H491=1,OR(E491="FDn",E491="LDn")),1,""))))</f>
        <v>1</v>
      </c>
      <c r="J491" s="4">
        <f t="shared" si="130"/>
        <v>1</v>
      </c>
      <c r="K491" s="4" t="str">
        <f t="shared" si="131"/>
        <v/>
      </c>
      <c r="L491" s="4" t="str">
        <f t="shared" si="132"/>
        <v/>
      </c>
      <c r="M491" s="4" t="str">
        <f t="shared" si="133"/>
        <v/>
      </c>
      <c r="N491" s="4" t="str">
        <f t="shared" si="134"/>
        <v/>
      </c>
      <c r="O491" s="4" t="str">
        <f t="shared" si="135"/>
        <v/>
      </c>
      <c r="P491" s="4" t="str">
        <f t="shared" si="136"/>
        <v/>
      </c>
      <c r="Q491" s="4" t="str">
        <f t="shared" si="137"/>
        <v/>
      </c>
      <c r="R491" s="4" t="str">
        <f t="shared" si="138"/>
        <v/>
      </c>
      <c r="S491" s="4" t="str">
        <f t="shared" si="139"/>
        <v/>
      </c>
      <c r="T491" s="4" t="str">
        <f t="shared" si="140"/>
        <v/>
      </c>
      <c r="U491">
        <f>IF(VLOOKUP(C491,'QA Table'!$Y$5:$Y$20,1,TRUE)=C491,1,0)</f>
        <v>0</v>
      </c>
      <c r="V491" t="str">
        <f t="shared" si="141"/>
        <v/>
      </c>
      <c r="W491" t="str">
        <f t="shared" si="142"/>
        <v/>
      </c>
      <c r="X491">
        <f t="shared" si="143"/>
        <v>4</v>
      </c>
      <c r="Y491">
        <f t="shared" si="144"/>
        <v>0</v>
      </c>
      <c r="AA491">
        <f t="shared" si="145"/>
        <v>1</v>
      </c>
    </row>
    <row r="492" spans="1:27" x14ac:dyDescent="0.2">
      <c r="A492" t="s">
        <v>61</v>
      </c>
      <c r="B492" t="s">
        <v>63</v>
      </c>
      <c r="C492" t="s">
        <v>1082</v>
      </c>
      <c r="D492" t="s">
        <v>6</v>
      </c>
      <c r="E492" t="s">
        <v>3</v>
      </c>
      <c r="F492" t="s">
        <v>1622</v>
      </c>
      <c r="G492" t="s">
        <v>1474</v>
      </c>
      <c r="H492" s="4">
        <f t="shared" si="129"/>
        <v>1</v>
      </c>
      <c r="I492" s="4" t="str">
        <f>IF(RIGHT(B492,1)="M",IF(AND(H492=1,E492="RFS",D492=INDEX('Station Depth Averages'!$A$3:$B$84,MATCH(B492,'Station Depth Averages'!$A$3:$A$84,0),2)),1,""),IF(AND(H492=1,OR(D492="SYN",D492="SRF",D492="MID")),1,IF(AND(H492=1,OR(E493="FDn",E493="LDn")),1,IF(AND(H492=1,OR(E492="FDn",E492="LDn")),1,""))))</f>
        <v/>
      </c>
      <c r="J492" s="4">
        <f t="shared" si="130"/>
        <v>1</v>
      </c>
      <c r="K492" s="4" t="str">
        <f t="shared" si="131"/>
        <v/>
      </c>
      <c r="L492" s="4" t="str">
        <f t="shared" si="132"/>
        <v/>
      </c>
      <c r="M492" s="4" t="str">
        <f t="shared" si="133"/>
        <v/>
      </c>
      <c r="N492" s="4" t="str">
        <f t="shared" si="134"/>
        <v/>
      </c>
      <c r="O492" s="4" t="str">
        <f t="shared" si="135"/>
        <v/>
      </c>
      <c r="P492" s="4" t="str">
        <f t="shared" si="136"/>
        <v/>
      </c>
      <c r="Q492" s="4" t="str">
        <f t="shared" si="137"/>
        <v/>
      </c>
      <c r="R492" s="4" t="str">
        <f t="shared" si="138"/>
        <v/>
      </c>
      <c r="S492" s="4" t="str">
        <f t="shared" si="139"/>
        <v/>
      </c>
      <c r="T492" s="4" t="str">
        <f t="shared" si="140"/>
        <v/>
      </c>
      <c r="U492">
        <f>IF(VLOOKUP(C492,'QA Table'!$Y$5:$Y$20,1,TRUE)=C492,1,0)</f>
        <v>1</v>
      </c>
      <c r="V492" t="str">
        <f t="shared" si="141"/>
        <v/>
      </c>
      <c r="W492" t="str">
        <f t="shared" si="142"/>
        <v/>
      </c>
      <c r="X492">
        <f t="shared" si="143"/>
        <v>4</v>
      </c>
      <c r="Y492">
        <f t="shared" si="144"/>
        <v>1</v>
      </c>
      <c r="AA492">
        <f t="shared" si="145"/>
        <v>1</v>
      </c>
    </row>
    <row r="493" spans="1:27" x14ac:dyDescent="0.2">
      <c r="A493" t="s">
        <v>61</v>
      </c>
      <c r="B493" t="s">
        <v>63</v>
      </c>
      <c r="C493" t="s">
        <v>1627</v>
      </c>
      <c r="D493" t="s">
        <v>8</v>
      </c>
      <c r="E493" t="s">
        <v>3</v>
      </c>
      <c r="F493" t="s">
        <v>1622</v>
      </c>
      <c r="G493" t="s">
        <v>1474</v>
      </c>
      <c r="H493" s="4">
        <f t="shared" si="129"/>
        <v>1</v>
      </c>
      <c r="I493" s="4" t="str">
        <f>IF(RIGHT(B493,1)="M",IF(AND(H493=1,E493="RFS",D493=INDEX('Station Depth Averages'!$A$3:$B$84,MATCH(B493,'Station Depth Averages'!$A$3:$A$84,0),2)),1,""),IF(AND(H493=1,OR(D493="SYN",D493="SRF",D493="MID")),1,IF(AND(H493=1,OR(E494="FDn",E494="LDn")),1,IF(AND(H493=1,OR(E493="FDn",E493="LDn")),1,""))))</f>
        <v/>
      </c>
      <c r="J493" s="4" t="str">
        <f t="shared" si="130"/>
        <v/>
      </c>
      <c r="K493" s="4">
        <f t="shared" si="131"/>
        <v>1</v>
      </c>
      <c r="L493" s="4" t="str">
        <f t="shared" si="132"/>
        <v/>
      </c>
      <c r="M493" s="4" t="str">
        <f t="shared" si="133"/>
        <v/>
      </c>
      <c r="N493" s="4" t="str">
        <f t="shared" si="134"/>
        <v/>
      </c>
      <c r="O493" s="4" t="str">
        <f t="shared" si="135"/>
        <v/>
      </c>
      <c r="P493" s="4" t="str">
        <f t="shared" si="136"/>
        <v/>
      </c>
      <c r="Q493" s="4">
        <f t="shared" si="137"/>
        <v>1</v>
      </c>
      <c r="R493" s="4" t="str">
        <f t="shared" si="138"/>
        <v/>
      </c>
      <c r="S493" s="4" t="str">
        <f t="shared" si="139"/>
        <v/>
      </c>
      <c r="T493" s="4" t="str">
        <f t="shared" si="140"/>
        <v/>
      </c>
      <c r="U493">
        <f>IF(VLOOKUP(C493,'QA Table'!$Y$5:$Y$20,1,TRUE)=C493,1,0)</f>
        <v>0</v>
      </c>
      <c r="V493" t="str">
        <f t="shared" si="141"/>
        <v/>
      </c>
      <c r="W493" t="str">
        <f t="shared" si="142"/>
        <v/>
      </c>
      <c r="X493">
        <f t="shared" si="143"/>
        <v>4</v>
      </c>
      <c r="Y493">
        <f t="shared" si="144"/>
        <v>0</v>
      </c>
      <c r="AA493">
        <f t="shared" si="145"/>
        <v>1</v>
      </c>
    </row>
    <row r="494" spans="1:27" x14ac:dyDescent="0.2">
      <c r="A494" t="s">
        <v>61</v>
      </c>
      <c r="B494" t="s">
        <v>63</v>
      </c>
      <c r="C494" t="s">
        <v>1628</v>
      </c>
      <c r="D494" t="s">
        <v>9</v>
      </c>
      <c r="E494" t="s">
        <v>3</v>
      </c>
      <c r="F494" t="s">
        <v>1622</v>
      </c>
      <c r="G494" t="s">
        <v>1474</v>
      </c>
      <c r="H494" s="4" t="str">
        <f t="shared" si="129"/>
        <v/>
      </c>
      <c r="I494" s="4" t="str">
        <f>IF(RIGHT(B494,1)="M",IF(AND(H494=1,E494="RFS",D494=INDEX('Station Depth Averages'!$A$3:$B$84,MATCH(B494,'Station Depth Averages'!$A$3:$A$84,0),2)),1,""),IF(AND(H494=1,OR(D494="SYN",D494="SRF",D494="MID")),1,IF(AND(H494=1,OR(E495="FDn",E495="LDn")),1,IF(AND(H494=1,OR(E494="FDn",E494="LDn")),1,""))))</f>
        <v/>
      </c>
      <c r="J494" s="4" t="str">
        <f t="shared" si="130"/>
        <v/>
      </c>
      <c r="K494" s="4" t="str">
        <f t="shared" si="131"/>
        <v/>
      </c>
      <c r="L494" s="4" t="str">
        <f t="shared" si="132"/>
        <v/>
      </c>
      <c r="M494" s="4" t="str">
        <f t="shared" si="133"/>
        <v/>
      </c>
      <c r="N494" s="4" t="str">
        <f t="shared" si="134"/>
        <v/>
      </c>
      <c r="O494" s="4" t="str">
        <f t="shared" si="135"/>
        <v/>
      </c>
      <c r="P494" s="4" t="str">
        <f t="shared" si="136"/>
        <v/>
      </c>
      <c r="Q494" s="4" t="str">
        <f t="shared" si="137"/>
        <v/>
      </c>
      <c r="R494" s="4" t="str">
        <f t="shared" si="138"/>
        <v/>
      </c>
      <c r="S494" s="4" t="str">
        <f t="shared" si="139"/>
        <v/>
      </c>
      <c r="T494" s="4">
        <f t="shared" si="140"/>
        <v>1</v>
      </c>
      <c r="U494">
        <f>IF(VLOOKUP(C494,'QA Table'!$Y$5:$Y$20,1,TRUE)=C494,1,0)</f>
        <v>0</v>
      </c>
      <c r="V494" t="str">
        <f t="shared" si="141"/>
        <v/>
      </c>
      <c r="W494" t="str">
        <f t="shared" si="142"/>
        <v/>
      </c>
      <c r="X494" t="str">
        <f t="shared" si="143"/>
        <v/>
      </c>
      <c r="Y494">
        <f t="shared" si="144"/>
        <v>0</v>
      </c>
      <c r="AA494" t="str">
        <f t="shared" si="145"/>
        <v/>
      </c>
    </row>
    <row r="495" spans="1:27" x14ac:dyDescent="0.2">
      <c r="A495" t="s">
        <v>61</v>
      </c>
      <c r="B495" t="s">
        <v>63</v>
      </c>
      <c r="C495" t="s">
        <v>1629</v>
      </c>
      <c r="D495" t="s">
        <v>10</v>
      </c>
      <c r="E495" t="s">
        <v>3</v>
      </c>
      <c r="F495" t="s">
        <v>1622</v>
      </c>
      <c r="G495" t="s">
        <v>1474</v>
      </c>
      <c r="H495" s="4" t="str">
        <f t="shared" si="129"/>
        <v/>
      </c>
      <c r="I495" s="4" t="str">
        <f>IF(RIGHT(B495,1)="M",IF(AND(H495=1,E495="RFS",D495=INDEX('Station Depth Averages'!$A$3:$B$84,MATCH(B495,'Station Depth Averages'!$A$3:$A$84,0),2)),1,""),IF(AND(H495=1,OR(D495="SYN",D495="SRF",D495="MID")),1,IF(AND(H495=1,OR(E496="FDn",E496="LDn")),1,IF(AND(H495=1,OR(E495="FDn",E495="LDn")),1,""))))</f>
        <v/>
      </c>
      <c r="J495" s="4" t="str">
        <f t="shared" si="130"/>
        <v/>
      </c>
      <c r="K495" s="4" t="str">
        <f t="shared" si="131"/>
        <v/>
      </c>
      <c r="L495" s="4" t="str">
        <f t="shared" si="132"/>
        <v/>
      </c>
      <c r="M495" s="4" t="str">
        <f t="shared" si="133"/>
        <v/>
      </c>
      <c r="N495" s="4" t="str">
        <f t="shared" si="134"/>
        <v/>
      </c>
      <c r="O495" s="4" t="str">
        <f t="shared" si="135"/>
        <v/>
      </c>
      <c r="P495" s="4" t="str">
        <f t="shared" si="136"/>
        <v/>
      </c>
      <c r="Q495" s="4" t="str">
        <f t="shared" si="137"/>
        <v/>
      </c>
      <c r="R495" s="4" t="str">
        <f t="shared" si="138"/>
        <v/>
      </c>
      <c r="S495" s="4" t="str">
        <f t="shared" si="139"/>
        <v/>
      </c>
      <c r="T495" s="4">
        <f t="shared" si="140"/>
        <v>1</v>
      </c>
      <c r="U495">
        <f>IF(VLOOKUP(C495,'QA Table'!$Y$5:$Y$20,1,TRUE)=C495,1,0)</f>
        <v>0</v>
      </c>
      <c r="V495" t="str">
        <f t="shared" si="141"/>
        <v/>
      </c>
      <c r="W495" t="str">
        <f t="shared" si="142"/>
        <v/>
      </c>
      <c r="X495" t="str">
        <f t="shared" si="143"/>
        <v/>
      </c>
      <c r="Y495">
        <f t="shared" si="144"/>
        <v>0</v>
      </c>
      <c r="AA495" t="str">
        <f t="shared" si="145"/>
        <v/>
      </c>
    </row>
    <row r="496" spans="1:27" x14ac:dyDescent="0.2">
      <c r="A496" t="s">
        <v>61</v>
      </c>
      <c r="B496" t="s">
        <v>64</v>
      </c>
      <c r="C496" t="s">
        <v>1630</v>
      </c>
      <c r="D496" t="s">
        <v>14</v>
      </c>
      <c r="E496" t="s">
        <v>15</v>
      </c>
      <c r="F496" t="s">
        <v>1631</v>
      </c>
      <c r="G496" t="s">
        <v>1474</v>
      </c>
      <c r="H496" s="4">
        <f t="shared" si="129"/>
        <v>1</v>
      </c>
      <c r="I496" s="4">
        <f>IF(RIGHT(B496,1)="M",IF(AND(H496=1,E496="RFS",D496=INDEX('Station Depth Averages'!$A$3:$B$84,MATCH(B496,'Station Depth Averages'!$A$3:$A$84,0),2)),1,""),IF(AND(H496=1,OR(D496="SYN",D496="SRF",D496="MID")),1,IF(AND(H496=1,OR(E497="FDn",E497="LDn")),1,IF(AND(H496=1,OR(E496="FDn",E496="LDn")),1,""))))</f>
        <v>1</v>
      </c>
      <c r="J496" s="4">
        <f t="shared" si="130"/>
        <v>1</v>
      </c>
      <c r="K496" s="4" t="str">
        <f t="shared" si="131"/>
        <v/>
      </c>
      <c r="L496" s="4" t="str">
        <f t="shared" si="132"/>
        <v/>
      </c>
      <c r="M496" s="4" t="str">
        <f t="shared" si="133"/>
        <v/>
      </c>
      <c r="N496" s="4" t="str">
        <f t="shared" si="134"/>
        <v/>
      </c>
      <c r="O496" s="4" t="str">
        <f t="shared" si="135"/>
        <v/>
      </c>
      <c r="P496" s="4" t="str">
        <f t="shared" si="136"/>
        <v/>
      </c>
      <c r="Q496" s="4" t="str">
        <f t="shared" si="137"/>
        <v/>
      </c>
      <c r="R496" s="4" t="str">
        <f t="shared" si="138"/>
        <v/>
      </c>
      <c r="S496" s="4" t="str">
        <f t="shared" si="139"/>
        <v/>
      </c>
      <c r="T496" s="4" t="str">
        <f t="shared" si="140"/>
        <v/>
      </c>
      <c r="U496">
        <f>IF(VLOOKUP(C496,'QA Table'!$Y$5:$Y$20,1,TRUE)=C496,1,0)</f>
        <v>0</v>
      </c>
      <c r="V496" t="str">
        <f t="shared" si="141"/>
        <v/>
      </c>
      <c r="W496" t="str">
        <f t="shared" si="142"/>
        <v/>
      </c>
      <c r="X496">
        <f t="shared" si="143"/>
        <v>4</v>
      </c>
      <c r="Y496">
        <f t="shared" si="144"/>
        <v>0</v>
      </c>
      <c r="AA496">
        <f t="shared" si="145"/>
        <v>1</v>
      </c>
    </row>
    <row r="497" spans="1:27" x14ac:dyDescent="0.2">
      <c r="A497" t="s">
        <v>61</v>
      </c>
      <c r="B497" t="s">
        <v>64</v>
      </c>
      <c r="C497" t="s">
        <v>1079</v>
      </c>
      <c r="D497" t="s">
        <v>2</v>
      </c>
      <c r="E497" t="s">
        <v>3</v>
      </c>
      <c r="F497" t="s">
        <v>1631</v>
      </c>
      <c r="G497" t="s">
        <v>1474</v>
      </c>
      <c r="H497" s="4">
        <f t="shared" si="129"/>
        <v>1</v>
      </c>
      <c r="I497" s="4">
        <f>IF(RIGHT(B497,1)="M",IF(AND(H497=1,E497="RFS",D497=INDEX('Station Depth Averages'!$A$3:$B$84,MATCH(B497,'Station Depth Averages'!$A$3:$A$84,0),2)),1,""),IF(AND(H497=1,OR(D497="SYN",D497="SRF",D497="MID")),1,IF(AND(H497=1,OR(E498="FDn",E498="LDn")),1,IF(AND(H497=1,OR(E497="FDn",E497="LDn")),1,""))))</f>
        <v>1</v>
      </c>
      <c r="J497" s="4">
        <f t="shared" si="130"/>
        <v>1</v>
      </c>
      <c r="K497" s="4" t="str">
        <f t="shared" si="131"/>
        <v/>
      </c>
      <c r="L497" s="4" t="str">
        <f t="shared" si="132"/>
        <v/>
      </c>
      <c r="M497" s="4" t="str">
        <f t="shared" si="133"/>
        <v/>
      </c>
      <c r="N497" s="4" t="str">
        <f t="shared" si="134"/>
        <v/>
      </c>
      <c r="O497" s="4" t="str">
        <f t="shared" si="135"/>
        <v/>
      </c>
      <c r="P497" s="4" t="str">
        <f t="shared" si="136"/>
        <v/>
      </c>
      <c r="Q497" s="4" t="str">
        <f t="shared" si="137"/>
        <v/>
      </c>
      <c r="R497" s="4" t="str">
        <f t="shared" si="138"/>
        <v/>
      </c>
      <c r="S497" s="4" t="str">
        <f t="shared" si="139"/>
        <v/>
      </c>
      <c r="T497" s="4" t="str">
        <f t="shared" si="140"/>
        <v/>
      </c>
      <c r="U497">
        <f>IF(VLOOKUP(C497,'QA Table'!$Y$5:$Y$20,1,TRUE)=C497,1,0)</f>
        <v>0</v>
      </c>
      <c r="V497" t="str">
        <f t="shared" si="141"/>
        <v/>
      </c>
      <c r="W497" t="str">
        <f t="shared" si="142"/>
        <v/>
      </c>
      <c r="X497">
        <f t="shared" si="143"/>
        <v>4</v>
      </c>
      <c r="Y497">
        <f t="shared" si="144"/>
        <v>0</v>
      </c>
      <c r="AA497">
        <f t="shared" si="145"/>
        <v>1</v>
      </c>
    </row>
    <row r="498" spans="1:27" x14ac:dyDescent="0.2">
      <c r="A498" t="s">
        <v>61</v>
      </c>
      <c r="B498" t="s">
        <v>64</v>
      </c>
      <c r="C498" t="s">
        <v>1632</v>
      </c>
      <c r="D498" t="s">
        <v>1050</v>
      </c>
      <c r="E498" t="s">
        <v>3</v>
      </c>
      <c r="F498" t="s">
        <v>1631</v>
      </c>
      <c r="G498" t="s">
        <v>1474</v>
      </c>
      <c r="H498" s="4" t="str">
        <f t="shared" si="129"/>
        <v/>
      </c>
      <c r="I498" s="4" t="str">
        <f>IF(RIGHT(B498,1)="M",IF(AND(H498=1,E498="RFS",D498=INDEX('Station Depth Averages'!$A$3:$B$84,MATCH(B498,'Station Depth Averages'!$A$3:$A$84,0),2)),1,""),IF(AND(H498=1,OR(D498="SYN",D498="SRF",D498="MID")),1,IF(AND(H498=1,OR(E499="FDn",E499="LDn")),1,IF(AND(H498=1,OR(E498="FDn",E498="LDn")),1,""))))</f>
        <v/>
      </c>
      <c r="J498" s="4" t="str">
        <f t="shared" si="130"/>
        <v/>
      </c>
      <c r="K498" s="4" t="str">
        <f t="shared" si="131"/>
        <v/>
      </c>
      <c r="L498" s="4" t="str">
        <f t="shared" si="132"/>
        <v/>
      </c>
      <c r="M498" s="4" t="str">
        <f t="shared" si="133"/>
        <v/>
      </c>
      <c r="N498" s="4" t="str">
        <f t="shared" si="134"/>
        <v/>
      </c>
      <c r="O498" s="4" t="str">
        <f t="shared" si="135"/>
        <v/>
      </c>
      <c r="P498" s="4" t="str">
        <f t="shared" si="136"/>
        <v/>
      </c>
      <c r="Q498" s="4" t="str">
        <f t="shared" si="137"/>
        <v/>
      </c>
      <c r="R498" s="4" t="str">
        <f t="shared" si="138"/>
        <v/>
      </c>
      <c r="S498" s="4" t="str">
        <f t="shared" si="139"/>
        <v/>
      </c>
      <c r="T498" s="4" t="str">
        <f t="shared" si="140"/>
        <v/>
      </c>
      <c r="U498">
        <f>IF(VLOOKUP(C498,'QA Table'!$Y$5:$Y$20,1,TRUE)=C498,1,0)</f>
        <v>0</v>
      </c>
      <c r="V498" t="str">
        <f t="shared" si="141"/>
        <v/>
      </c>
      <c r="W498" t="str">
        <f t="shared" si="142"/>
        <v/>
      </c>
      <c r="X498" t="str">
        <f t="shared" si="143"/>
        <v/>
      </c>
      <c r="Y498">
        <f t="shared" si="144"/>
        <v>0</v>
      </c>
      <c r="AA498" t="str">
        <f t="shared" si="145"/>
        <v/>
      </c>
    </row>
    <row r="499" spans="1:27" x14ac:dyDescent="0.2">
      <c r="A499" t="s">
        <v>61</v>
      </c>
      <c r="B499" t="s">
        <v>64</v>
      </c>
      <c r="C499" t="s">
        <v>1633</v>
      </c>
      <c r="D499" t="s">
        <v>4</v>
      </c>
      <c r="E499" t="s">
        <v>3</v>
      </c>
      <c r="F499" t="s">
        <v>1631</v>
      </c>
      <c r="G499" t="s">
        <v>1474</v>
      </c>
      <c r="H499" s="4" t="str">
        <f t="shared" si="129"/>
        <v/>
      </c>
      <c r="I499" s="4" t="str">
        <f>IF(RIGHT(B499,1)="M",IF(AND(H499=1,E499="RFS",D499=INDEX('Station Depth Averages'!$A$3:$B$84,MATCH(B499,'Station Depth Averages'!$A$3:$A$84,0),2)),1,""),IF(AND(H499=1,OR(D499="SYN",D499="SRF",D499="MID")),1,IF(AND(H499=1,OR(E500="FDn",E500="LDn")),1,IF(AND(H499=1,OR(E499="FDn",E499="LDn")),1,""))))</f>
        <v/>
      </c>
      <c r="J499" s="4" t="str">
        <f t="shared" si="130"/>
        <v/>
      </c>
      <c r="K499" s="4" t="str">
        <f t="shared" si="131"/>
        <v/>
      </c>
      <c r="L499" s="4" t="str">
        <f t="shared" si="132"/>
        <v/>
      </c>
      <c r="M499" s="4" t="str">
        <f t="shared" si="133"/>
        <v/>
      </c>
      <c r="N499" s="4" t="str">
        <f t="shared" si="134"/>
        <v/>
      </c>
      <c r="O499" s="4" t="str">
        <f t="shared" si="135"/>
        <v/>
      </c>
      <c r="P499" s="4" t="str">
        <f t="shared" si="136"/>
        <v/>
      </c>
      <c r="Q499" s="4" t="str">
        <f t="shared" si="137"/>
        <v/>
      </c>
      <c r="R499" s="4" t="str">
        <f t="shared" si="138"/>
        <v/>
      </c>
      <c r="S499" s="4" t="str">
        <f t="shared" si="139"/>
        <v/>
      </c>
      <c r="T499" s="4" t="str">
        <f t="shared" si="140"/>
        <v/>
      </c>
      <c r="U499">
        <f>IF(VLOOKUP(C499,'QA Table'!$Y$5:$Y$20,1,TRUE)=C499,1,0)</f>
        <v>0</v>
      </c>
      <c r="V499" t="str">
        <f t="shared" si="141"/>
        <v/>
      </c>
      <c r="W499" t="str">
        <f t="shared" si="142"/>
        <v/>
      </c>
      <c r="X499" t="str">
        <f t="shared" si="143"/>
        <v/>
      </c>
      <c r="Y499">
        <f t="shared" si="144"/>
        <v>0</v>
      </c>
      <c r="AA499" t="str">
        <f t="shared" si="145"/>
        <v/>
      </c>
    </row>
    <row r="500" spans="1:27" x14ac:dyDescent="0.2">
      <c r="A500" t="s">
        <v>61</v>
      </c>
      <c r="B500" t="s">
        <v>64</v>
      </c>
      <c r="C500" t="s">
        <v>1634</v>
      </c>
      <c r="D500" t="s">
        <v>119</v>
      </c>
      <c r="E500" t="s">
        <v>3</v>
      </c>
      <c r="F500" t="s">
        <v>1631</v>
      </c>
      <c r="G500" t="s">
        <v>1474</v>
      </c>
      <c r="H500" s="4">
        <f t="shared" si="129"/>
        <v>1</v>
      </c>
      <c r="I500" s="4">
        <f>IF(RIGHT(B500,1)="M",IF(AND(H500=1,E500="RFS",D500=INDEX('Station Depth Averages'!$A$3:$B$84,MATCH(B500,'Station Depth Averages'!$A$3:$A$84,0),2)),1,""),IF(AND(H500=1,OR(D500="SYN",D500="SRF",D500="MID")),1,IF(AND(H500=1,OR(E501="FDn",E501="LDn")),1,IF(AND(H500=1,OR(E500="FDn",E500="LDn")),1,""))))</f>
        <v>1</v>
      </c>
      <c r="J500" s="4">
        <f t="shared" si="130"/>
        <v>1</v>
      </c>
      <c r="K500" s="4" t="str">
        <f t="shared" si="131"/>
        <v/>
      </c>
      <c r="L500" s="4" t="str">
        <f t="shared" si="132"/>
        <v/>
      </c>
      <c r="M500" s="4" t="str">
        <f t="shared" si="133"/>
        <v/>
      </c>
      <c r="N500" s="4" t="str">
        <f t="shared" si="134"/>
        <v/>
      </c>
      <c r="O500" s="4" t="str">
        <f t="shared" si="135"/>
        <v/>
      </c>
      <c r="P500" s="4" t="str">
        <f t="shared" si="136"/>
        <v/>
      </c>
      <c r="Q500" s="4" t="str">
        <f t="shared" si="137"/>
        <v/>
      </c>
      <c r="R500" s="4" t="str">
        <f t="shared" si="138"/>
        <v/>
      </c>
      <c r="S500" s="4" t="str">
        <f t="shared" si="139"/>
        <v/>
      </c>
      <c r="T500" s="4" t="str">
        <f t="shared" si="140"/>
        <v/>
      </c>
      <c r="U500">
        <f>IF(VLOOKUP(C500,'QA Table'!$Y$5:$Y$20,1,TRUE)=C500,1,0)</f>
        <v>0</v>
      </c>
      <c r="V500" t="str">
        <f t="shared" si="141"/>
        <v/>
      </c>
      <c r="W500" t="str">
        <f t="shared" si="142"/>
        <v/>
      </c>
      <c r="X500">
        <f t="shared" si="143"/>
        <v>4</v>
      </c>
      <c r="Y500">
        <f t="shared" si="144"/>
        <v>0</v>
      </c>
      <c r="AA500">
        <f t="shared" si="145"/>
        <v>1</v>
      </c>
    </row>
    <row r="501" spans="1:27" x14ac:dyDescent="0.2">
      <c r="A501" t="s">
        <v>61</v>
      </c>
      <c r="B501" t="s">
        <v>64</v>
      </c>
      <c r="C501" t="s">
        <v>1635</v>
      </c>
      <c r="D501" t="s">
        <v>6</v>
      </c>
      <c r="E501" t="s">
        <v>3</v>
      </c>
      <c r="F501" t="s">
        <v>1631</v>
      </c>
      <c r="G501" t="s">
        <v>1474</v>
      </c>
      <c r="H501" s="4">
        <f t="shared" si="129"/>
        <v>1</v>
      </c>
      <c r="I501" s="4" t="str">
        <f>IF(RIGHT(B501,1)="M",IF(AND(H501=1,E501="RFS",D501=INDEX('Station Depth Averages'!$A$3:$B$84,MATCH(B501,'Station Depth Averages'!$A$3:$A$84,0),2)),1,""),IF(AND(H501=1,OR(D501="SYN",D501="SRF",D501="MID")),1,IF(AND(H501=1,OR(E502="FDn",E502="LDn")),1,IF(AND(H501=1,OR(E501="FDn",E501="LDn")),1,""))))</f>
        <v/>
      </c>
      <c r="J501" s="4">
        <f t="shared" si="130"/>
        <v>1</v>
      </c>
      <c r="K501" s="4" t="str">
        <f t="shared" si="131"/>
        <v/>
      </c>
      <c r="L501" s="4" t="str">
        <f t="shared" si="132"/>
        <v/>
      </c>
      <c r="M501" s="4" t="str">
        <f t="shared" si="133"/>
        <v/>
      </c>
      <c r="N501" s="4" t="str">
        <f t="shared" si="134"/>
        <v/>
      </c>
      <c r="O501" s="4" t="str">
        <f t="shared" si="135"/>
        <v/>
      </c>
      <c r="P501" s="4" t="str">
        <f t="shared" si="136"/>
        <v/>
      </c>
      <c r="Q501" s="4" t="str">
        <f t="shared" si="137"/>
        <v/>
      </c>
      <c r="R501" s="4" t="str">
        <f t="shared" si="138"/>
        <v/>
      </c>
      <c r="S501" s="4" t="str">
        <f t="shared" si="139"/>
        <v/>
      </c>
      <c r="T501" s="4" t="str">
        <f t="shared" si="140"/>
        <v/>
      </c>
      <c r="U501">
        <f>IF(VLOOKUP(C501,'QA Table'!$Y$5:$Y$20,1,TRUE)=C501,1,0)</f>
        <v>0</v>
      </c>
      <c r="V501" t="str">
        <f t="shared" si="141"/>
        <v/>
      </c>
      <c r="W501" t="str">
        <f t="shared" si="142"/>
        <v/>
      </c>
      <c r="X501">
        <f t="shared" si="143"/>
        <v>4</v>
      </c>
      <c r="Y501">
        <f t="shared" si="144"/>
        <v>0</v>
      </c>
      <c r="AA501">
        <f t="shared" si="145"/>
        <v>1</v>
      </c>
    </row>
    <row r="502" spans="1:27" x14ac:dyDescent="0.2">
      <c r="A502" t="s">
        <v>61</v>
      </c>
      <c r="B502" t="s">
        <v>64</v>
      </c>
      <c r="C502" t="s">
        <v>1636</v>
      </c>
      <c r="D502" t="s">
        <v>8</v>
      </c>
      <c r="E502" t="s">
        <v>3</v>
      </c>
      <c r="F502" t="s">
        <v>1631</v>
      </c>
      <c r="G502" t="s">
        <v>1474</v>
      </c>
      <c r="H502" s="4">
        <f t="shared" si="129"/>
        <v>1</v>
      </c>
      <c r="I502" s="4" t="str">
        <f>IF(RIGHT(B502,1)="M",IF(AND(H502=1,E502="RFS",D502=INDEX('Station Depth Averages'!$A$3:$B$84,MATCH(B502,'Station Depth Averages'!$A$3:$A$84,0),2)),1,""),IF(AND(H502=1,OR(D502="SYN",D502="SRF",D502="MID")),1,IF(AND(H502=1,OR(E503="FDn",E503="LDn")),1,IF(AND(H502=1,OR(E502="FDn",E502="LDn")),1,""))))</f>
        <v/>
      </c>
      <c r="J502" s="4" t="str">
        <f t="shared" si="130"/>
        <v/>
      </c>
      <c r="K502" s="4">
        <f t="shared" si="131"/>
        <v>1</v>
      </c>
      <c r="L502" s="4" t="str">
        <f t="shared" si="132"/>
        <v/>
      </c>
      <c r="M502" s="4" t="str">
        <f t="shared" si="133"/>
        <v/>
      </c>
      <c r="N502" s="4" t="str">
        <f t="shared" si="134"/>
        <v/>
      </c>
      <c r="O502" s="4" t="str">
        <f t="shared" si="135"/>
        <v/>
      </c>
      <c r="P502" s="4" t="str">
        <f t="shared" si="136"/>
        <v/>
      </c>
      <c r="Q502" s="4">
        <f t="shared" si="137"/>
        <v>1</v>
      </c>
      <c r="R502" s="4" t="str">
        <f t="shared" si="138"/>
        <v/>
      </c>
      <c r="S502" s="4" t="str">
        <f t="shared" si="139"/>
        <v/>
      </c>
      <c r="T502" s="4" t="str">
        <f t="shared" si="140"/>
        <v/>
      </c>
      <c r="U502">
        <f>IF(VLOOKUP(C502,'QA Table'!$Y$5:$Y$20,1,TRUE)=C502,1,0)</f>
        <v>0</v>
      </c>
      <c r="V502" t="str">
        <f t="shared" si="141"/>
        <v/>
      </c>
      <c r="W502" t="str">
        <f t="shared" si="142"/>
        <v/>
      </c>
      <c r="X502">
        <f t="shared" si="143"/>
        <v>4</v>
      </c>
      <c r="Y502">
        <f t="shared" si="144"/>
        <v>0</v>
      </c>
      <c r="AA502">
        <f t="shared" si="145"/>
        <v>1</v>
      </c>
    </row>
    <row r="503" spans="1:27" x14ac:dyDescent="0.2">
      <c r="A503" t="s">
        <v>61</v>
      </c>
      <c r="B503" t="s">
        <v>64</v>
      </c>
      <c r="C503" t="s">
        <v>1637</v>
      </c>
      <c r="D503" t="s">
        <v>9</v>
      </c>
      <c r="E503" t="s">
        <v>3</v>
      </c>
      <c r="F503" t="s">
        <v>1631</v>
      </c>
      <c r="G503" t="s">
        <v>1474</v>
      </c>
      <c r="H503" s="4" t="str">
        <f t="shared" si="129"/>
        <v/>
      </c>
      <c r="I503" s="4" t="str">
        <f>IF(RIGHT(B503,1)="M",IF(AND(H503=1,E503="RFS",D503=INDEX('Station Depth Averages'!$A$3:$B$84,MATCH(B503,'Station Depth Averages'!$A$3:$A$84,0),2)),1,""),IF(AND(H503=1,OR(D503="SYN",D503="SRF",D503="MID")),1,IF(AND(H503=1,OR(E504="FDn",E504="LDn")),1,IF(AND(H503=1,OR(E503="FDn",E503="LDn")),1,""))))</f>
        <v/>
      </c>
      <c r="J503" s="4" t="str">
        <f t="shared" si="130"/>
        <v/>
      </c>
      <c r="K503" s="4" t="str">
        <f t="shared" si="131"/>
        <v/>
      </c>
      <c r="L503" s="4" t="str">
        <f t="shared" si="132"/>
        <v/>
      </c>
      <c r="M503" s="4" t="str">
        <f t="shared" si="133"/>
        <v/>
      </c>
      <c r="N503" s="4" t="str">
        <f t="shared" si="134"/>
        <v/>
      </c>
      <c r="O503" s="4" t="str">
        <f t="shared" si="135"/>
        <v/>
      </c>
      <c r="P503" s="4" t="str">
        <f t="shared" si="136"/>
        <v/>
      </c>
      <c r="Q503" s="4" t="str">
        <f t="shared" si="137"/>
        <v/>
      </c>
      <c r="R503" s="4" t="str">
        <f t="shared" si="138"/>
        <v/>
      </c>
      <c r="S503" s="4" t="str">
        <f t="shared" si="139"/>
        <v/>
      </c>
      <c r="T503" s="4">
        <f t="shared" si="140"/>
        <v>1</v>
      </c>
      <c r="U503">
        <f>IF(VLOOKUP(C503,'QA Table'!$Y$5:$Y$20,1,TRUE)=C503,1,0)</f>
        <v>0</v>
      </c>
      <c r="V503" t="str">
        <f t="shared" si="141"/>
        <v/>
      </c>
      <c r="W503" t="str">
        <f t="shared" si="142"/>
        <v/>
      </c>
      <c r="X503" t="str">
        <f t="shared" si="143"/>
        <v/>
      </c>
      <c r="Y503">
        <f t="shared" si="144"/>
        <v>0</v>
      </c>
      <c r="AA503" t="str">
        <f t="shared" si="145"/>
        <v/>
      </c>
    </row>
    <row r="504" spans="1:27" x14ac:dyDescent="0.2">
      <c r="A504" t="s">
        <v>61</v>
      </c>
      <c r="B504" t="s">
        <v>64</v>
      </c>
      <c r="C504" t="s">
        <v>1638</v>
      </c>
      <c r="D504" t="s">
        <v>10</v>
      </c>
      <c r="E504" t="s">
        <v>3</v>
      </c>
      <c r="F504" t="s">
        <v>1631</v>
      </c>
      <c r="G504" t="s">
        <v>1474</v>
      </c>
      <c r="H504" s="4" t="str">
        <f t="shared" si="129"/>
        <v/>
      </c>
      <c r="I504" s="4" t="str">
        <f>IF(RIGHT(B504,1)="M",IF(AND(H504=1,E504="RFS",D504=INDEX('Station Depth Averages'!$A$3:$B$84,MATCH(B504,'Station Depth Averages'!$A$3:$A$84,0),2)),1,""),IF(AND(H504=1,OR(D504="SYN",D504="SRF",D504="MID")),1,IF(AND(H504=1,OR(E505="FDn",E505="LDn")),1,IF(AND(H504=1,OR(E504="FDn",E504="LDn")),1,""))))</f>
        <v/>
      </c>
      <c r="J504" s="4" t="str">
        <f t="shared" si="130"/>
        <v/>
      </c>
      <c r="K504" s="4" t="str">
        <f t="shared" si="131"/>
        <v/>
      </c>
      <c r="L504" s="4" t="str">
        <f t="shared" si="132"/>
        <v/>
      </c>
      <c r="M504" s="4" t="str">
        <f t="shared" si="133"/>
        <v/>
      </c>
      <c r="N504" s="4" t="str">
        <f t="shared" si="134"/>
        <v/>
      </c>
      <c r="O504" s="4" t="str">
        <f t="shared" si="135"/>
        <v/>
      </c>
      <c r="P504" s="4" t="str">
        <f t="shared" si="136"/>
        <v/>
      </c>
      <c r="Q504" s="4" t="str">
        <f t="shared" si="137"/>
        <v/>
      </c>
      <c r="R504" s="4" t="str">
        <f t="shared" si="138"/>
        <v/>
      </c>
      <c r="S504" s="4" t="str">
        <f t="shared" si="139"/>
        <v/>
      </c>
      <c r="T504" s="4">
        <f t="shared" si="140"/>
        <v>1</v>
      </c>
      <c r="U504">
        <f>IF(VLOOKUP(C504,'QA Table'!$Y$5:$Y$20,1,TRUE)=C504,1,0)</f>
        <v>0</v>
      </c>
      <c r="V504" t="str">
        <f t="shared" si="141"/>
        <v/>
      </c>
      <c r="W504" t="str">
        <f t="shared" si="142"/>
        <v/>
      </c>
      <c r="X504" t="str">
        <f t="shared" si="143"/>
        <v/>
      </c>
      <c r="Y504">
        <f t="shared" si="144"/>
        <v>0</v>
      </c>
      <c r="AA504" t="str">
        <f t="shared" si="145"/>
        <v/>
      </c>
    </row>
    <row r="505" spans="1:27" x14ac:dyDescent="0.2">
      <c r="A505" t="s">
        <v>61</v>
      </c>
      <c r="B505" t="s">
        <v>65</v>
      </c>
      <c r="C505" t="s">
        <v>1639</v>
      </c>
      <c r="D505" t="s">
        <v>2</v>
      </c>
      <c r="E505" t="s">
        <v>3</v>
      </c>
      <c r="F505" t="s">
        <v>1640</v>
      </c>
      <c r="G505" t="s">
        <v>1474</v>
      </c>
      <c r="H505" s="4">
        <f t="shared" si="129"/>
        <v>1</v>
      </c>
      <c r="I505" s="4">
        <f>IF(RIGHT(B505,1)="M",IF(AND(H505=1,E505="RFS",D505=INDEX('Station Depth Averages'!$A$3:$B$84,MATCH(B505,'Station Depth Averages'!$A$3:$A$84,0),2)),1,""),IF(AND(H505=1,OR(D505="SYN",D505="SRF",D505="MID")),1,IF(AND(H505=1,OR(E506="FDn",E506="LDn")),1,IF(AND(H505=1,OR(E505="FDn",E505="LDn")),1,""))))</f>
        <v>1</v>
      </c>
      <c r="J505" s="4">
        <f t="shared" si="130"/>
        <v>1</v>
      </c>
      <c r="K505" s="4" t="str">
        <f t="shared" si="131"/>
        <v/>
      </c>
      <c r="L505" s="4" t="str">
        <f t="shared" si="132"/>
        <v/>
      </c>
      <c r="M505" s="4" t="str">
        <f t="shared" si="133"/>
        <v/>
      </c>
      <c r="N505" s="4" t="str">
        <f t="shared" si="134"/>
        <v/>
      </c>
      <c r="O505" s="4" t="str">
        <f t="shared" si="135"/>
        <v/>
      </c>
      <c r="P505" s="4" t="str">
        <f t="shared" si="136"/>
        <v/>
      </c>
      <c r="Q505" s="4" t="str">
        <f t="shared" si="137"/>
        <v/>
      </c>
      <c r="R505" s="4" t="str">
        <f t="shared" si="138"/>
        <v/>
      </c>
      <c r="S505" s="4" t="str">
        <f t="shared" si="139"/>
        <v/>
      </c>
      <c r="T505" s="4" t="str">
        <f t="shared" si="140"/>
        <v/>
      </c>
      <c r="U505">
        <f>IF(VLOOKUP(C505,'QA Table'!$Y$5:$Y$20,1,TRUE)=C505,1,0)</f>
        <v>0</v>
      </c>
      <c r="V505" t="str">
        <f t="shared" si="141"/>
        <v/>
      </c>
      <c r="W505" t="str">
        <f t="shared" si="142"/>
        <v/>
      </c>
      <c r="X505">
        <f t="shared" si="143"/>
        <v>4</v>
      </c>
      <c r="Y505">
        <f t="shared" si="144"/>
        <v>0</v>
      </c>
      <c r="AA505">
        <f t="shared" si="145"/>
        <v>1</v>
      </c>
    </row>
    <row r="506" spans="1:27" x14ac:dyDescent="0.2">
      <c r="A506" t="s">
        <v>61</v>
      </c>
      <c r="B506" t="s">
        <v>65</v>
      </c>
      <c r="C506" t="s">
        <v>1641</v>
      </c>
      <c r="D506" t="s">
        <v>1050</v>
      </c>
      <c r="E506" t="s">
        <v>3</v>
      </c>
      <c r="F506" t="s">
        <v>1640</v>
      </c>
      <c r="G506" t="s">
        <v>1474</v>
      </c>
      <c r="H506" s="4" t="str">
        <f t="shared" si="129"/>
        <v/>
      </c>
      <c r="I506" s="4" t="str">
        <f>IF(RIGHT(B506,1)="M",IF(AND(H506=1,E506="RFS",D506=INDEX('Station Depth Averages'!$A$3:$B$84,MATCH(B506,'Station Depth Averages'!$A$3:$A$84,0),2)),1,""),IF(AND(H506=1,OR(D506="SYN",D506="SRF",D506="MID")),1,IF(AND(H506=1,OR(E507="FDn",E507="LDn")),1,IF(AND(H506=1,OR(E506="FDn",E506="LDn")),1,""))))</f>
        <v/>
      </c>
      <c r="J506" s="4" t="str">
        <f t="shared" si="130"/>
        <v/>
      </c>
      <c r="K506" s="4" t="str">
        <f t="shared" si="131"/>
        <v/>
      </c>
      <c r="L506" s="4" t="str">
        <f t="shared" si="132"/>
        <v/>
      </c>
      <c r="M506" s="4" t="str">
        <f t="shared" si="133"/>
        <v/>
      </c>
      <c r="N506" s="4" t="str">
        <f t="shared" si="134"/>
        <v/>
      </c>
      <c r="O506" s="4" t="str">
        <f t="shared" si="135"/>
        <v/>
      </c>
      <c r="P506" s="4" t="str">
        <f t="shared" si="136"/>
        <v/>
      </c>
      <c r="Q506" s="4" t="str">
        <f t="shared" si="137"/>
        <v/>
      </c>
      <c r="R506" s="4" t="str">
        <f t="shared" si="138"/>
        <v/>
      </c>
      <c r="S506" s="4" t="str">
        <f t="shared" si="139"/>
        <v/>
      </c>
      <c r="T506" s="4" t="str">
        <f t="shared" si="140"/>
        <v/>
      </c>
      <c r="U506">
        <f>IF(VLOOKUP(C506,'QA Table'!$Y$5:$Y$20,1,TRUE)=C506,1,0)</f>
        <v>0</v>
      </c>
      <c r="V506" t="str">
        <f t="shared" si="141"/>
        <v/>
      </c>
      <c r="W506" t="str">
        <f t="shared" si="142"/>
        <v/>
      </c>
      <c r="X506" t="str">
        <f t="shared" si="143"/>
        <v/>
      </c>
      <c r="Y506">
        <f t="shared" si="144"/>
        <v>0</v>
      </c>
      <c r="AA506" t="str">
        <f t="shared" si="145"/>
        <v/>
      </c>
    </row>
    <row r="507" spans="1:27" x14ac:dyDescent="0.2">
      <c r="A507" t="s">
        <v>61</v>
      </c>
      <c r="B507" t="s">
        <v>65</v>
      </c>
      <c r="C507" t="s">
        <v>1642</v>
      </c>
      <c r="D507" t="s">
        <v>4</v>
      </c>
      <c r="E507" t="s">
        <v>3</v>
      </c>
      <c r="F507" t="s">
        <v>1640</v>
      </c>
      <c r="G507" t="s">
        <v>1474</v>
      </c>
      <c r="H507" s="4" t="str">
        <f t="shared" si="129"/>
        <v/>
      </c>
      <c r="I507" s="4" t="str">
        <f>IF(RIGHT(B507,1)="M",IF(AND(H507=1,E507="RFS",D507=INDEX('Station Depth Averages'!$A$3:$B$84,MATCH(B507,'Station Depth Averages'!$A$3:$A$84,0),2)),1,""),IF(AND(H507=1,OR(D507="SYN",D507="SRF",D507="MID")),1,IF(AND(H507=1,OR(E508="FDn",E508="LDn")),1,IF(AND(H507=1,OR(E507="FDn",E507="LDn")),1,""))))</f>
        <v/>
      </c>
      <c r="J507" s="4" t="str">
        <f t="shared" si="130"/>
        <v/>
      </c>
      <c r="K507" s="4" t="str">
        <f t="shared" si="131"/>
        <v/>
      </c>
      <c r="L507" s="4" t="str">
        <f t="shared" si="132"/>
        <v/>
      </c>
      <c r="M507" s="4" t="str">
        <f t="shared" si="133"/>
        <v/>
      </c>
      <c r="N507" s="4" t="str">
        <f t="shared" si="134"/>
        <v/>
      </c>
      <c r="O507" s="4" t="str">
        <f t="shared" si="135"/>
        <v/>
      </c>
      <c r="P507" s="4" t="str">
        <f t="shared" si="136"/>
        <v/>
      </c>
      <c r="Q507" s="4" t="str">
        <f t="shared" si="137"/>
        <v/>
      </c>
      <c r="R507" s="4" t="str">
        <f t="shared" si="138"/>
        <v/>
      </c>
      <c r="S507" s="4" t="str">
        <f t="shared" si="139"/>
        <v/>
      </c>
      <c r="T507" s="4" t="str">
        <f t="shared" si="140"/>
        <v/>
      </c>
      <c r="U507">
        <f>IF(VLOOKUP(C507,'QA Table'!$Y$5:$Y$20,1,TRUE)=C507,1,0)</f>
        <v>0</v>
      </c>
      <c r="V507" t="str">
        <f t="shared" si="141"/>
        <v/>
      </c>
      <c r="W507" t="str">
        <f t="shared" si="142"/>
        <v/>
      </c>
      <c r="X507" t="str">
        <f t="shared" si="143"/>
        <v/>
      </c>
      <c r="Y507">
        <f t="shared" si="144"/>
        <v>0</v>
      </c>
      <c r="AA507" t="str">
        <f t="shared" si="145"/>
        <v/>
      </c>
    </row>
    <row r="508" spans="1:27" x14ac:dyDescent="0.2">
      <c r="A508" t="s">
        <v>61</v>
      </c>
      <c r="B508" t="s">
        <v>65</v>
      </c>
      <c r="C508" t="s">
        <v>1643</v>
      </c>
      <c r="D508" t="s">
        <v>119</v>
      </c>
      <c r="E508" t="s">
        <v>3</v>
      </c>
      <c r="F508" t="s">
        <v>1640</v>
      </c>
      <c r="G508" t="s">
        <v>1474</v>
      </c>
      <c r="H508" s="4">
        <f t="shared" si="129"/>
        <v>1</v>
      </c>
      <c r="I508" s="4">
        <f>IF(RIGHT(B508,1)="M",IF(AND(H508=1,E508="RFS",D508=INDEX('Station Depth Averages'!$A$3:$B$84,MATCH(B508,'Station Depth Averages'!$A$3:$A$84,0),2)),1,""),IF(AND(H508=1,OR(D508="SYN",D508="SRF",D508="MID")),1,IF(AND(H508=1,OR(E509="FDn",E509="LDn")),1,IF(AND(H508=1,OR(E508="FDn",E508="LDn")),1,""))))</f>
        <v>1</v>
      </c>
      <c r="J508" s="4">
        <f t="shared" si="130"/>
        <v>1</v>
      </c>
      <c r="K508" s="4" t="str">
        <f t="shared" si="131"/>
        <v/>
      </c>
      <c r="L508" s="4" t="str">
        <f t="shared" si="132"/>
        <v/>
      </c>
      <c r="M508" s="4" t="str">
        <f t="shared" si="133"/>
        <v/>
      </c>
      <c r="N508" s="4" t="str">
        <f t="shared" si="134"/>
        <v/>
      </c>
      <c r="O508" s="4" t="str">
        <f t="shared" si="135"/>
        <v/>
      </c>
      <c r="P508" s="4" t="str">
        <f t="shared" si="136"/>
        <v/>
      </c>
      <c r="Q508" s="4" t="str">
        <f t="shared" si="137"/>
        <v/>
      </c>
      <c r="R508" s="4" t="str">
        <f t="shared" si="138"/>
        <v/>
      </c>
      <c r="S508" s="4" t="str">
        <f t="shared" si="139"/>
        <v/>
      </c>
      <c r="T508" s="4" t="str">
        <f t="shared" si="140"/>
        <v/>
      </c>
      <c r="U508">
        <f>IF(VLOOKUP(C508,'QA Table'!$Y$5:$Y$20,1,TRUE)=C508,1,0)</f>
        <v>0</v>
      </c>
      <c r="V508" t="str">
        <f t="shared" si="141"/>
        <v/>
      </c>
      <c r="W508" t="str">
        <f t="shared" si="142"/>
        <v/>
      </c>
      <c r="X508">
        <f t="shared" si="143"/>
        <v>4</v>
      </c>
      <c r="Y508">
        <f t="shared" si="144"/>
        <v>0</v>
      </c>
      <c r="AA508">
        <f t="shared" si="145"/>
        <v>1</v>
      </c>
    </row>
    <row r="509" spans="1:27" x14ac:dyDescent="0.2">
      <c r="A509" t="s">
        <v>61</v>
      </c>
      <c r="B509" t="s">
        <v>65</v>
      </c>
      <c r="C509" t="s">
        <v>1644</v>
      </c>
      <c r="D509" t="s">
        <v>6</v>
      </c>
      <c r="E509" t="s">
        <v>3</v>
      </c>
      <c r="F509" t="s">
        <v>1640</v>
      </c>
      <c r="G509" t="s">
        <v>1474</v>
      </c>
      <c r="H509" s="4">
        <f t="shared" si="129"/>
        <v>1</v>
      </c>
      <c r="I509" s="4" t="str">
        <f>IF(RIGHT(B509,1)="M",IF(AND(H509=1,E509="RFS",D509=INDEX('Station Depth Averages'!$A$3:$B$84,MATCH(B509,'Station Depth Averages'!$A$3:$A$84,0),2)),1,""),IF(AND(H509=1,OR(D509="SYN",D509="SRF",D509="MID")),1,IF(AND(H509=1,OR(E510="FDn",E510="LDn")),1,IF(AND(H509=1,OR(E509="FDn",E509="LDn")),1,""))))</f>
        <v/>
      </c>
      <c r="J509" s="4">
        <f t="shared" si="130"/>
        <v>1</v>
      </c>
      <c r="K509" s="4" t="str">
        <f t="shared" si="131"/>
        <v/>
      </c>
      <c r="L509" s="4" t="str">
        <f t="shared" si="132"/>
        <v/>
      </c>
      <c r="M509" s="4" t="str">
        <f t="shared" si="133"/>
        <v/>
      </c>
      <c r="N509" s="4" t="str">
        <f t="shared" si="134"/>
        <v/>
      </c>
      <c r="O509" s="4" t="str">
        <f t="shared" si="135"/>
        <v/>
      </c>
      <c r="P509" s="4" t="str">
        <f t="shared" si="136"/>
        <v/>
      </c>
      <c r="Q509" s="4" t="str">
        <f t="shared" si="137"/>
        <v/>
      </c>
      <c r="R509" s="4" t="str">
        <f t="shared" si="138"/>
        <v/>
      </c>
      <c r="S509" s="4" t="str">
        <f t="shared" si="139"/>
        <v/>
      </c>
      <c r="T509" s="4" t="str">
        <f t="shared" si="140"/>
        <v/>
      </c>
      <c r="U509">
        <f>IF(VLOOKUP(C509,'QA Table'!$Y$5:$Y$20,1,TRUE)=C509,1,0)</f>
        <v>0</v>
      </c>
      <c r="V509" t="str">
        <f t="shared" si="141"/>
        <v/>
      </c>
      <c r="W509" t="str">
        <f t="shared" si="142"/>
        <v/>
      </c>
      <c r="X509">
        <f t="shared" si="143"/>
        <v>4</v>
      </c>
      <c r="Y509">
        <f t="shared" si="144"/>
        <v>0</v>
      </c>
      <c r="AA509">
        <f t="shared" si="145"/>
        <v>1</v>
      </c>
    </row>
    <row r="510" spans="1:27" x14ac:dyDescent="0.2">
      <c r="A510" t="s">
        <v>61</v>
      </c>
      <c r="B510" t="s">
        <v>65</v>
      </c>
      <c r="C510" t="s">
        <v>1645</v>
      </c>
      <c r="D510" t="s">
        <v>8</v>
      </c>
      <c r="E510" t="s">
        <v>3</v>
      </c>
      <c r="F510" t="s">
        <v>1640</v>
      </c>
      <c r="G510" t="s">
        <v>1474</v>
      </c>
      <c r="H510" s="4">
        <f t="shared" si="129"/>
        <v>1</v>
      </c>
      <c r="I510" s="4" t="str">
        <f>IF(RIGHT(B510,1)="M",IF(AND(H510=1,E510="RFS",D510=INDEX('Station Depth Averages'!$A$3:$B$84,MATCH(B510,'Station Depth Averages'!$A$3:$A$84,0),2)),1,""),IF(AND(H510=1,OR(D510="SYN",D510="SRF",D510="MID")),1,IF(AND(H510=1,OR(E511="FDn",E511="LDn")),1,IF(AND(H510=1,OR(E510="FDn",E510="LDn")),1,""))))</f>
        <v/>
      </c>
      <c r="J510" s="4" t="str">
        <f t="shared" si="130"/>
        <v/>
      </c>
      <c r="K510" s="4">
        <f t="shared" si="131"/>
        <v>1</v>
      </c>
      <c r="L510" s="4" t="str">
        <f t="shared" si="132"/>
        <v/>
      </c>
      <c r="M510" s="4" t="str">
        <f t="shared" si="133"/>
        <v/>
      </c>
      <c r="N510" s="4" t="str">
        <f t="shared" si="134"/>
        <v/>
      </c>
      <c r="O510" s="4" t="str">
        <f t="shared" si="135"/>
        <v/>
      </c>
      <c r="P510" s="4" t="str">
        <f t="shared" si="136"/>
        <v/>
      </c>
      <c r="Q510" s="4">
        <f t="shared" si="137"/>
        <v>1</v>
      </c>
      <c r="R510" s="4" t="str">
        <f t="shared" si="138"/>
        <v/>
      </c>
      <c r="S510" s="4" t="str">
        <f t="shared" si="139"/>
        <v/>
      </c>
      <c r="T510" s="4" t="str">
        <f t="shared" si="140"/>
        <v/>
      </c>
      <c r="U510">
        <f>IF(VLOOKUP(C510,'QA Table'!$Y$5:$Y$20,1,TRUE)=C510,1,0)</f>
        <v>0</v>
      </c>
      <c r="V510" t="str">
        <f t="shared" si="141"/>
        <v/>
      </c>
      <c r="W510" t="str">
        <f t="shared" si="142"/>
        <v/>
      </c>
      <c r="X510">
        <f t="shared" si="143"/>
        <v>4</v>
      </c>
      <c r="Y510">
        <f t="shared" si="144"/>
        <v>0</v>
      </c>
      <c r="AA510">
        <f t="shared" si="145"/>
        <v>1</v>
      </c>
    </row>
    <row r="511" spans="1:27" x14ac:dyDescent="0.2">
      <c r="A511" t="s">
        <v>61</v>
      </c>
      <c r="B511" t="s">
        <v>65</v>
      </c>
      <c r="C511" t="s">
        <v>1646</v>
      </c>
      <c r="D511" t="s">
        <v>9</v>
      </c>
      <c r="E511" t="s">
        <v>3</v>
      </c>
      <c r="F511" t="s">
        <v>1640</v>
      </c>
      <c r="G511" t="s">
        <v>1474</v>
      </c>
      <c r="H511" s="4" t="str">
        <f t="shared" si="129"/>
        <v/>
      </c>
      <c r="I511" s="4" t="str">
        <f>IF(RIGHT(B511,1)="M",IF(AND(H511=1,E511="RFS",D511=INDEX('Station Depth Averages'!$A$3:$B$84,MATCH(B511,'Station Depth Averages'!$A$3:$A$84,0),2)),1,""),IF(AND(H511=1,OR(D511="SYN",D511="SRF",D511="MID")),1,IF(AND(H511=1,OR(E512="FDn",E512="LDn")),1,IF(AND(H511=1,OR(E511="FDn",E511="LDn")),1,""))))</f>
        <v/>
      </c>
      <c r="J511" s="4" t="str">
        <f t="shared" si="130"/>
        <v/>
      </c>
      <c r="K511" s="4" t="str">
        <f t="shared" si="131"/>
        <v/>
      </c>
      <c r="L511" s="4" t="str">
        <f t="shared" si="132"/>
        <v/>
      </c>
      <c r="M511" s="4" t="str">
        <f t="shared" si="133"/>
        <v/>
      </c>
      <c r="N511" s="4" t="str">
        <f t="shared" si="134"/>
        <v/>
      </c>
      <c r="O511" s="4" t="str">
        <f t="shared" si="135"/>
        <v/>
      </c>
      <c r="P511" s="4" t="str">
        <f t="shared" si="136"/>
        <v/>
      </c>
      <c r="Q511" s="4" t="str">
        <f t="shared" si="137"/>
        <v/>
      </c>
      <c r="R511" s="4" t="str">
        <f t="shared" si="138"/>
        <v/>
      </c>
      <c r="S511" s="4" t="str">
        <f t="shared" si="139"/>
        <v/>
      </c>
      <c r="T511" s="4">
        <f t="shared" si="140"/>
        <v>1</v>
      </c>
      <c r="U511">
        <f>IF(VLOOKUP(C511,'QA Table'!$Y$5:$Y$20,1,TRUE)=C511,1,0)</f>
        <v>0</v>
      </c>
      <c r="V511" t="str">
        <f t="shared" si="141"/>
        <v/>
      </c>
      <c r="W511" t="str">
        <f t="shared" si="142"/>
        <v/>
      </c>
      <c r="X511" t="str">
        <f t="shared" si="143"/>
        <v/>
      </c>
      <c r="Y511">
        <f t="shared" si="144"/>
        <v>0</v>
      </c>
      <c r="AA511" t="str">
        <f t="shared" si="145"/>
        <v/>
      </c>
    </row>
    <row r="512" spans="1:27" x14ac:dyDescent="0.2">
      <c r="A512" t="s">
        <v>61</v>
      </c>
      <c r="B512" t="s">
        <v>65</v>
      </c>
      <c r="C512" t="s">
        <v>1647</v>
      </c>
      <c r="D512" t="s">
        <v>10</v>
      </c>
      <c r="E512" t="s">
        <v>3</v>
      </c>
      <c r="F512" t="s">
        <v>1640</v>
      </c>
      <c r="G512" t="s">
        <v>1474</v>
      </c>
      <c r="H512" s="4" t="str">
        <f t="shared" si="129"/>
        <v/>
      </c>
      <c r="I512" s="4" t="str">
        <f>IF(RIGHT(B512,1)="M",IF(AND(H512=1,E512="RFS",D512=INDEX('Station Depth Averages'!$A$3:$B$84,MATCH(B512,'Station Depth Averages'!$A$3:$A$84,0),2)),1,""),IF(AND(H512=1,OR(D512="SYN",D512="SRF",D512="MID")),1,IF(AND(H512=1,OR(E513="FDn",E513="LDn")),1,IF(AND(H512=1,OR(E512="FDn",E512="LDn")),1,""))))</f>
        <v/>
      </c>
      <c r="J512" s="4" t="str">
        <f t="shared" si="130"/>
        <v/>
      </c>
      <c r="K512" s="4" t="str">
        <f t="shared" si="131"/>
        <v/>
      </c>
      <c r="L512" s="4" t="str">
        <f t="shared" si="132"/>
        <v/>
      </c>
      <c r="M512" s="4" t="str">
        <f t="shared" si="133"/>
        <v/>
      </c>
      <c r="N512" s="4" t="str">
        <f t="shared" si="134"/>
        <v/>
      </c>
      <c r="O512" s="4" t="str">
        <f t="shared" si="135"/>
        <v/>
      </c>
      <c r="P512" s="4" t="str">
        <f t="shared" si="136"/>
        <v/>
      </c>
      <c r="Q512" s="4" t="str">
        <f t="shared" si="137"/>
        <v/>
      </c>
      <c r="R512" s="4" t="str">
        <f t="shared" si="138"/>
        <v/>
      </c>
      <c r="S512" s="4" t="str">
        <f t="shared" si="139"/>
        <v/>
      </c>
      <c r="T512" s="4">
        <f t="shared" si="140"/>
        <v>1</v>
      </c>
      <c r="U512">
        <f>IF(VLOOKUP(C512,'QA Table'!$Y$5:$Y$20,1,TRUE)=C512,1,0)</f>
        <v>0</v>
      </c>
      <c r="V512" t="str">
        <f t="shared" si="141"/>
        <v/>
      </c>
      <c r="W512" t="str">
        <f t="shared" si="142"/>
        <v/>
      </c>
      <c r="X512" t="str">
        <f t="shared" si="143"/>
        <v/>
      </c>
      <c r="Y512">
        <f t="shared" si="144"/>
        <v>0</v>
      </c>
      <c r="AA512" t="str">
        <f t="shared" si="145"/>
        <v/>
      </c>
    </row>
    <row r="513" spans="1:27" x14ac:dyDescent="0.2">
      <c r="A513" t="s">
        <v>61</v>
      </c>
      <c r="B513" t="s">
        <v>65</v>
      </c>
      <c r="C513" t="s">
        <v>1072</v>
      </c>
      <c r="D513" t="s">
        <v>118</v>
      </c>
      <c r="E513" t="s">
        <v>3</v>
      </c>
      <c r="F513" t="s">
        <v>1640</v>
      </c>
      <c r="G513" t="s">
        <v>1474</v>
      </c>
      <c r="H513" s="4" t="str">
        <f t="shared" si="129"/>
        <v/>
      </c>
      <c r="I513" s="4" t="str">
        <f>IF(RIGHT(B513,1)="M",IF(AND(H513=1,E513="RFS",D513=INDEX('Station Depth Averages'!$A$3:$B$84,MATCH(B513,'Station Depth Averages'!$A$3:$A$84,0),2)),1,""),IF(AND(H513=1,OR(D513="SYN",D513="SRF",D513="MID")),1,IF(AND(H513=1,OR(E514="FDn",E514="LDn")),1,IF(AND(H513=1,OR(E513="FDn",E513="LDn")),1,""))))</f>
        <v/>
      </c>
      <c r="J513" s="4" t="str">
        <f t="shared" si="130"/>
        <v/>
      </c>
      <c r="K513" s="4" t="str">
        <f t="shared" si="131"/>
        <v/>
      </c>
      <c r="L513" s="4" t="str">
        <f t="shared" si="132"/>
        <v/>
      </c>
      <c r="M513" s="4" t="str">
        <f t="shared" si="133"/>
        <v/>
      </c>
      <c r="N513" s="4" t="str">
        <f t="shared" si="134"/>
        <v/>
      </c>
      <c r="O513" s="4" t="str">
        <f t="shared" si="135"/>
        <v/>
      </c>
      <c r="P513" s="4" t="str">
        <f t="shared" si="136"/>
        <v/>
      </c>
      <c r="Q513" s="4" t="str">
        <f t="shared" si="137"/>
        <v/>
      </c>
      <c r="R513" s="4">
        <f t="shared" si="138"/>
        <v>1</v>
      </c>
      <c r="S513" s="4" t="str">
        <f t="shared" si="139"/>
        <v/>
      </c>
      <c r="T513" s="4" t="str">
        <f t="shared" si="140"/>
        <v/>
      </c>
      <c r="U513">
        <f>IF(VLOOKUP(C513,'QA Table'!$Y$5:$Y$20,1,TRUE)=C513,1,0)</f>
        <v>0</v>
      </c>
      <c r="V513" t="str">
        <f t="shared" si="141"/>
        <v/>
      </c>
      <c r="W513" t="str">
        <f t="shared" si="142"/>
        <v/>
      </c>
      <c r="X513" t="str">
        <f t="shared" si="143"/>
        <v/>
      </c>
      <c r="Y513">
        <f t="shared" si="144"/>
        <v>0</v>
      </c>
      <c r="AA513" t="str">
        <f t="shared" si="145"/>
        <v/>
      </c>
    </row>
    <row r="514" spans="1:27" x14ac:dyDescent="0.2">
      <c r="A514" t="s">
        <v>61</v>
      </c>
      <c r="B514" t="s">
        <v>65</v>
      </c>
      <c r="C514" t="s">
        <v>1648</v>
      </c>
      <c r="D514" t="s">
        <v>118</v>
      </c>
      <c r="E514" t="s">
        <v>19</v>
      </c>
      <c r="F514" t="s">
        <v>1640</v>
      </c>
      <c r="G514" t="s">
        <v>1474</v>
      </c>
      <c r="H514" s="4" t="str">
        <f t="shared" si="129"/>
        <v/>
      </c>
      <c r="I514" s="4" t="str">
        <f>IF(RIGHT(B514,1)="M",IF(AND(H514=1,E514="RFS",D514=INDEX('Station Depth Averages'!$A$3:$B$84,MATCH(B514,'Station Depth Averages'!$A$3:$A$84,0),2)),1,""),IF(AND(H514=1,OR(D514="SYN",D514="SRF",D514="MID")),1,IF(AND(H514=1,OR(E515="FDn",E515="LDn")),1,IF(AND(H514=1,OR(E514="FDn",E514="LDn")),1,""))))</f>
        <v/>
      </c>
      <c r="J514" s="4" t="str">
        <f t="shared" si="130"/>
        <v/>
      </c>
      <c r="K514" s="4" t="str">
        <f t="shared" si="131"/>
        <v/>
      </c>
      <c r="L514" s="4" t="str">
        <f t="shared" si="132"/>
        <v/>
      </c>
      <c r="M514" s="4" t="str">
        <f t="shared" si="133"/>
        <v/>
      </c>
      <c r="N514" s="4" t="str">
        <f t="shared" si="134"/>
        <v/>
      </c>
      <c r="O514" s="4" t="str">
        <f t="shared" si="135"/>
        <v/>
      </c>
      <c r="P514" s="4" t="str">
        <f t="shared" si="136"/>
        <v/>
      </c>
      <c r="Q514" s="4" t="str">
        <f t="shared" si="137"/>
        <v/>
      </c>
      <c r="R514" s="4">
        <f t="shared" si="138"/>
        <v>1</v>
      </c>
      <c r="S514" s="4" t="str">
        <f t="shared" si="139"/>
        <v/>
      </c>
      <c r="T514" s="4" t="str">
        <f t="shared" si="140"/>
        <v/>
      </c>
      <c r="U514">
        <f>IF(VLOOKUP(C514,'QA Table'!$Y$5:$Y$20,1,TRUE)=C514,1,0)</f>
        <v>0</v>
      </c>
      <c r="V514" t="str">
        <f t="shared" si="141"/>
        <v/>
      </c>
      <c r="W514" t="str">
        <f t="shared" si="142"/>
        <v/>
      </c>
      <c r="X514" t="str">
        <f t="shared" si="143"/>
        <v/>
      </c>
      <c r="Y514">
        <f t="shared" si="144"/>
        <v>0</v>
      </c>
      <c r="AA514" t="str">
        <f t="shared" si="145"/>
        <v/>
      </c>
    </row>
    <row r="515" spans="1:27" x14ac:dyDescent="0.2">
      <c r="A515" t="s">
        <v>61</v>
      </c>
      <c r="B515" t="s">
        <v>65</v>
      </c>
      <c r="C515" t="s">
        <v>1649</v>
      </c>
      <c r="D515" t="s">
        <v>118</v>
      </c>
      <c r="E515" t="s">
        <v>20</v>
      </c>
      <c r="F515" t="s">
        <v>1640</v>
      </c>
      <c r="G515" t="s">
        <v>1474</v>
      </c>
      <c r="H515" s="4" t="str">
        <f t="shared" si="129"/>
        <v/>
      </c>
      <c r="I515" s="4" t="str">
        <f>IF(RIGHT(B515,1)="M",IF(AND(H515=1,E515="RFS",D515=INDEX('Station Depth Averages'!$A$3:$B$84,MATCH(B515,'Station Depth Averages'!$A$3:$A$84,0),2)),1,""),IF(AND(H515=1,OR(D515="SYN",D515="SRF",D515="MID")),1,IF(AND(H515=1,OR(E516="FDn",E516="LDn")),1,IF(AND(H515=1,OR(E515="FDn",E515="LDn")),1,""))))</f>
        <v/>
      </c>
      <c r="J515" s="4" t="str">
        <f t="shared" si="130"/>
        <v/>
      </c>
      <c r="K515" s="4" t="str">
        <f t="shared" si="131"/>
        <v/>
      </c>
      <c r="L515" s="4" t="str">
        <f t="shared" si="132"/>
        <v/>
      </c>
      <c r="M515" s="4" t="str">
        <f t="shared" si="133"/>
        <v/>
      </c>
      <c r="N515" s="4" t="str">
        <f t="shared" si="134"/>
        <v/>
      </c>
      <c r="O515" s="4" t="str">
        <f t="shared" si="135"/>
        <v/>
      </c>
      <c r="P515" s="4" t="str">
        <f t="shared" si="136"/>
        <v/>
      </c>
      <c r="Q515" s="4" t="str">
        <f t="shared" si="137"/>
        <v/>
      </c>
      <c r="R515" s="4">
        <f t="shared" si="138"/>
        <v>1</v>
      </c>
      <c r="S515" s="4" t="str">
        <f t="shared" si="139"/>
        <v/>
      </c>
      <c r="T515" s="4" t="str">
        <f t="shared" si="140"/>
        <v/>
      </c>
      <c r="U515">
        <f>IF(VLOOKUP(C515,'QA Table'!$Y$5:$Y$20,1,TRUE)=C515,1,0)</f>
        <v>0</v>
      </c>
      <c r="V515" t="str">
        <f t="shared" si="141"/>
        <v/>
      </c>
      <c r="W515" t="str">
        <f t="shared" si="142"/>
        <v/>
      </c>
      <c r="X515" t="str">
        <f t="shared" si="143"/>
        <v/>
      </c>
      <c r="Y515">
        <f t="shared" si="144"/>
        <v>0</v>
      </c>
      <c r="AA515" t="str">
        <f t="shared" si="145"/>
        <v/>
      </c>
    </row>
    <row r="516" spans="1:27" x14ac:dyDescent="0.2">
      <c r="A516" t="s">
        <v>61</v>
      </c>
      <c r="B516" t="s">
        <v>65</v>
      </c>
      <c r="C516" t="s">
        <v>1078</v>
      </c>
      <c r="D516" t="s">
        <v>1032</v>
      </c>
      <c r="E516" t="s">
        <v>3</v>
      </c>
      <c r="F516" t="s">
        <v>1640</v>
      </c>
      <c r="G516" t="s">
        <v>1474</v>
      </c>
      <c r="H516" s="4" t="str">
        <f t="shared" si="129"/>
        <v/>
      </c>
      <c r="I516" s="4" t="str">
        <f>IF(RIGHT(B516,1)="M",IF(AND(H516=1,E516="RFS",D516=INDEX('Station Depth Averages'!$A$3:$B$84,MATCH(B516,'Station Depth Averages'!$A$3:$A$84,0),2)),1,""),IF(AND(H516=1,OR(D516="SYN",D516="SRF",D516="MID")),1,IF(AND(H516=1,OR(E517="FDn",E517="LDn")),1,IF(AND(H516=1,OR(E516="FDn",E516="LDn")),1,""))))</f>
        <v/>
      </c>
      <c r="J516" s="4" t="str">
        <f t="shared" si="130"/>
        <v/>
      </c>
      <c r="K516" s="4" t="str">
        <f t="shared" si="131"/>
        <v/>
      </c>
      <c r="L516" s="4" t="str">
        <f t="shared" si="132"/>
        <v/>
      </c>
      <c r="M516" s="4" t="str">
        <f t="shared" si="133"/>
        <v/>
      </c>
      <c r="N516" s="4" t="str">
        <f t="shared" si="134"/>
        <v/>
      </c>
      <c r="O516" s="4" t="str">
        <f t="shared" si="135"/>
        <v/>
      </c>
      <c r="P516" s="4" t="str">
        <f t="shared" si="136"/>
        <v/>
      </c>
      <c r="Q516" s="4" t="str">
        <f t="shared" si="137"/>
        <v/>
      </c>
      <c r="R516" s="4" t="str">
        <f t="shared" si="138"/>
        <v/>
      </c>
      <c r="S516" s="4" t="str">
        <f t="shared" si="139"/>
        <v/>
      </c>
      <c r="T516" s="4" t="str">
        <f t="shared" si="140"/>
        <v/>
      </c>
      <c r="U516">
        <f>IF(VLOOKUP(C516,'QA Table'!$Y$5:$Y$20,1,TRUE)=C516,1,0)</f>
        <v>0</v>
      </c>
      <c r="V516">
        <f t="shared" si="141"/>
        <v>1</v>
      </c>
      <c r="W516" t="str">
        <f t="shared" si="142"/>
        <v/>
      </c>
      <c r="X516" t="str">
        <f t="shared" si="143"/>
        <v/>
      </c>
      <c r="Y516">
        <f t="shared" si="144"/>
        <v>0</v>
      </c>
      <c r="AA516" t="str">
        <f t="shared" si="145"/>
        <v/>
      </c>
    </row>
    <row r="517" spans="1:27" x14ac:dyDescent="0.2">
      <c r="A517" t="s">
        <v>61</v>
      </c>
      <c r="B517" t="s">
        <v>65</v>
      </c>
      <c r="C517" t="s">
        <v>1650</v>
      </c>
      <c r="D517" t="s">
        <v>1032</v>
      </c>
      <c r="E517" t="s">
        <v>7</v>
      </c>
      <c r="F517" t="s">
        <v>1640</v>
      </c>
      <c r="G517" t="s">
        <v>1474</v>
      </c>
      <c r="H517" s="4" t="str">
        <f t="shared" si="129"/>
        <v/>
      </c>
      <c r="I517" s="4" t="str">
        <f>IF(RIGHT(B517,1)="M",IF(AND(H517=1,E517="RFS",D517=INDEX('Station Depth Averages'!$A$3:$B$84,MATCH(B517,'Station Depth Averages'!$A$3:$A$84,0),2)),1,""),IF(AND(H517=1,OR(D517="SYN",D517="SRF",D517="MID")),1,IF(AND(H517=1,OR(E518="FDn",E518="LDn")),1,IF(AND(H517=1,OR(E517="FDn",E517="LDn")),1,""))))</f>
        <v/>
      </c>
      <c r="J517" s="4" t="str">
        <f t="shared" si="130"/>
        <v/>
      </c>
      <c r="K517" s="4" t="str">
        <f t="shared" si="131"/>
        <v/>
      </c>
      <c r="L517" s="4" t="str">
        <f t="shared" si="132"/>
        <v/>
      </c>
      <c r="M517" s="4" t="str">
        <f t="shared" si="133"/>
        <v/>
      </c>
      <c r="N517" s="4" t="str">
        <f t="shared" si="134"/>
        <v/>
      </c>
      <c r="O517" s="4" t="str">
        <f t="shared" si="135"/>
        <v/>
      </c>
      <c r="P517" s="4" t="str">
        <f t="shared" si="136"/>
        <v/>
      </c>
      <c r="Q517" s="4" t="str">
        <f t="shared" si="137"/>
        <v/>
      </c>
      <c r="R517" s="4" t="str">
        <f t="shared" si="138"/>
        <v/>
      </c>
      <c r="S517" s="4" t="str">
        <f t="shared" si="139"/>
        <v/>
      </c>
      <c r="T517" s="4" t="str">
        <f t="shared" si="140"/>
        <v/>
      </c>
      <c r="U517">
        <f>IF(VLOOKUP(C517,'QA Table'!$Y$5:$Y$20,1,TRUE)=C517,1,0)</f>
        <v>0</v>
      </c>
      <c r="V517">
        <f t="shared" si="141"/>
        <v>1</v>
      </c>
      <c r="W517" t="str">
        <f t="shared" si="142"/>
        <v/>
      </c>
      <c r="X517" t="str">
        <f t="shared" si="143"/>
        <v/>
      </c>
      <c r="Y517">
        <f t="shared" si="144"/>
        <v>0</v>
      </c>
      <c r="AA517" t="str">
        <f t="shared" si="145"/>
        <v/>
      </c>
    </row>
    <row r="518" spans="1:27" x14ac:dyDescent="0.2">
      <c r="A518" t="s">
        <v>61</v>
      </c>
      <c r="B518" t="s">
        <v>65</v>
      </c>
      <c r="C518" t="s">
        <v>1084</v>
      </c>
      <c r="D518" t="s">
        <v>1032</v>
      </c>
      <c r="E518" t="s">
        <v>3</v>
      </c>
      <c r="F518" t="s">
        <v>1640</v>
      </c>
      <c r="G518" t="s">
        <v>1474</v>
      </c>
      <c r="H518" s="4" t="str">
        <f t="shared" si="129"/>
        <v/>
      </c>
      <c r="I518" s="4" t="str">
        <f>IF(RIGHT(B518,1)="M",IF(AND(H518=1,E518="RFS",D518=INDEX('Station Depth Averages'!$A$3:$B$84,MATCH(B518,'Station Depth Averages'!$A$3:$A$84,0),2)),1,""),IF(AND(H518=1,OR(D518="SYN",D518="SRF",D518="MID")),1,IF(AND(H518=1,OR(E519="FDn",E519="LDn")),1,IF(AND(H518=1,OR(E518="FDn",E518="LDn")),1,""))))</f>
        <v/>
      </c>
      <c r="J518" s="4" t="str">
        <f t="shared" si="130"/>
        <v/>
      </c>
      <c r="K518" s="4" t="str">
        <f t="shared" si="131"/>
        <v/>
      </c>
      <c r="L518" s="4" t="str">
        <f t="shared" si="132"/>
        <v/>
      </c>
      <c r="M518" s="4" t="str">
        <f t="shared" si="133"/>
        <v/>
      </c>
      <c r="N518" s="4" t="str">
        <f t="shared" si="134"/>
        <v/>
      </c>
      <c r="O518" s="4" t="str">
        <f t="shared" si="135"/>
        <v/>
      </c>
      <c r="P518" s="4" t="str">
        <f t="shared" si="136"/>
        <v/>
      </c>
      <c r="Q518" s="4" t="str">
        <f t="shared" si="137"/>
        <v/>
      </c>
      <c r="R518" s="4" t="str">
        <f t="shared" si="138"/>
        <v/>
      </c>
      <c r="S518" s="4" t="str">
        <f t="shared" si="139"/>
        <v/>
      </c>
      <c r="T518" s="4" t="str">
        <f t="shared" si="140"/>
        <v/>
      </c>
      <c r="U518">
        <f>IF(VLOOKUP(C518,'QA Table'!$Y$5:$Y$20,1,TRUE)=C518,1,0)</f>
        <v>0</v>
      </c>
      <c r="V518" t="str">
        <f t="shared" si="141"/>
        <v/>
      </c>
      <c r="W518">
        <f t="shared" si="142"/>
        <v>1</v>
      </c>
      <c r="X518" t="str">
        <f t="shared" si="143"/>
        <v/>
      </c>
      <c r="Y518">
        <f t="shared" si="144"/>
        <v>0</v>
      </c>
      <c r="AA518" t="str">
        <f t="shared" si="145"/>
        <v/>
      </c>
    </row>
    <row r="519" spans="1:27" x14ac:dyDescent="0.2">
      <c r="A519" t="s">
        <v>61</v>
      </c>
      <c r="B519" t="s">
        <v>65</v>
      </c>
      <c r="C519" t="s">
        <v>1651</v>
      </c>
      <c r="D519" t="s">
        <v>1032</v>
      </c>
      <c r="E519" t="s">
        <v>7</v>
      </c>
      <c r="F519" t="s">
        <v>1640</v>
      </c>
      <c r="G519" t="s">
        <v>1474</v>
      </c>
      <c r="H519" s="4" t="str">
        <f t="shared" ref="H519:H582" si="146">IF(OR(RIGHT(C519,1)="A",RIGHT(C519,1)="B",RIGHT(C519,1)="C",D519="Benthos",D519="Sediment",D519="Sediments",D519="D100",D519="D20",D519="Mysis",E519="FD1",E519="LD1"),"",1)</f>
        <v/>
      </c>
      <c r="I519" s="4" t="str">
        <f>IF(RIGHT(B519,1)="M",IF(AND(H519=1,E519="RFS",D519=INDEX('Station Depth Averages'!$A$3:$B$84,MATCH(B519,'Station Depth Averages'!$A$3:$A$84,0),2)),1,""),IF(AND(H519=1,OR(D519="SYN",D519="SRF",D519="MID")),1,IF(AND(H519=1,OR(E520="FDn",E520="LDn")),1,IF(AND(H519=1,OR(E519="FDn",E519="LDn")),1,""))))</f>
        <v/>
      </c>
      <c r="J519" s="4" t="str">
        <f t="shared" ref="J519:J582" si="147">IF(OR(D519="INT",D519="Benthos",D519="D100",D519="D20",E519="LDn",D519="mysis",D519="sediment",D519="sediments",OR(RIGHT(C519,1)="A",RIGHT(C519,1)="B",RIGHT(C519,1)="C",E519="FD1",E519="LD1")),"",1)</f>
        <v/>
      </c>
      <c r="K519" s="4" t="str">
        <f t="shared" ref="K519:K582" si="148">IF(D519="INT",1,"")</f>
        <v/>
      </c>
      <c r="L519" s="4" t="str">
        <f t="shared" ref="L519:L582" si="149">IF(AND(LEFT(B519,1)="E",A519&lt;&gt;"E",RIGHT(B519,1)="M"),IF(AND(A519="w",D519="MID",E519="RFS"),1,IF(AND(A519="C",D519="5M",E519="RFS"),1,"")),IF(AND(RIGHT(B519,1)="M",D519="10M",E519="RFS"),1,""))</f>
        <v/>
      </c>
      <c r="M519" s="4" t="str">
        <f t="shared" ref="M519:M582" si="150">IF(L519=1,1,"")</f>
        <v/>
      </c>
      <c r="N519" s="4" t="str">
        <f t="shared" ref="N519:N582" si="151">IF(M519=1,1,"")</f>
        <v/>
      </c>
      <c r="O519" s="4" t="str">
        <f t="shared" ref="O519:O582" si="152">IF(N519=1,1,"")</f>
        <v/>
      </c>
      <c r="P519" s="4" t="str">
        <f t="shared" ref="P519:P582" si="153">IF(O519=1,1,"")</f>
        <v/>
      </c>
      <c r="Q519" s="4" t="str">
        <f t="shared" ref="Q519:Q582" si="154">IF(AND(OR(D519="INT",D519="DCL"),OR(LEFT(B519,2)="SU",LEFT(B519,2)="HU",LEFT(B519,2)="MI",LEFT(B519,2)="CS",LEFT(B519,2)="ON")),2,IF(AND(OR(D519="INT",D519="DCL"),LEFT(B519,2)="ER"),1,""))</f>
        <v/>
      </c>
      <c r="R519" s="4" t="str">
        <f t="shared" ref="R519:R582" si="155">IF(D519="benthos",1,"")</f>
        <v/>
      </c>
      <c r="S519" s="4" t="str">
        <f t="shared" ref="S519:S582" si="156">IF(D519="mysis",1,"")</f>
        <v/>
      </c>
      <c r="T519" s="4" t="str">
        <f t="shared" ref="T519:T582" si="157">IF(AND(OR(D519="d20",D519="d100"),LEFT(B519,2)="SU"),2,IF(OR(D519="D20",D519="d100"),1,""))</f>
        <v/>
      </c>
      <c r="U519">
        <f>IF(VLOOKUP(C519,'QA Table'!$Y$5:$Y$20,1,TRUE)=C519,1,0)</f>
        <v>0</v>
      </c>
      <c r="V519" t="str">
        <f t="shared" ref="V519:V582" si="158">IF(AND(D519="Sediment",RIGHT(C519,1)="8"),1,"")</f>
        <v/>
      </c>
      <c r="W519">
        <f t="shared" ref="W519:W582" si="159">IF(AND(D519="Sediment",RIGHT(C519,1)="9"),1,"")</f>
        <v>1</v>
      </c>
      <c r="X519" t="str">
        <f t="shared" ref="X519:X582" si="160">IF(AND(H519=1,OR(LEFT(B519,1)="M",LEFT(B519,1)="E",LEFT(B519,1)="O",LEFT(B519,1)="C")),4,IF(AND(H519=1,OR(LEFT(B519,1)="H",LEFT(B519,1)="S")),3,""))</f>
        <v/>
      </c>
      <c r="Y519">
        <f t="shared" ref="Y519:Y582" si="161">IF(U519=1,1,IF(AND(E519="LD1",U518=1),1,IF(AND(E519="FD1",U517=1),1,0)))</f>
        <v>0</v>
      </c>
      <c r="AA519" t="str">
        <f t="shared" ref="AA519:AA582" si="162">IF(X519&lt;&gt;"",1,"")</f>
        <v/>
      </c>
    </row>
    <row r="520" spans="1:27" x14ac:dyDescent="0.2">
      <c r="A520" t="s">
        <v>61</v>
      </c>
      <c r="B520" t="s">
        <v>66</v>
      </c>
      <c r="C520" t="s">
        <v>1652</v>
      </c>
      <c r="D520" t="s">
        <v>2</v>
      </c>
      <c r="E520" t="s">
        <v>3</v>
      </c>
      <c r="F520" t="s">
        <v>1653</v>
      </c>
      <c r="G520" t="s">
        <v>1474</v>
      </c>
      <c r="H520" s="4">
        <f t="shared" si="146"/>
        <v>1</v>
      </c>
      <c r="I520" s="4" t="str">
        <f>IF(RIGHT(B520,1)="M",IF(AND(H520=1,E520="RFS",D520=INDEX('Station Depth Averages'!$A$3:$B$84,MATCH(B520,'Station Depth Averages'!$A$3:$A$84,0),2)),1,""),IF(AND(H520=1,OR(D520="SYN",D520="SRF",D520="MID")),1,IF(AND(H520=1,OR(E521="FDn",E521="LDn")),1,IF(AND(H520=1,OR(E520="FDn",E520="LDn")),1,""))))</f>
        <v/>
      </c>
      <c r="J520" s="4">
        <f t="shared" si="147"/>
        <v>1</v>
      </c>
      <c r="K520" s="4" t="str">
        <f t="shared" si="148"/>
        <v/>
      </c>
      <c r="L520" s="4" t="str">
        <f t="shared" si="149"/>
        <v/>
      </c>
      <c r="M520" s="4" t="str">
        <f t="shared" si="150"/>
        <v/>
      </c>
      <c r="N520" s="4" t="str">
        <f t="shared" si="151"/>
        <v/>
      </c>
      <c r="O520" s="4" t="str">
        <f t="shared" si="152"/>
        <v/>
      </c>
      <c r="P520" s="4" t="str">
        <f t="shared" si="153"/>
        <v/>
      </c>
      <c r="Q520" s="4" t="str">
        <f t="shared" si="154"/>
        <v/>
      </c>
      <c r="R520" s="4" t="str">
        <f t="shared" si="155"/>
        <v/>
      </c>
      <c r="S520" s="4" t="str">
        <f t="shared" si="156"/>
        <v/>
      </c>
      <c r="T520" s="4" t="str">
        <f t="shared" si="157"/>
        <v/>
      </c>
      <c r="U520">
        <f>IF(VLOOKUP(C520,'QA Table'!$Y$5:$Y$20,1,TRUE)=C520,1,0)</f>
        <v>0</v>
      </c>
      <c r="V520" t="str">
        <f t="shared" si="158"/>
        <v/>
      </c>
      <c r="W520" t="str">
        <f t="shared" si="159"/>
        <v/>
      </c>
      <c r="X520">
        <f t="shared" si="160"/>
        <v>4</v>
      </c>
      <c r="Y520">
        <f t="shared" si="161"/>
        <v>0</v>
      </c>
      <c r="AA520">
        <f t="shared" si="162"/>
        <v>1</v>
      </c>
    </row>
    <row r="521" spans="1:27" x14ac:dyDescent="0.2">
      <c r="A521" t="s">
        <v>61</v>
      </c>
      <c r="B521" t="s">
        <v>66</v>
      </c>
      <c r="C521" t="s">
        <v>1080</v>
      </c>
      <c r="D521" t="s">
        <v>119</v>
      </c>
      <c r="E521" t="s">
        <v>3</v>
      </c>
      <c r="F521" t="s">
        <v>1653</v>
      </c>
      <c r="G521" t="s">
        <v>1474</v>
      </c>
      <c r="H521" s="4">
        <f t="shared" si="146"/>
        <v>1</v>
      </c>
      <c r="I521" s="4">
        <f>IF(RIGHT(B521,1)="M",IF(AND(H521=1,E521="RFS",D521=INDEX('Station Depth Averages'!$A$3:$B$84,MATCH(B521,'Station Depth Averages'!$A$3:$A$84,0),2)),1,""),IF(AND(H521=1,OR(D521="SYN",D521="SRF",D521="MID")),1,IF(AND(H521=1,OR(E522="FDn",E522="LDn")),1,IF(AND(H521=1,OR(E521="FDn",E521="LDn")),1,""))))</f>
        <v>1</v>
      </c>
      <c r="J521" s="4">
        <f t="shared" si="147"/>
        <v>1</v>
      </c>
      <c r="K521" s="4" t="str">
        <f t="shared" si="148"/>
        <v/>
      </c>
      <c r="L521" s="4">
        <f t="shared" si="149"/>
        <v>1</v>
      </c>
      <c r="M521" s="4">
        <f t="shared" si="150"/>
        <v>1</v>
      </c>
      <c r="N521" s="4">
        <f t="shared" si="151"/>
        <v>1</v>
      </c>
      <c r="O521" s="4">
        <f t="shared" si="152"/>
        <v>1</v>
      </c>
      <c r="P521" s="4">
        <f t="shared" si="153"/>
        <v>1</v>
      </c>
      <c r="Q521" s="4" t="str">
        <f t="shared" si="154"/>
        <v/>
      </c>
      <c r="R521" s="4" t="str">
        <f t="shared" si="155"/>
        <v/>
      </c>
      <c r="S521" s="4" t="str">
        <f t="shared" si="156"/>
        <v/>
      </c>
      <c r="T521" s="4" t="str">
        <f t="shared" si="157"/>
        <v/>
      </c>
      <c r="U521">
        <f>IF(VLOOKUP(C521,'QA Table'!$Y$5:$Y$20,1,TRUE)=C521,1,0)</f>
        <v>0</v>
      </c>
      <c r="V521" t="str">
        <f t="shared" si="158"/>
        <v/>
      </c>
      <c r="W521" t="str">
        <f t="shared" si="159"/>
        <v/>
      </c>
      <c r="X521">
        <f t="shared" si="160"/>
        <v>4</v>
      </c>
      <c r="Y521">
        <f t="shared" si="161"/>
        <v>0</v>
      </c>
      <c r="AA521">
        <f t="shared" si="162"/>
        <v>1</v>
      </c>
    </row>
    <row r="522" spans="1:27" x14ac:dyDescent="0.2">
      <c r="A522" t="s">
        <v>61</v>
      </c>
      <c r="B522" t="s">
        <v>66</v>
      </c>
      <c r="C522" t="s">
        <v>1654</v>
      </c>
      <c r="D522" t="s">
        <v>119</v>
      </c>
      <c r="E522" t="s">
        <v>12</v>
      </c>
      <c r="F522" t="s">
        <v>1653</v>
      </c>
      <c r="G522" t="s">
        <v>1474</v>
      </c>
      <c r="H522" s="4">
        <f t="shared" si="146"/>
        <v>1</v>
      </c>
      <c r="I522" s="4" t="str">
        <f>IF(RIGHT(B522,1)="M",IF(AND(H522=1,E522="RFS",D522=INDEX('Station Depth Averages'!$A$3:$B$84,MATCH(B522,'Station Depth Averages'!$A$3:$A$84,0),2)),1,""),IF(AND(H522=1,OR(D522="SYN",D522="SRF",D522="MID")),1,IF(AND(H522=1,OR(E523="FDn",E523="LDn")),1,IF(AND(H522=1,OR(E522="FDn",E522="LDn")),1,""))))</f>
        <v/>
      </c>
      <c r="J522" s="4" t="str">
        <f t="shared" si="147"/>
        <v/>
      </c>
      <c r="K522" s="4" t="str">
        <f t="shared" si="148"/>
        <v/>
      </c>
      <c r="L522" s="4" t="str">
        <f t="shared" si="149"/>
        <v/>
      </c>
      <c r="M522" s="4" t="str">
        <f t="shared" si="150"/>
        <v/>
      </c>
      <c r="N522" s="4" t="str">
        <f t="shared" si="151"/>
        <v/>
      </c>
      <c r="O522" s="4" t="str">
        <f t="shared" si="152"/>
        <v/>
      </c>
      <c r="P522" s="4" t="str">
        <f t="shared" si="153"/>
        <v/>
      </c>
      <c r="Q522" s="4" t="str">
        <f t="shared" si="154"/>
        <v/>
      </c>
      <c r="R522" s="4" t="str">
        <f t="shared" si="155"/>
        <v/>
      </c>
      <c r="S522" s="4" t="str">
        <f t="shared" si="156"/>
        <v/>
      </c>
      <c r="T522" s="4" t="str">
        <f t="shared" si="157"/>
        <v/>
      </c>
      <c r="U522">
        <f>IF(VLOOKUP(C522,'QA Table'!$Y$5:$Y$20,1,TRUE)=C522,1,0)</f>
        <v>0</v>
      </c>
      <c r="V522" t="str">
        <f t="shared" si="158"/>
        <v/>
      </c>
      <c r="W522" t="str">
        <f t="shared" si="159"/>
        <v/>
      </c>
      <c r="X522">
        <f t="shared" si="160"/>
        <v>4</v>
      </c>
      <c r="Y522">
        <f t="shared" si="161"/>
        <v>0</v>
      </c>
      <c r="AA522">
        <f t="shared" si="162"/>
        <v>1</v>
      </c>
    </row>
    <row r="523" spans="1:27" x14ac:dyDescent="0.2">
      <c r="A523" t="s">
        <v>61</v>
      </c>
      <c r="B523" t="s">
        <v>66</v>
      </c>
      <c r="C523" t="s">
        <v>1655</v>
      </c>
      <c r="D523" t="s">
        <v>6</v>
      </c>
      <c r="E523" t="s">
        <v>3</v>
      </c>
      <c r="F523" t="s">
        <v>1653</v>
      </c>
      <c r="G523" t="s">
        <v>1474</v>
      </c>
      <c r="H523" s="4">
        <f t="shared" si="146"/>
        <v>1</v>
      </c>
      <c r="I523" s="4" t="str">
        <f>IF(RIGHT(B523,1)="M",IF(AND(H523=1,E523="RFS",D523=INDEX('Station Depth Averages'!$A$3:$B$84,MATCH(B523,'Station Depth Averages'!$A$3:$A$84,0),2)),1,""),IF(AND(H523=1,OR(D523="SYN",D523="SRF",D523="MID")),1,IF(AND(H523=1,OR(E524="FDn",E524="LDn")),1,IF(AND(H523=1,OR(E523="FDn",E523="LDn")),1,""))))</f>
        <v/>
      </c>
      <c r="J523" s="4">
        <f t="shared" si="147"/>
        <v>1</v>
      </c>
      <c r="K523" s="4" t="str">
        <f t="shared" si="148"/>
        <v/>
      </c>
      <c r="L523" s="4" t="str">
        <f t="shared" si="149"/>
        <v/>
      </c>
      <c r="M523" s="4" t="str">
        <f t="shared" si="150"/>
        <v/>
      </c>
      <c r="N523" s="4" t="str">
        <f t="shared" si="151"/>
        <v/>
      </c>
      <c r="O523" s="4" t="str">
        <f t="shared" si="152"/>
        <v/>
      </c>
      <c r="P523" s="4" t="str">
        <f t="shared" si="153"/>
        <v/>
      </c>
      <c r="Q523" s="4" t="str">
        <f t="shared" si="154"/>
        <v/>
      </c>
      <c r="R523" s="4" t="str">
        <f t="shared" si="155"/>
        <v/>
      </c>
      <c r="S523" s="4" t="str">
        <f t="shared" si="156"/>
        <v/>
      </c>
      <c r="T523" s="4" t="str">
        <f t="shared" si="157"/>
        <v/>
      </c>
      <c r="U523">
        <f>IF(VLOOKUP(C523,'QA Table'!$Y$5:$Y$20,1,TRUE)=C523,1,0)</f>
        <v>0</v>
      </c>
      <c r="V523" t="str">
        <f t="shared" si="158"/>
        <v/>
      </c>
      <c r="W523" t="str">
        <f t="shared" si="159"/>
        <v/>
      </c>
      <c r="X523">
        <f t="shared" si="160"/>
        <v>4</v>
      </c>
      <c r="Y523">
        <f t="shared" si="161"/>
        <v>0</v>
      </c>
      <c r="AA523">
        <f t="shared" si="162"/>
        <v>1</v>
      </c>
    </row>
    <row r="524" spans="1:27" x14ac:dyDescent="0.2">
      <c r="A524" t="s">
        <v>61</v>
      </c>
      <c r="B524" t="s">
        <v>66</v>
      </c>
      <c r="C524" t="s">
        <v>1656</v>
      </c>
      <c r="D524" t="s">
        <v>8</v>
      </c>
      <c r="E524" t="s">
        <v>3</v>
      </c>
      <c r="F524" t="s">
        <v>1653</v>
      </c>
      <c r="G524" t="s">
        <v>1474</v>
      </c>
      <c r="H524" s="4">
        <f t="shared" si="146"/>
        <v>1</v>
      </c>
      <c r="I524" s="4" t="str">
        <f>IF(RIGHT(B524,1)="M",IF(AND(H524=1,E524="RFS",D524=INDEX('Station Depth Averages'!$A$3:$B$84,MATCH(B524,'Station Depth Averages'!$A$3:$A$84,0),2)),1,""),IF(AND(H524=1,OR(D524="SYN",D524="SRF",D524="MID")),1,IF(AND(H524=1,OR(E525="FDn",E525="LDn")),1,IF(AND(H524=1,OR(E524="FDn",E524="LDn")),1,""))))</f>
        <v/>
      </c>
      <c r="J524" s="4" t="str">
        <f t="shared" si="147"/>
        <v/>
      </c>
      <c r="K524" s="4">
        <f t="shared" si="148"/>
        <v>1</v>
      </c>
      <c r="L524" s="4" t="str">
        <f t="shared" si="149"/>
        <v/>
      </c>
      <c r="M524" s="4" t="str">
        <f t="shared" si="150"/>
        <v/>
      </c>
      <c r="N524" s="4" t="str">
        <f t="shared" si="151"/>
        <v/>
      </c>
      <c r="O524" s="4" t="str">
        <f t="shared" si="152"/>
        <v/>
      </c>
      <c r="P524" s="4" t="str">
        <f t="shared" si="153"/>
        <v/>
      </c>
      <c r="Q524" s="4">
        <f t="shared" si="154"/>
        <v>1</v>
      </c>
      <c r="R524" s="4" t="str">
        <f t="shared" si="155"/>
        <v/>
      </c>
      <c r="S524" s="4" t="str">
        <f t="shared" si="156"/>
        <v/>
      </c>
      <c r="T524" s="4" t="str">
        <f t="shared" si="157"/>
        <v/>
      </c>
      <c r="U524">
        <f>IF(VLOOKUP(C524,'QA Table'!$Y$5:$Y$20,1,TRUE)=C524,1,0)</f>
        <v>0</v>
      </c>
      <c r="V524" t="str">
        <f t="shared" si="158"/>
        <v/>
      </c>
      <c r="W524" t="str">
        <f t="shared" si="159"/>
        <v/>
      </c>
      <c r="X524">
        <f t="shared" si="160"/>
        <v>4</v>
      </c>
      <c r="Y524">
        <f t="shared" si="161"/>
        <v>0</v>
      </c>
      <c r="AA524">
        <f t="shared" si="162"/>
        <v>1</v>
      </c>
    </row>
    <row r="525" spans="1:27" x14ac:dyDescent="0.2">
      <c r="A525" t="s">
        <v>61</v>
      </c>
      <c r="B525" t="s">
        <v>66</v>
      </c>
      <c r="C525" t="s">
        <v>1657</v>
      </c>
      <c r="D525" t="s">
        <v>9</v>
      </c>
      <c r="E525" t="s">
        <v>3</v>
      </c>
      <c r="F525" t="s">
        <v>1653</v>
      </c>
      <c r="G525" t="s">
        <v>1474</v>
      </c>
      <c r="H525" s="4" t="str">
        <f t="shared" si="146"/>
        <v/>
      </c>
      <c r="I525" s="4" t="str">
        <f>IF(RIGHT(B525,1)="M",IF(AND(H525=1,E525="RFS",D525=INDEX('Station Depth Averages'!$A$3:$B$84,MATCH(B525,'Station Depth Averages'!$A$3:$A$84,0),2)),1,""),IF(AND(H525=1,OR(D525="SYN",D525="SRF",D525="MID")),1,IF(AND(H525=1,OR(E526="FDn",E526="LDn")),1,IF(AND(H525=1,OR(E525="FDn",E525="LDn")),1,""))))</f>
        <v/>
      </c>
      <c r="J525" s="4" t="str">
        <f t="shared" si="147"/>
        <v/>
      </c>
      <c r="K525" s="4" t="str">
        <f t="shared" si="148"/>
        <v/>
      </c>
      <c r="L525" s="4" t="str">
        <f t="shared" si="149"/>
        <v/>
      </c>
      <c r="M525" s="4" t="str">
        <f t="shared" si="150"/>
        <v/>
      </c>
      <c r="N525" s="4" t="str">
        <f t="shared" si="151"/>
        <v/>
      </c>
      <c r="O525" s="4" t="str">
        <f t="shared" si="152"/>
        <v/>
      </c>
      <c r="P525" s="4" t="str">
        <f t="shared" si="153"/>
        <v/>
      </c>
      <c r="Q525" s="4" t="str">
        <f t="shared" si="154"/>
        <v/>
      </c>
      <c r="R525" s="4" t="str">
        <f t="shared" si="155"/>
        <v/>
      </c>
      <c r="S525" s="4" t="str">
        <f t="shared" si="156"/>
        <v/>
      </c>
      <c r="T525" s="4">
        <f t="shared" si="157"/>
        <v>1</v>
      </c>
      <c r="U525">
        <f>IF(VLOOKUP(C525,'QA Table'!$Y$5:$Y$20,1,TRUE)=C525,1,0)</f>
        <v>0</v>
      </c>
      <c r="V525" t="str">
        <f t="shared" si="158"/>
        <v/>
      </c>
      <c r="W525" t="str">
        <f t="shared" si="159"/>
        <v/>
      </c>
      <c r="X525" t="str">
        <f t="shared" si="160"/>
        <v/>
      </c>
      <c r="Y525">
        <f t="shared" si="161"/>
        <v>0</v>
      </c>
      <c r="AA525" t="str">
        <f t="shared" si="162"/>
        <v/>
      </c>
    </row>
    <row r="526" spans="1:27" x14ac:dyDescent="0.2">
      <c r="A526" t="s">
        <v>61</v>
      </c>
      <c r="B526" t="s">
        <v>66</v>
      </c>
      <c r="C526" t="s">
        <v>1658</v>
      </c>
      <c r="D526" t="s">
        <v>10</v>
      </c>
      <c r="E526" t="s">
        <v>3</v>
      </c>
      <c r="F526" t="s">
        <v>1653</v>
      </c>
      <c r="G526" t="s">
        <v>1474</v>
      </c>
      <c r="H526" s="4" t="str">
        <f t="shared" si="146"/>
        <v/>
      </c>
      <c r="I526" s="4" t="str">
        <f>IF(RIGHT(B526,1)="M",IF(AND(H526=1,E526="RFS",D526=INDEX('Station Depth Averages'!$A$3:$B$84,MATCH(B526,'Station Depth Averages'!$A$3:$A$84,0),2)),1,""),IF(AND(H526=1,OR(D526="SYN",D526="SRF",D526="MID")),1,IF(AND(H526=1,OR(E527="FDn",E527="LDn")),1,IF(AND(H526=1,OR(E526="FDn",E526="LDn")),1,""))))</f>
        <v/>
      </c>
      <c r="J526" s="4" t="str">
        <f t="shared" si="147"/>
        <v/>
      </c>
      <c r="K526" s="4" t="str">
        <f t="shared" si="148"/>
        <v/>
      </c>
      <c r="L526" s="4" t="str">
        <f t="shared" si="149"/>
        <v/>
      </c>
      <c r="M526" s="4" t="str">
        <f t="shared" si="150"/>
        <v/>
      </c>
      <c r="N526" s="4" t="str">
        <f t="shared" si="151"/>
        <v/>
      </c>
      <c r="O526" s="4" t="str">
        <f t="shared" si="152"/>
        <v/>
      </c>
      <c r="P526" s="4" t="str">
        <f t="shared" si="153"/>
        <v/>
      </c>
      <c r="Q526" s="4" t="str">
        <f t="shared" si="154"/>
        <v/>
      </c>
      <c r="R526" s="4" t="str">
        <f t="shared" si="155"/>
        <v/>
      </c>
      <c r="S526" s="4" t="str">
        <f t="shared" si="156"/>
        <v/>
      </c>
      <c r="T526" s="4">
        <f t="shared" si="157"/>
        <v>1</v>
      </c>
      <c r="U526">
        <f>IF(VLOOKUP(C526,'QA Table'!$Y$5:$Y$20,1,TRUE)=C526,1,0)</f>
        <v>0</v>
      </c>
      <c r="V526" t="str">
        <f t="shared" si="158"/>
        <v/>
      </c>
      <c r="W526" t="str">
        <f t="shared" si="159"/>
        <v/>
      </c>
      <c r="X526" t="str">
        <f t="shared" si="160"/>
        <v/>
      </c>
      <c r="Y526">
        <f t="shared" si="161"/>
        <v>0</v>
      </c>
      <c r="AA526" t="str">
        <f t="shared" si="162"/>
        <v/>
      </c>
    </row>
    <row r="527" spans="1:27" x14ac:dyDescent="0.2">
      <c r="A527" t="s">
        <v>61</v>
      </c>
      <c r="B527" t="s">
        <v>66</v>
      </c>
      <c r="C527" t="s">
        <v>1071</v>
      </c>
      <c r="D527" t="s">
        <v>118</v>
      </c>
      <c r="E527" t="s">
        <v>3</v>
      </c>
      <c r="F527" t="s">
        <v>1653</v>
      </c>
      <c r="G527" t="s">
        <v>1474</v>
      </c>
      <c r="H527" s="4" t="str">
        <f t="shared" si="146"/>
        <v/>
      </c>
      <c r="I527" s="4" t="str">
        <f>IF(RIGHT(B527,1)="M",IF(AND(H527=1,E527="RFS",D527=INDEX('Station Depth Averages'!$A$3:$B$84,MATCH(B527,'Station Depth Averages'!$A$3:$A$84,0),2)),1,""),IF(AND(H527=1,OR(D527="SYN",D527="SRF",D527="MID")),1,IF(AND(H527=1,OR(E528="FDn",E528="LDn")),1,IF(AND(H527=1,OR(E527="FDn",E527="LDn")),1,""))))</f>
        <v/>
      </c>
      <c r="J527" s="4" t="str">
        <f t="shared" si="147"/>
        <v/>
      </c>
      <c r="K527" s="4" t="str">
        <f t="shared" si="148"/>
        <v/>
      </c>
      <c r="L527" s="4" t="str">
        <f t="shared" si="149"/>
        <v/>
      </c>
      <c r="M527" s="4" t="str">
        <f t="shared" si="150"/>
        <v/>
      </c>
      <c r="N527" s="4" t="str">
        <f t="shared" si="151"/>
        <v/>
      </c>
      <c r="O527" s="4" t="str">
        <f t="shared" si="152"/>
        <v/>
      </c>
      <c r="P527" s="4" t="str">
        <f t="shared" si="153"/>
        <v/>
      </c>
      <c r="Q527" s="4" t="str">
        <f t="shared" si="154"/>
        <v/>
      </c>
      <c r="R527" s="4">
        <f t="shared" si="155"/>
        <v>1</v>
      </c>
      <c r="S527" s="4" t="str">
        <f t="shared" si="156"/>
        <v/>
      </c>
      <c r="T527" s="4" t="str">
        <f t="shared" si="157"/>
        <v/>
      </c>
      <c r="U527">
        <f>IF(VLOOKUP(C527,'QA Table'!$Y$5:$Y$20,1,TRUE)=C527,1,0)</f>
        <v>0</v>
      </c>
      <c r="V527" t="str">
        <f t="shared" si="158"/>
        <v/>
      </c>
      <c r="W527" t="str">
        <f t="shared" si="159"/>
        <v/>
      </c>
      <c r="X527" t="str">
        <f t="shared" si="160"/>
        <v/>
      </c>
      <c r="Y527">
        <f t="shared" si="161"/>
        <v>0</v>
      </c>
      <c r="AA527" t="str">
        <f t="shared" si="162"/>
        <v/>
      </c>
    </row>
    <row r="528" spans="1:27" x14ac:dyDescent="0.2">
      <c r="A528" t="s">
        <v>61</v>
      </c>
      <c r="B528" t="s">
        <v>66</v>
      </c>
      <c r="C528" t="s">
        <v>1659</v>
      </c>
      <c r="D528" t="s">
        <v>118</v>
      </c>
      <c r="E528" t="s">
        <v>19</v>
      </c>
      <c r="F528" t="s">
        <v>1653</v>
      </c>
      <c r="G528" t="s">
        <v>1474</v>
      </c>
      <c r="H528" s="4" t="str">
        <f t="shared" si="146"/>
        <v/>
      </c>
      <c r="I528" s="4" t="str">
        <f>IF(RIGHT(B528,1)="M",IF(AND(H528=1,E528="RFS",D528=INDEX('Station Depth Averages'!$A$3:$B$84,MATCH(B528,'Station Depth Averages'!$A$3:$A$84,0),2)),1,""),IF(AND(H528=1,OR(D528="SYN",D528="SRF",D528="MID")),1,IF(AND(H528=1,OR(E529="FDn",E529="LDn")),1,IF(AND(H528=1,OR(E528="FDn",E528="LDn")),1,""))))</f>
        <v/>
      </c>
      <c r="J528" s="4" t="str">
        <f t="shared" si="147"/>
        <v/>
      </c>
      <c r="K528" s="4" t="str">
        <f t="shared" si="148"/>
        <v/>
      </c>
      <c r="L528" s="4" t="str">
        <f t="shared" si="149"/>
        <v/>
      </c>
      <c r="M528" s="4" t="str">
        <f t="shared" si="150"/>
        <v/>
      </c>
      <c r="N528" s="4" t="str">
        <f t="shared" si="151"/>
        <v/>
      </c>
      <c r="O528" s="4" t="str">
        <f t="shared" si="152"/>
        <v/>
      </c>
      <c r="P528" s="4" t="str">
        <f t="shared" si="153"/>
        <v/>
      </c>
      <c r="Q528" s="4" t="str">
        <f t="shared" si="154"/>
        <v/>
      </c>
      <c r="R528" s="4">
        <f t="shared" si="155"/>
        <v>1</v>
      </c>
      <c r="S528" s="4" t="str">
        <f t="shared" si="156"/>
        <v/>
      </c>
      <c r="T528" s="4" t="str">
        <f t="shared" si="157"/>
        <v/>
      </c>
      <c r="U528">
        <f>IF(VLOOKUP(C528,'QA Table'!$Y$5:$Y$20,1,TRUE)=C528,1,0)</f>
        <v>0</v>
      </c>
      <c r="V528" t="str">
        <f t="shared" si="158"/>
        <v/>
      </c>
      <c r="W528" t="str">
        <f t="shared" si="159"/>
        <v/>
      </c>
      <c r="X528" t="str">
        <f t="shared" si="160"/>
        <v/>
      </c>
      <c r="Y528">
        <f t="shared" si="161"/>
        <v>0</v>
      </c>
      <c r="AA528" t="str">
        <f t="shared" si="162"/>
        <v/>
      </c>
    </row>
    <row r="529" spans="1:27" x14ac:dyDescent="0.2">
      <c r="A529" t="s">
        <v>61</v>
      </c>
      <c r="B529" t="s">
        <v>66</v>
      </c>
      <c r="C529" t="s">
        <v>1660</v>
      </c>
      <c r="D529" t="s">
        <v>118</v>
      </c>
      <c r="E529" t="s">
        <v>20</v>
      </c>
      <c r="F529" t="s">
        <v>1653</v>
      </c>
      <c r="G529" t="s">
        <v>1474</v>
      </c>
      <c r="H529" s="4" t="str">
        <f t="shared" si="146"/>
        <v/>
      </c>
      <c r="I529" s="4" t="str">
        <f>IF(RIGHT(B529,1)="M",IF(AND(H529=1,E529="RFS",D529=INDEX('Station Depth Averages'!$A$3:$B$84,MATCH(B529,'Station Depth Averages'!$A$3:$A$84,0),2)),1,""),IF(AND(H529=1,OR(D529="SYN",D529="SRF",D529="MID")),1,IF(AND(H529=1,OR(E530="FDn",E530="LDn")),1,IF(AND(H529=1,OR(E529="FDn",E529="LDn")),1,""))))</f>
        <v/>
      </c>
      <c r="J529" s="4" t="str">
        <f t="shared" si="147"/>
        <v/>
      </c>
      <c r="K529" s="4" t="str">
        <f t="shared" si="148"/>
        <v/>
      </c>
      <c r="L529" s="4" t="str">
        <f t="shared" si="149"/>
        <v/>
      </c>
      <c r="M529" s="4" t="str">
        <f t="shared" si="150"/>
        <v/>
      </c>
      <c r="N529" s="4" t="str">
        <f t="shared" si="151"/>
        <v/>
      </c>
      <c r="O529" s="4" t="str">
        <f t="shared" si="152"/>
        <v/>
      </c>
      <c r="P529" s="4" t="str">
        <f t="shared" si="153"/>
        <v/>
      </c>
      <c r="Q529" s="4" t="str">
        <f t="shared" si="154"/>
        <v/>
      </c>
      <c r="R529" s="4">
        <f t="shared" si="155"/>
        <v>1</v>
      </c>
      <c r="S529" s="4" t="str">
        <f t="shared" si="156"/>
        <v/>
      </c>
      <c r="T529" s="4" t="str">
        <f t="shared" si="157"/>
        <v/>
      </c>
      <c r="U529">
        <f>IF(VLOOKUP(C529,'QA Table'!$Y$5:$Y$20,1,TRUE)=C529,1,0)</f>
        <v>0</v>
      </c>
      <c r="V529" t="str">
        <f t="shared" si="158"/>
        <v/>
      </c>
      <c r="W529" t="str">
        <f t="shared" si="159"/>
        <v/>
      </c>
      <c r="X529" t="str">
        <f t="shared" si="160"/>
        <v/>
      </c>
      <c r="Y529">
        <f t="shared" si="161"/>
        <v>0</v>
      </c>
      <c r="AA529" t="str">
        <f t="shared" si="162"/>
        <v/>
      </c>
    </row>
    <row r="530" spans="1:27" x14ac:dyDescent="0.2">
      <c r="A530" t="s">
        <v>61</v>
      </c>
      <c r="B530" t="s">
        <v>66</v>
      </c>
      <c r="C530" t="s">
        <v>1077</v>
      </c>
      <c r="D530" t="s">
        <v>1032</v>
      </c>
      <c r="E530" t="s">
        <v>3</v>
      </c>
      <c r="F530" t="s">
        <v>1653</v>
      </c>
      <c r="G530" t="s">
        <v>1474</v>
      </c>
      <c r="H530" s="4" t="str">
        <f t="shared" si="146"/>
        <v/>
      </c>
      <c r="I530" s="4" t="str">
        <f>IF(RIGHT(B530,1)="M",IF(AND(H530=1,E530="RFS",D530=INDEX('Station Depth Averages'!$A$3:$B$84,MATCH(B530,'Station Depth Averages'!$A$3:$A$84,0),2)),1,""),IF(AND(H530=1,OR(D530="SYN",D530="SRF",D530="MID")),1,IF(AND(H530=1,OR(E531="FDn",E531="LDn")),1,IF(AND(H530=1,OR(E530="FDn",E530="LDn")),1,""))))</f>
        <v/>
      </c>
      <c r="J530" s="4" t="str">
        <f t="shared" si="147"/>
        <v/>
      </c>
      <c r="K530" s="4" t="str">
        <f t="shared" si="148"/>
        <v/>
      </c>
      <c r="L530" s="4" t="str">
        <f t="shared" si="149"/>
        <v/>
      </c>
      <c r="M530" s="4" t="str">
        <f t="shared" si="150"/>
        <v/>
      </c>
      <c r="N530" s="4" t="str">
        <f t="shared" si="151"/>
        <v/>
      </c>
      <c r="O530" s="4" t="str">
        <f t="shared" si="152"/>
        <v/>
      </c>
      <c r="P530" s="4" t="str">
        <f t="shared" si="153"/>
        <v/>
      </c>
      <c r="Q530" s="4" t="str">
        <f t="shared" si="154"/>
        <v/>
      </c>
      <c r="R530" s="4" t="str">
        <f t="shared" si="155"/>
        <v/>
      </c>
      <c r="S530" s="4" t="str">
        <f t="shared" si="156"/>
        <v/>
      </c>
      <c r="T530" s="4" t="str">
        <f t="shared" si="157"/>
        <v/>
      </c>
      <c r="U530">
        <f>IF(VLOOKUP(C530,'QA Table'!$Y$5:$Y$20,1,TRUE)=C530,1,0)</f>
        <v>0</v>
      </c>
      <c r="V530">
        <f t="shared" si="158"/>
        <v>1</v>
      </c>
      <c r="W530" t="str">
        <f t="shared" si="159"/>
        <v/>
      </c>
      <c r="X530" t="str">
        <f t="shared" si="160"/>
        <v/>
      </c>
      <c r="Y530">
        <f t="shared" si="161"/>
        <v>0</v>
      </c>
      <c r="AA530" t="str">
        <f t="shared" si="162"/>
        <v/>
      </c>
    </row>
    <row r="531" spans="1:27" x14ac:dyDescent="0.2">
      <c r="A531" t="s">
        <v>61</v>
      </c>
      <c r="B531" t="s">
        <v>66</v>
      </c>
      <c r="C531" t="s">
        <v>1661</v>
      </c>
      <c r="D531" t="s">
        <v>1032</v>
      </c>
      <c r="E531" t="s">
        <v>12</v>
      </c>
      <c r="F531" t="s">
        <v>1653</v>
      </c>
      <c r="G531" t="s">
        <v>1474</v>
      </c>
      <c r="H531" s="4" t="str">
        <f t="shared" si="146"/>
        <v/>
      </c>
      <c r="I531" s="4" t="str">
        <f>IF(RIGHT(B531,1)="M",IF(AND(H531=1,E531="RFS",D531=INDEX('Station Depth Averages'!$A$3:$B$84,MATCH(B531,'Station Depth Averages'!$A$3:$A$84,0),2)),1,""),IF(AND(H531=1,OR(D531="SYN",D531="SRF",D531="MID")),1,IF(AND(H531=1,OR(E532="FDn",E532="LDn")),1,IF(AND(H531=1,OR(E531="FDn",E531="LDn")),1,""))))</f>
        <v/>
      </c>
      <c r="J531" s="4" t="str">
        <f t="shared" si="147"/>
        <v/>
      </c>
      <c r="K531" s="4" t="str">
        <f t="shared" si="148"/>
        <v/>
      </c>
      <c r="L531" s="4" t="str">
        <f t="shared" si="149"/>
        <v/>
      </c>
      <c r="M531" s="4" t="str">
        <f t="shared" si="150"/>
        <v/>
      </c>
      <c r="N531" s="4" t="str">
        <f t="shared" si="151"/>
        <v/>
      </c>
      <c r="O531" s="4" t="str">
        <f t="shared" si="152"/>
        <v/>
      </c>
      <c r="P531" s="4" t="str">
        <f t="shared" si="153"/>
        <v/>
      </c>
      <c r="Q531" s="4" t="str">
        <f t="shared" si="154"/>
        <v/>
      </c>
      <c r="R531" s="4" t="str">
        <f t="shared" si="155"/>
        <v/>
      </c>
      <c r="S531" s="4" t="str">
        <f t="shared" si="156"/>
        <v/>
      </c>
      <c r="T531" s="4" t="str">
        <f t="shared" si="157"/>
        <v/>
      </c>
      <c r="U531">
        <f>IF(VLOOKUP(C531,'QA Table'!$Y$5:$Y$20,1,TRUE)=C531,1,0)</f>
        <v>0</v>
      </c>
      <c r="V531">
        <f t="shared" si="158"/>
        <v>1</v>
      </c>
      <c r="W531" t="str">
        <f t="shared" si="159"/>
        <v/>
      </c>
      <c r="X531" t="str">
        <f t="shared" si="160"/>
        <v/>
      </c>
      <c r="Y531">
        <f t="shared" si="161"/>
        <v>0</v>
      </c>
      <c r="AA531" t="str">
        <f t="shared" si="162"/>
        <v/>
      </c>
    </row>
    <row r="532" spans="1:27" x14ac:dyDescent="0.2">
      <c r="A532" t="s">
        <v>61</v>
      </c>
      <c r="B532" t="s">
        <v>66</v>
      </c>
      <c r="C532" t="s">
        <v>1083</v>
      </c>
      <c r="D532" t="s">
        <v>1032</v>
      </c>
      <c r="E532" t="s">
        <v>3</v>
      </c>
      <c r="F532" t="s">
        <v>1653</v>
      </c>
      <c r="G532" t="s">
        <v>1474</v>
      </c>
      <c r="H532" s="4" t="str">
        <f t="shared" si="146"/>
        <v/>
      </c>
      <c r="I532" s="4" t="str">
        <f>IF(RIGHT(B532,1)="M",IF(AND(H532=1,E532="RFS",D532=INDEX('Station Depth Averages'!$A$3:$B$84,MATCH(B532,'Station Depth Averages'!$A$3:$A$84,0),2)),1,""),IF(AND(H532=1,OR(D532="SYN",D532="SRF",D532="MID")),1,IF(AND(H532=1,OR(E533="FDn",E533="LDn")),1,IF(AND(H532=1,OR(E532="FDn",E532="LDn")),1,""))))</f>
        <v/>
      </c>
      <c r="J532" s="4" t="str">
        <f t="shared" si="147"/>
        <v/>
      </c>
      <c r="K532" s="4" t="str">
        <f t="shared" si="148"/>
        <v/>
      </c>
      <c r="L532" s="4" t="str">
        <f t="shared" si="149"/>
        <v/>
      </c>
      <c r="M532" s="4" t="str">
        <f t="shared" si="150"/>
        <v/>
      </c>
      <c r="N532" s="4" t="str">
        <f t="shared" si="151"/>
        <v/>
      </c>
      <c r="O532" s="4" t="str">
        <f t="shared" si="152"/>
        <v/>
      </c>
      <c r="P532" s="4" t="str">
        <f t="shared" si="153"/>
        <v/>
      </c>
      <c r="Q532" s="4" t="str">
        <f t="shared" si="154"/>
        <v/>
      </c>
      <c r="R532" s="4" t="str">
        <f t="shared" si="155"/>
        <v/>
      </c>
      <c r="S532" s="4" t="str">
        <f t="shared" si="156"/>
        <v/>
      </c>
      <c r="T532" s="4" t="str">
        <f t="shared" si="157"/>
        <v/>
      </c>
      <c r="U532">
        <f>IF(VLOOKUP(C532,'QA Table'!$Y$5:$Y$20,1,TRUE)=C532,1,0)</f>
        <v>0</v>
      </c>
      <c r="V532" t="str">
        <f t="shared" si="158"/>
        <v/>
      </c>
      <c r="W532">
        <f t="shared" si="159"/>
        <v>1</v>
      </c>
      <c r="X532" t="str">
        <f t="shared" si="160"/>
        <v/>
      </c>
      <c r="Y532">
        <f t="shared" si="161"/>
        <v>0</v>
      </c>
      <c r="AA532" t="str">
        <f t="shared" si="162"/>
        <v/>
      </c>
    </row>
    <row r="533" spans="1:27" x14ac:dyDescent="0.2">
      <c r="A533" t="s">
        <v>61</v>
      </c>
      <c r="B533" t="s">
        <v>66</v>
      </c>
      <c r="C533" t="s">
        <v>1662</v>
      </c>
      <c r="D533" t="s">
        <v>1032</v>
      </c>
      <c r="E533" t="s">
        <v>12</v>
      </c>
      <c r="F533" t="s">
        <v>1653</v>
      </c>
      <c r="G533" t="s">
        <v>1474</v>
      </c>
      <c r="H533" s="4" t="str">
        <f t="shared" si="146"/>
        <v/>
      </c>
      <c r="I533" s="4" t="str">
        <f>IF(RIGHT(B533,1)="M",IF(AND(H533=1,E533="RFS",D533=INDEX('Station Depth Averages'!$A$3:$B$84,MATCH(B533,'Station Depth Averages'!$A$3:$A$84,0),2)),1,""),IF(AND(H533=1,OR(D533="SYN",D533="SRF",D533="MID")),1,IF(AND(H533=1,OR(E534="FDn",E534="LDn")),1,IF(AND(H533=1,OR(E533="FDn",E533="LDn")),1,""))))</f>
        <v/>
      </c>
      <c r="J533" s="4" t="str">
        <f t="shared" si="147"/>
        <v/>
      </c>
      <c r="K533" s="4" t="str">
        <f t="shared" si="148"/>
        <v/>
      </c>
      <c r="L533" s="4" t="str">
        <f t="shared" si="149"/>
        <v/>
      </c>
      <c r="M533" s="4" t="str">
        <f t="shared" si="150"/>
        <v/>
      </c>
      <c r="N533" s="4" t="str">
        <f t="shared" si="151"/>
        <v/>
      </c>
      <c r="O533" s="4" t="str">
        <f t="shared" si="152"/>
        <v/>
      </c>
      <c r="P533" s="4" t="str">
        <f t="shared" si="153"/>
        <v/>
      </c>
      <c r="Q533" s="4" t="str">
        <f t="shared" si="154"/>
        <v/>
      </c>
      <c r="R533" s="4" t="str">
        <f t="shared" si="155"/>
        <v/>
      </c>
      <c r="S533" s="4" t="str">
        <f t="shared" si="156"/>
        <v/>
      </c>
      <c r="T533" s="4" t="str">
        <f t="shared" si="157"/>
        <v/>
      </c>
      <c r="U533">
        <f>IF(VLOOKUP(C533,'QA Table'!$Y$5:$Y$20,1,TRUE)=C533,1,0)</f>
        <v>0</v>
      </c>
      <c r="V533" t="str">
        <f t="shared" si="158"/>
        <v/>
      </c>
      <c r="W533">
        <f t="shared" si="159"/>
        <v>1</v>
      </c>
      <c r="X533" t="str">
        <f t="shared" si="160"/>
        <v/>
      </c>
      <c r="Y533">
        <f t="shared" si="161"/>
        <v>0</v>
      </c>
      <c r="AA533" t="str">
        <f t="shared" si="162"/>
        <v/>
      </c>
    </row>
    <row r="534" spans="1:27" x14ac:dyDescent="0.2">
      <c r="A534" t="s">
        <v>61</v>
      </c>
      <c r="B534" t="s">
        <v>67</v>
      </c>
      <c r="C534" t="s">
        <v>1663</v>
      </c>
      <c r="D534" t="s">
        <v>2</v>
      </c>
      <c r="E534" t="s">
        <v>3</v>
      </c>
      <c r="F534" t="s">
        <v>1664</v>
      </c>
      <c r="G534" t="s">
        <v>1474</v>
      </c>
      <c r="H534" s="4">
        <f t="shared" si="146"/>
        <v>1</v>
      </c>
      <c r="I534" s="4">
        <f>IF(RIGHT(B534,1)="M",IF(AND(H534=1,E534="RFS",D534=INDEX('Station Depth Averages'!$A$3:$B$84,MATCH(B534,'Station Depth Averages'!$A$3:$A$84,0),2)),1,""),IF(AND(H534=1,OR(D534="SYN",D534="SRF",D534="MID")),1,IF(AND(H534=1,OR(E535="FDn",E535="LDn")),1,IF(AND(H534=1,OR(E534="FDn",E534="LDn")),1,""))))</f>
        <v>1</v>
      </c>
      <c r="J534" s="4">
        <f t="shared" si="147"/>
        <v>1</v>
      </c>
      <c r="K534" s="4" t="str">
        <f t="shared" si="148"/>
        <v/>
      </c>
      <c r="L534" s="4" t="str">
        <f t="shared" si="149"/>
        <v/>
      </c>
      <c r="M534" s="4" t="str">
        <f t="shared" si="150"/>
        <v/>
      </c>
      <c r="N534" s="4" t="str">
        <f t="shared" si="151"/>
        <v/>
      </c>
      <c r="O534" s="4" t="str">
        <f t="shared" si="152"/>
        <v/>
      </c>
      <c r="P534" s="4" t="str">
        <f t="shared" si="153"/>
        <v/>
      </c>
      <c r="Q534" s="4" t="str">
        <f t="shared" si="154"/>
        <v/>
      </c>
      <c r="R534" s="4" t="str">
        <f t="shared" si="155"/>
        <v/>
      </c>
      <c r="S534" s="4" t="str">
        <f t="shared" si="156"/>
        <v/>
      </c>
      <c r="T534" s="4" t="str">
        <f t="shared" si="157"/>
        <v/>
      </c>
      <c r="U534">
        <f>IF(VLOOKUP(C534,'QA Table'!$Y$5:$Y$20,1,TRUE)=C534,1,0)</f>
        <v>0</v>
      </c>
      <c r="V534" t="str">
        <f t="shared" si="158"/>
        <v/>
      </c>
      <c r="W534" t="str">
        <f t="shared" si="159"/>
        <v/>
      </c>
      <c r="X534">
        <f t="shared" si="160"/>
        <v>4</v>
      </c>
      <c r="Y534">
        <f t="shared" si="161"/>
        <v>0</v>
      </c>
      <c r="AA534">
        <f t="shared" si="162"/>
        <v>1</v>
      </c>
    </row>
    <row r="535" spans="1:27" x14ac:dyDescent="0.2">
      <c r="A535" t="s">
        <v>61</v>
      </c>
      <c r="B535" t="s">
        <v>67</v>
      </c>
      <c r="C535" t="s">
        <v>1665</v>
      </c>
      <c r="D535" t="s">
        <v>1050</v>
      </c>
      <c r="E535" t="s">
        <v>3</v>
      </c>
      <c r="F535" t="s">
        <v>1664</v>
      </c>
      <c r="G535" t="s">
        <v>1474</v>
      </c>
      <c r="H535" s="4" t="str">
        <f t="shared" si="146"/>
        <v/>
      </c>
      <c r="I535" s="4" t="str">
        <f>IF(RIGHT(B535,1)="M",IF(AND(H535=1,E535="RFS",D535=INDEX('Station Depth Averages'!$A$3:$B$84,MATCH(B535,'Station Depth Averages'!$A$3:$A$84,0),2)),1,""),IF(AND(H535=1,OR(D535="SYN",D535="SRF",D535="MID")),1,IF(AND(H535=1,OR(E536="FDn",E536="LDn")),1,IF(AND(H535=1,OR(E535="FDn",E535="LDn")),1,""))))</f>
        <v/>
      </c>
      <c r="J535" s="4" t="str">
        <f t="shared" si="147"/>
        <v/>
      </c>
      <c r="K535" s="4" t="str">
        <f t="shared" si="148"/>
        <v/>
      </c>
      <c r="L535" s="4" t="str">
        <f t="shared" si="149"/>
        <v/>
      </c>
      <c r="M535" s="4" t="str">
        <f t="shared" si="150"/>
        <v/>
      </c>
      <c r="N535" s="4" t="str">
        <f t="shared" si="151"/>
        <v/>
      </c>
      <c r="O535" s="4" t="str">
        <f t="shared" si="152"/>
        <v/>
      </c>
      <c r="P535" s="4" t="str">
        <f t="shared" si="153"/>
        <v/>
      </c>
      <c r="Q535" s="4" t="str">
        <f t="shared" si="154"/>
        <v/>
      </c>
      <c r="R535" s="4" t="str">
        <f t="shared" si="155"/>
        <v/>
      </c>
      <c r="S535" s="4" t="str">
        <f t="shared" si="156"/>
        <v/>
      </c>
      <c r="T535" s="4" t="str">
        <f t="shared" si="157"/>
        <v/>
      </c>
      <c r="U535">
        <f>IF(VLOOKUP(C535,'QA Table'!$Y$5:$Y$20,1,TRUE)=C535,1,0)</f>
        <v>0</v>
      </c>
      <c r="V535" t="str">
        <f t="shared" si="158"/>
        <v/>
      </c>
      <c r="W535" t="str">
        <f t="shared" si="159"/>
        <v/>
      </c>
      <c r="X535" t="str">
        <f t="shared" si="160"/>
        <v/>
      </c>
      <c r="Y535">
        <f t="shared" si="161"/>
        <v>0</v>
      </c>
      <c r="AA535" t="str">
        <f t="shared" si="162"/>
        <v/>
      </c>
    </row>
    <row r="536" spans="1:27" x14ac:dyDescent="0.2">
      <c r="A536" t="s">
        <v>61</v>
      </c>
      <c r="B536" t="s">
        <v>67</v>
      </c>
      <c r="C536" t="s">
        <v>1666</v>
      </c>
      <c r="D536" t="s">
        <v>4</v>
      </c>
      <c r="E536" t="s">
        <v>3</v>
      </c>
      <c r="F536" t="s">
        <v>1664</v>
      </c>
      <c r="G536" t="s">
        <v>1474</v>
      </c>
      <c r="H536" s="4" t="str">
        <f t="shared" si="146"/>
        <v/>
      </c>
      <c r="I536" s="4" t="str">
        <f>IF(RIGHT(B536,1)="M",IF(AND(H536=1,E536="RFS",D536=INDEX('Station Depth Averages'!$A$3:$B$84,MATCH(B536,'Station Depth Averages'!$A$3:$A$84,0),2)),1,""),IF(AND(H536=1,OR(D536="SYN",D536="SRF",D536="MID")),1,IF(AND(H536=1,OR(E537="FDn",E537="LDn")),1,IF(AND(H536=1,OR(E536="FDn",E536="LDn")),1,""))))</f>
        <v/>
      </c>
      <c r="J536" s="4" t="str">
        <f t="shared" si="147"/>
        <v/>
      </c>
      <c r="K536" s="4" t="str">
        <f t="shared" si="148"/>
        <v/>
      </c>
      <c r="L536" s="4" t="str">
        <f t="shared" si="149"/>
        <v/>
      </c>
      <c r="M536" s="4" t="str">
        <f t="shared" si="150"/>
        <v/>
      </c>
      <c r="N536" s="4" t="str">
        <f t="shared" si="151"/>
        <v/>
      </c>
      <c r="O536" s="4" t="str">
        <f t="shared" si="152"/>
        <v/>
      </c>
      <c r="P536" s="4" t="str">
        <f t="shared" si="153"/>
        <v/>
      </c>
      <c r="Q536" s="4" t="str">
        <f t="shared" si="154"/>
        <v/>
      </c>
      <c r="R536" s="4" t="str">
        <f t="shared" si="155"/>
        <v/>
      </c>
      <c r="S536" s="4" t="str">
        <f t="shared" si="156"/>
        <v/>
      </c>
      <c r="T536" s="4" t="str">
        <f t="shared" si="157"/>
        <v/>
      </c>
      <c r="U536">
        <f>IF(VLOOKUP(C536,'QA Table'!$Y$5:$Y$20,1,TRUE)=C536,1,0)</f>
        <v>0</v>
      </c>
      <c r="V536" t="str">
        <f t="shared" si="158"/>
        <v/>
      </c>
      <c r="W536" t="str">
        <f t="shared" si="159"/>
        <v/>
      </c>
      <c r="X536" t="str">
        <f t="shared" si="160"/>
        <v/>
      </c>
      <c r="Y536">
        <f t="shared" si="161"/>
        <v>0</v>
      </c>
      <c r="AA536" t="str">
        <f t="shared" si="162"/>
        <v/>
      </c>
    </row>
    <row r="537" spans="1:27" x14ac:dyDescent="0.2">
      <c r="A537" t="s">
        <v>61</v>
      </c>
      <c r="B537" t="s">
        <v>67</v>
      </c>
      <c r="C537" t="s">
        <v>1667</v>
      </c>
      <c r="D537" t="s">
        <v>119</v>
      </c>
      <c r="E537" t="s">
        <v>3</v>
      </c>
      <c r="F537" t="s">
        <v>1664</v>
      </c>
      <c r="G537" t="s">
        <v>1474</v>
      </c>
      <c r="H537" s="4">
        <f t="shared" si="146"/>
        <v>1</v>
      </c>
      <c r="I537" s="4">
        <f>IF(RIGHT(B537,1)="M",IF(AND(H537=1,E537="RFS",D537=INDEX('Station Depth Averages'!$A$3:$B$84,MATCH(B537,'Station Depth Averages'!$A$3:$A$84,0),2)),1,""),IF(AND(H537=1,OR(D537="SYN",D537="SRF",D537="MID")),1,IF(AND(H537=1,OR(E538="FDn",E538="LDn")),1,IF(AND(H537=1,OR(E537="FDn",E537="LDn")),1,""))))</f>
        <v>1</v>
      </c>
      <c r="J537" s="4">
        <f t="shared" si="147"/>
        <v>1</v>
      </c>
      <c r="K537" s="4" t="str">
        <f t="shared" si="148"/>
        <v/>
      </c>
      <c r="L537" s="4" t="str">
        <f t="shared" si="149"/>
        <v/>
      </c>
      <c r="M537" s="4" t="str">
        <f t="shared" si="150"/>
        <v/>
      </c>
      <c r="N537" s="4" t="str">
        <f t="shared" si="151"/>
        <v/>
      </c>
      <c r="O537" s="4" t="str">
        <f t="shared" si="152"/>
        <v/>
      </c>
      <c r="P537" s="4" t="str">
        <f t="shared" si="153"/>
        <v/>
      </c>
      <c r="Q537" s="4" t="str">
        <f t="shared" si="154"/>
        <v/>
      </c>
      <c r="R537" s="4" t="str">
        <f t="shared" si="155"/>
        <v/>
      </c>
      <c r="S537" s="4" t="str">
        <f t="shared" si="156"/>
        <v/>
      </c>
      <c r="T537" s="4" t="str">
        <f t="shared" si="157"/>
        <v/>
      </c>
      <c r="U537">
        <f>IF(VLOOKUP(C537,'QA Table'!$Y$5:$Y$20,1,TRUE)=C537,1,0)</f>
        <v>0</v>
      </c>
      <c r="V537" t="str">
        <f t="shared" si="158"/>
        <v/>
      </c>
      <c r="W537" t="str">
        <f t="shared" si="159"/>
        <v/>
      </c>
      <c r="X537">
        <f t="shared" si="160"/>
        <v>4</v>
      </c>
      <c r="Y537">
        <f t="shared" si="161"/>
        <v>0</v>
      </c>
      <c r="AA537">
        <f t="shared" si="162"/>
        <v>1</v>
      </c>
    </row>
    <row r="538" spans="1:27" x14ac:dyDescent="0.2">
      <c r="A538" t="s">
        <v>61</v>
      </c>
      <c r="B538" t="s">
        <v>67</v>
      </c>
      <c r="C538" t="s">
        <v>1668</v>
      </c>
      <c r="D538" t="s">
        <v>6</v>
      </c>
      <c r="E538" t="s">
        <v>3</v>
      </c>
      <c r="F538" t="s">
        <v>1664</v>
      </c>
      <c r="G538" t="s">
        <v>1474</v>
      </c>
      <c r="H538" s="4">
        <f t="shared" si="146"/>
        <v>1</v>
      </c>
      <c r="I538" s="4" t="str">
        <f>IF(RIGHT(B538,1)="M",IF(AND(H538=1,E538="RFS",D538=INDEX('Station Depth Averages'!$A$3:$B$84,MATCH(B538,'Station Depth Averages'!$A$3:$A$84,0),2)),1,""),IF(AND(H538=1,OR(D538="SYN",D538="SRF",D538="MID")),1,IF(AND(H538=1,OR(E539="FDn",E539="LDn")),1,IF(AND(H538=1,OR(E538="FDn",E538="LDn")),1,""))))</f>
        <v/>
      </c>
      <c r="J538" s="4">
        <f t="shared" si="147"/>
        <v>1</v>
      </c>
      <c r="K538" s="4" t="str">
        <f t="shared" si="148"/>
        <v/>
      </c>
      <c r="L538" s="4" t="str">
        <f t="shared" si="149"/>
        <v/>
      </c>
      <c r="M538" s="4" t="str">
        <f t="shared" si="150"/>
        <v/>
      </c>
      <c r="N538" s="4" t="str">
        <f t="shared" si="151"/>
        <v/>
      </c>
      <c r="O538" s="4" t="str">
        <f t="shared" si="152"/>
        <v/>
      </c>
      <c r="P538" s="4" t="str">
        <f t="shared" si="153"/>
        <v/>
      </c>
      <c r="Q538" s="4" t="str">
        <f t="shared" si="154"/>
        <v/>
      </c>
      <c r="R538" s="4" t="str">
        <f t="shared" si="155"/>
        <v/>
      </c>
      <c r="S538" s="4" t="str">
        <f t="shared" si="156"/>
        <v/>
      </c>
      <c r="T538" s="4" t="str">
        <f t="shared" si="157"/>
        <v/>
      </c>
      <c r="U538">
        <f>IF(VLOOKUP(C538,'QA Table'!$Y$5:$Y$20,1,TRUE)=C538,1,0)</f>
        <v>0</v>
      </c>
      <c r="V538" t="str">
        <f t="shared" si="158"/>
        <v/>
      </c>
      <c r="W538" t="str">
        <f t="shared" si="159"/>
        <v/>
      </c>
      <c r="X538">
        <f t="shared" si="160"/>
        <v>4</v>
      </c>
      <c r="Y538">
        <f t="shared" si="161"/>
        <v>0</v>
      </c>
      <c r="AA538">
        <f t="shared" si="162"/>
        <v>1</v>
      </c>
    </row>
    <row r="539" spans="1:27" x14ac:dyDescent="0.2">
      <c r="A539" t="s">
        <v>61</v>
      </c>
      <c r="B539" t="s">
        <v>67</v>
      </c>
      <c r="C539" t="s">
        <v>1669</v>
      </c>
      <c r="D539" t="s">
        <v>8</v>
      </c>
      <c r="E539" t="s">
        <v>3</v>
      </c>
      <c r="F539" t="s">
        <v>1664</v>
      </c>
      <c r="G539" t="s">
        <v>1474</v>
      </c>
      <c r="H539" s="4">
        <f t="shared" si="146"/>
        <v>1</v>
      </c>
      <c r="I539" s="4" t="str">
        <f>IF(RIGHT(B539,1)="M",IF(AND(H539=1,E539="RFS",D539=INDEX('Station Depth Averages'!$A$3:$B$84,MATCH(B539,'Station Depth Averages'!$A$3:$A$84,0),2)),1,""),IF(AND(H539=1,OR(D539="SYN",D539="SRF",D539="MID")),1,IF(AND(H539=1,OR(E540="FDn",E540="LDn")),1,IF(AND(H539=1,OR(E539="FDn",E539="LDn")),1,""))))</f>
        <v/>
      </c>
      <c r="J539" s="4" t="str">
        <f t="shared" si="147"/>
        <v/>
      </c>
      <c r="K539" s="4">
        <f t="shared" si="148"/>
        <v>1</v>
      </c>
      <c r="L539" s="4" t="str">
        <f t="shared" si="149"/>
        <v/>
      </c>
      <c r="M539" s="4" t="str">
        <f t="shared" si="150"/>
        <v/>
      </c>
      <c r="N539" s="4" t="str">
        <f t="shared" si="151"/>
        <v/>
      </c>
      <c r="O539" s="4" t="str">
        <f t="shared" si="152"/>
        <v/>
      </c>
      <c r="P539" s="4" t="str">
        <f t="shared" si="153"/>
        <v/>
      </c>
      <c r="Q539" s="4">
        <f t="shared" si="154"/>
        <v>1</v>
      </c>
      <c r="R539" s="4" t="str">
        <f t="shared" si="155"/>
        <v/>
      </c>
      <c r="S539" s="4" t="str">
        <f t="shared" si="156"/>
        <v/>
      </c>
      <c r="T539" s="4" t="str">
        <f t="shared" si="157"/>
        <v/>
      </c>
      <c r="U539">
        <f>IF(VLOOKUP(C539,'QA Table'!$Y$5:$Y$20,1,TRUE)=C539,1,0)</f>
        <v>0</v>
      </c>
      <c r="V539" t="str">
        <f t="shared" si="158"/>
        <v/>
      </c>
      <c r="W539" t="str">
        <f t="shared" si="159"/>
        <v/>
      </c>
      <c r="X539">
        <f t="shared" si="160"/>
        <v>4</v>
      </c>
      <c r="Y539">
        <f t="shared" si="161"/>
        <v>0</v>
      </c>
      <c r="AA539">
        <f t="shared" si="162"/>
        <v>1</v>
      </c>
    </row>
    <row r="540" spans="1:27" x14ac:dyDescent="0.2">
      <c r="A540" t="s">
        <v>61</v>
      </c>
      <c r="B540" t="s">
        <v>67</v>
      </c>
      <c r="C540" t="s">
        <v>1670</v>
      </c>
      <c r="D540" t="s">
        <v>9</v>
      </c>
      <c r="E540" t="s">
        <v>3</v>
      </c>
      <c r="F540" t="s">
        <v>1664</v>
      </c>
      <c r="G540" t="s">
        <v>1474</v>
      </c>
      <c r="H540" s="4" t="str">
        <f t="shared" si="146"/>
        <v/>
      </c>
      <c r="I540" s="4" t="str">
        <f>IF(RIGHT(B540,1)="M",IF(AND(H540=1,E540="RFS",D540=INDEX('Station Depth Averages'!$A$3:$B$84,MATCH(B540,'Station Depth Averages'!$A$3:$A$84,0),2)),1,""),IF(AND(H540=1,OR(D540="SYN",D540="SRF",D540="MID")),1,IF(AND(H540=1,OR(E541="FDn",E541="LDn")),1,IF(AND(H540=1,OR(E540="FDn",E540="LDn")),1,""))))</f>
        <v/>
      </c>
      <c r="J540" s="4" t="str">
        <f t="shared" si="147"/>
        <v/>
      </c>
      <c r="K540" s="4" t="str">
        <f t="shared" si="148"/>
        <v/>
      </c>
      <c r="L540" s="4" t="str">
        <f t="shared" si="149"/>
        <v/>
      </c>
      <c r="M540" s="4" t="str">
        <f t="shared" si="150"/>
        <v/>
      </c>
      <c r="N540" s="4" t="str">
        <f t="shared" si="151"/>
        <v/>
      </c>
      <c r="O540" s="4" t="str">
        <f t="shared" si="152"/>
        <v/>
      </c>
      <c r="P540" s="4" t="str">
        <f t="shared" si="153"/>
        <v/>
      </c>
      <c r="Q540" s="4" t="str">
        <f t="shared" si="154"/>
        <v/>
      </c>
      <c r="R540" s="4" t="str">
        <f t="shared" si="155"/>
        <v/>
      </c>
      <c r="S540" s="4" t="str">
        <f t="shared" si="156"/>
        <v/>
      </c>
      <c r="T540" s="4">
        <f t="shared" si="157"/>
        <v>1</v>
      </c>
      <c r="U540">
        <f>IF(VLOOKUP(C540,'QA Table'!$Y$5:$Y$20,1,TRUE)=C540,1,0)</f>
        <v>0</v>
      </c>
      <c r="V540" t="str">
        <f t="shared" si="158"/>
        <v/>
      </c>
      <c r="W540" t="str">
        <f t="shared" si="159"/>
        <v/>
      </c>
      <c r="X540" t="str">
        <f t="shared" si="160"/>
        <v/>
      </c>
      <c r="Y540">
        <f t="shared" si="161"/>
        <v>0</v>
      </c>
      <c r="AA540" t="str">
        <f t="shared" si="162"/>
        <v/>
      </c>
    </row>
    <row r="541" spans="1:27" x14ac:dyDescent="0.2">
      <c r="A541" t="s">
        <v>61</v>
      </c>
      <c r="B541" t="s">
        <v>67</v>
      </c>
      <c r="C541" t="s">
        <v>1671</v>
      </c>
      <c r="D541" t="s">
        <v>10</v>
      </c>
      <c r="E541" t="s">
        <v>3</v>
      </c>
      <c r="F541" t="s">
        <v>1664</v>
      </c>
      <c r="G541" t="s">
        <v>1474</v>
      </c>
      <c r="H541" s="4" t="str">
        <f t="shared" si="146"/>
        <v/>
      </c>
      <c r="I541" s="4" t="str">
        <f>IF(RIGHT(B541,1)="M",IF(AND(H541=1,E541="RFS",D541=INDEX('Station Depth Averages'!$A$3:$B$84,MATCH(B541,'Station Depth Averages'!$A$3:$A$84,0),2)),1,""),IF(AND(H541=1,OR(D541="SYN",D541="SRF",D541="MID")),1,IF(AND(H541=1,OR(E542="FDn",E542="LDn")),1,IF(AND(H541=1,OR(E541="FDn",E541="LDn")),1,""))))</f>
        <v/>
      </c>
      <c r="J541" s="4" t="str">
        <f t="shared" si="147"/>
        <v/>
      </c>
      <c r="K541" s="4" t="str">
        <f t="shared" si="148"/>
        <v/>
      </c>
      <c r="L541" s="4" t="str">
        <f t="shared" si="149"/>
        <v/>
      </c>
      <c r="M541" s="4" t="str">
        <f t="shared" si="150"/>
        <v/>
      </c>
      <c r="N541" s="4" t="str">
        <f t="shared" si="151"/>
        <v/>
      </c>
      <c r="O541" s="4" t="str">
        <f t="shared" si="152"/>
        <v/>
      </c>
      <c r="P541" s="4" t="str">
        <f t="shared" si="153"/>
        <v/>
      </c>
      <c r="Q541" s="4" t="str">
        <f t="shared" si="154"/>
        <v/>
      </c>
      <c r="R541" s="4" t="str">
        <f t="shared" si="155"/>
        <v/>
      </c>
      <c r="S541" s="4" t="str">
        <f t="shared" si="156"/>
        <v/>
      </c>
      <c r="T541" s="4">
        <f t="shared" si="157"/>
        <v>1</v>
      </c>
      <c r="U541">
        <f>IF(VLOOKUP(C541,'QA Table'!$Y$5:$Y$20,1,TRUE)=C541,1,0)</f>
        <v>0</v>
      </c>
      <c r="V541" t="str">
        <f t="shared" si="158"/>
        <v/>
      </c>
      <c r="W541" t="str">
        <f t="shared" si="159"/>
        <v/>
      </c>
      <c r="X541" t="str">
        <f t="shared" si="160"/>
        <v/>
      </c>
      <c r="Y541">
        <f t="shared" si="161"/>
        <v>0</v>
      </c>
      <c r="AA541" t="str">
        <f t="shared" si="162"/>
        <v/>
      </c>
    </row>
    <row r="542" spans="1:27" x14ac:dyDescent="0.2">
      <c r="A542" t="s">
        <v>46</v>
      </c>
      <c r="B542" t="s">
        <v>68</v>
      </c>
      <c r="C542" t="s">
        <v>1672</v>
      </c>
      <c r="D542" t="s">
        <v>2</v>
      </c>
      <c r="E542" t="s">
        <v>3</v>
      </c>
      <c r="F542" t="s">
        <v>1673</v>
      </c>
      <c r="G542" t="s">
        <v>1674</v>
      </c>
      <c r="H542" s="4">
        <f t="shared" si="146"/>
        <v>1</v>
      </c>
      <c r="I542" s="4">
        <f>IF(RIGHT(B542,1)="M",IF(AND(H542=1,E542="RFS",D542=INDEX('Station Depth Averages'!$A$3:$B$84,MATCH(B542,'Station Depth Averages'!$A$3:$A$84,0),2)),1,""),IF(AND(H542=1,OR(D542="SYN",D542="SRF",D542="MID")),1,IF(AND(H542=1,OR(E543="FDn",E543="LDn")),1,IF(AND(H542=1,OR(E542="FDn",E542="LDn")),1,""))))</f>
        <v>1</v>
      </c>
      <c r="J542" s="4">
        <f t="shared" si="147"/>
        <v>1</v>
      </c>
      <c r="K542" s="4" t="str">
        <f t="shared" si="148"/>
        <v/>
      </c>
      <c r="L542" s="4" t="str">
        <f t="shared" si="149"/>
        <v/>
      </c>
      <c r="M542" s="4" t="str">
        <f t="shared" si="150"/>
        <v/>
      </c>
      <c r="N542" s="4" t="str">
        <f t="shared" si="151"/>
        <v/>
      </c>
      <c r="O542" s="4" t="str">
        <f t="shared" si="152"/>
        <v/>
      </c>
      <c r="P542" s="4" t="str">
        <f t="shared" si="153"/>
        <v/>
      </c>
      <c r="Q542" s="4" t="str">
        <f t="shared" si="154"/>
        <v/>
      </c>
      <c r="R542" s="4" t="str">
        <f t="shared" si="155"/>
        <v/>
      </c>
      <c r="S542" s="4" t="str">
        <f t="shared" si="156"/>
        <v/>
      </c>
      <c r="T542" s="4" t="str">
        <f t="shared" si="157"/>
        <v/>
      </c>
      <c r="U542">
        <f>IF(VLOOKUP(C542,'QA Table'!$Y$5:$Y$20,1,TRUE)=C542,1,0)</f>
        <v>0</v>
      </c>
      <c r="V542" t="str">
        <f t="shared" si="158"/>
        <v/>
      </c>
      <c r="W542" t="str">
        <f t="shared" si="159"/>
        <v/>
      </c>
      <c r="X542">
        <f t="shared" si="160"/>
        <v>4</v>
      </c>
      <c r="Y542">
        <f t="shared" si="161"/>
        <v>0</v>
      </c>
      <c r="AA542">
        <f t="shared" si="162"/>
        <v>1</v>
      </c>
    </row>
    <row r="543" spans="1:27" x14ac:dyDescent="0.2">
      <c r="A543" t="s">
        <v>46</v>
      </c>
      <c r="B543" t="s">
        <v>68</v>
      </c>
      <c r="C543" t="s">
        <v>1675</v>
      </c>
      <c r="D543" t="s">
        <v>1050</v>
      </c>
      <c r="E543" t="s">
        <v>3</v>
      </c>
      <c r="F543" t="s">
        <v>1673</v>
      </c>
      <c r="G543" t="s">
        <v>1674</v>
      </c>
      <c r="H543" s="4" t="str">
        <f t="shared" si="146"/>
        <v/>
      </c>
      <c r="I543" s="4" t="str">
        <f>IF(RIGHT(B543,1)="M",IF(AND(H543=1,E543="RFS",D543=INDEX('Station Depth Averages'!$A$3:$B$84,MATCH(B543,'Station Depth Averages'!$A$3:$A$84,0),2)),1,""),IF(AND(H543=1,OR(D543="SYN",D543="SRF",D543="MID")),1,IF(AND(H543=1,OR(E544="FDn",E544="LDn")),1,IF(AND(H543=1,OR(E543="FDn",E543="LDn")),1,""))))</f>
        <v/>
      </c>
      <c r="J543" s="4" t="str">
        <f t="shared" si="147"/>
        <v/>
      </c>
      <c r="K543" s="4" t="str">
        <f t="shared" si="148"/>
        <v/>
      </c>
      <c r="L543" s="4" t="str">
        <f t="shared" si="149"/>
        <v/>
      </c>
      <c r="M543" s="4" t="str">
        <f t="shared" si="150"/>
        <v/>
      </c>
      <c r="N543" s="4" t="str">
        <f t="shared" si="151"/>
        <v/>
      </c>
      <c r="O543" s="4" t="str">
        <f t="shared" si="152"/>
        <v/>
      </c>
      <c r="P543" s="4" t="str">
        <f t="shared" si="153"/>
        <v/>
      </c>
      <c r="Q543" s="4" t="str">
        <f t="shared" si="154"/>
        <v/>
      </c>
      <c r="R543" s="4" t="str">
        <f t="shared" si="155"/>
        <v/>
      </c>
      <c r="S543" s="4" t="str">
        <f t="shared" si="156"/>
        <v/>
      </c>
      <c r="T543" s="4" t="str">
        <f t="shared" si="157"/>
        <v/>
      </c>
      <c r="U543">
        <f>IF(VLOOKUP(C543,'QA Table'!$Y$5:$Y$20,1,TRUE)=C543,1,0)</f>
        <v>0</v>
      </c>
      <c r="V543" t="str">
        <f t="shared" si="158"/>
        <v/>
      </c>
      <c r="W543" t="str">
        <f t="shared" si="159"/>
        <v/>
      </c>
      <c r="X543" t="str">
        <f t="shared" si="160"/>
        <v/>
      </c>
      <c r="Y543">
        <f t="shared" si="161"/>
        <v>0</v>
      </c>
      <c r="AA543" t="str">
        <f t="shared" si="162"/>
        <v/>
      </c>
    </row>
    <row r="544" spans="1:27" x14ac:dyDescent="0.2">
      <c r="A544" t="s">
        <v>46</v>
      </c>
      <c r="B544" t="s">
        <v>68</v>
      </c>
      <c r="C544" t="s">
        <v>1676</v>
      </c>
      <c r="D544" t="s">
        <v>4</v>
      </c>
      <c r="E544" t="s">
        <v>3</v>
      </c>
      <c r="F544" t="s">
        <v>1673</v>
      </c>
      <c r="G544" t="s">
        <v>1674</v>
      </c>
      <c r="H544" s="4" t="str">
        <f t="shared" si="146"/>
        <v/>
      </c>
      <c r="I544" s="4" t="str">
        <f>IF(RIGHT(B544,1)="M",IF(AND(H544=1,E544="RFS",D544=INDEX('Station Depth Averages'!$A$3:$B$84,MATCH(B544,'Station Depth Averages'!$A$3:$A$84,0),2)),1,""),IF(AND(H544=1,OR(D544="SYN",D544="SRF",D544="MID")),1,IF(AND(H544=1,OR(E545="FDn",E545="LDn")),1,IF(AND(H544=1,OR(E544="FDn",E544="LDn")),1,""))))</f>
        <v/>
      </c>
      <c r="J544" s="4" t="str">
        <f t="shared" si="147"/>
        <v/>
      </c>
      <c r="K544" s="4" t="str">
        <f t="shared" si="148"/>
        <v/>
      </c>
      <c r="L544" s="4" t="str">
        <f t="shared" si="149"/>
        <v/>
      </c>
      <c r="M544" s="4" t="str">
        <f t="shared" si="150"/>
        <v/>
      </c>
      <c r="N544" s="4" t="str">
        <f t="shared" si="151"/>
        <v/>
      </c>
      <c r="O544" s="4" t="str">
        <f t="shared" si="152"/>
        <v/>
      </c>
      <c r="P544" s="4" t="str">
        <f t="shared" si="153"/>
        <v/>
      </c>
      <c r="Q544" s="4" t="str">
        <f t="shared" si="154"/>
        <v/>
      </c>
      <c r="R544" s="4" t="str">
        <f t="shared" si="155"/>
        <v/>
      </c>
      <c r="S544" s="4" t="str">
        <f t="shared" si="156"/>
        <v/>
      </c>
      <c r="T544" s="4" t="str">
        <f t="shared" si="157"/>
        <v/>
      </c>
      <c r="U544">
        <f>IF(VLOOKUP(C544,'QA Table'!$Y$5:$Y$20,1,TRUE)=C544,1,0)</f>
        <v>0</v>
      </c>
      <c r="V544" t="str">
        <f t="shared" si="158"/>
        <v/>
      </c>
      <c r="W544" t="str">
        <f t="shared" si="159"/>
        <v/>
      </c>
      <c r="X544" t="str">
        <f t="shared" si="160"/>
        <v/>
      </c>
      <c r="Y544">
        <f t="shared" si="161"/>
        <v>0</v>
      </c>
      <c r="AA544" t="str">
        <f t="shared" si="162"/>
        <v/>
      </c>
    </row>
    <row r="545" spans="1:27" x14ac:dyDescent="0.2">
      <c r="A545" t="s">
        <v>46</v>
      </c>
      <c r="B545" t="s">
        <v>68</v>
      </c>
      <c r="C545" t="s">
        <v>1677</v>
      </c>
      <c r="D545" t="s">
        <v>1051</v>
      </c>
      <c r="E545" t="s">
        <v>3</v>
      </c>
      <c r="F545" t="s">
        <v>1673</v>
      </c>
      <c r="G545" t="s">
        <v>1674</v>
      </c>
      <c r="H545" s="4" t="str">
        <f t="shared" si="146"/>
        <v/>
      </c>
      <c r="I545" s="4" t="str">
        <f>IF(RIGHT(B545,1)="M",IF(AND(H545=1,E545="RFS",D545=INDEX('Station Depth Averages'!$A$3:$B$84,MATCH(B545,'Station Depth Averages'!$A$3:$A$84,0),2)),1,""),IF(AND(H545=1,OR(D545="SYN",D545="SRF",D545="MID")),1,IF(AND(H545=1,OR(E546="FDn",E546="LDn")),1,IF(AND(H545=1,OR(E545="FDn",E545="LDn")),1,""))))</f>
        <v/>
      </c>
      <c r="J545" s="4" t="str">
        <f t="shared" si="147"/>
        <v/>
      </c>
      <c r="K545" s="4" t="str">
        <f t="shared" si="148"/>
        <v/>
      </c>
      <c r="L545" s="4" t="str">
        <f t="shared" si="149"/>
        <v/>
      </c>
      <c r="M545" s="4" t="str">
        <f t="shared" si="150"/>
        <v/>
      </c>
      <c r="N545" s="4" t="str">
        <f t="shared" si="151"/>
        <v/>
      </c>
      <c r="O545" s="4" t="str">
        <f t="shared" si="152"/>
        <v/>
      </c>
      <c r="P545" s="4" t="str">
        <f t="shared" si="153"/>
        <v/>
      </c>
      <c r="Q545" s="4" t="str">
        <f t="shared" si="154"/>
        <v/>
      </c>
      <c r="R545" s="4" t="str">
        <f t="shared" si="155"/>
        <v/>
      </c>
      <c r="S545" s="4" t="str">
        <f t="shared" si="156"/>
        <v/>
      </c>
      <c r="T545" s="4" t="str">
        <f t="shared" si="157"/>
        <v/>
      </c>
      <c r="U545">
        <f>IF(VLOOKUP(C545,'QA Table'!$Y$5:$Y$20,1,TRUE)=C545,1,0)</f>
        <v>0</v>
      </c>
      <c r="V545" t="str">
        <f t="shared" si="158"/>
        <v/>
      </c>
      <c r="W545" t="str">
        <f t="shared" si="159"/>
        <v/>
      </c>
      <c r="X545" t="str">
        <f t="shared" si="160"/>
        <v/>
      </c>
      <c r="Y545">
        <f t="shared" si="161"/>
        <v>0</v>
      </c>
      <c r="AA545" t="str">
        <f t="shared" si="162"/>
        <v/>
      </c>
    </row>
    <row r="546" spans="1:27" x14ac:dyDescent="0.2">
      <c r="A546" t="s">
        <v>46</v>
      </c>
      <c r="B546" t="s">
        <v>68</v>
      </c>
      <c r="C546" t="s">
        <v>1678</v>
      </c>
      <c r="D546" t="s">
        <v>119</v>
      </c>
      <c r="E546" t="s">
        <v>3</v>
      </c>
      <c r="F546" t="s">
        <v>1673</v>
      </c>
      <c r="G546" t="s">
        <v>1674</v>
      </c>
      <c r="H546" s="4">
        <f t="shared" si="146"/>
        <v>1</v>
      </c>
      <c r="I546" s="4">
        <f>IF(RIGHT(B546,1)="M",IF(AND(H546=1,E546="RFS",D546=INDEX('Station Depth Averages'!$A$3:$B$84,MATCH(B546,'Station Depth Averages'!$A$3:$A$84,0),2)),1,""),IF(AND(H546=1,OR(D546="SYN",D546="SRF",D546="MID")),1,IF(AND(H546=1,OR(E547="FDn",E547="LDn")),1,IF(AND(H546=1,OR(E546="FDn",E546="LDn")),1,""))))</f>
        <v>1</v>
      </c>
      <c r="J546" s="4">
        <f t="shared" si="147"/>
        <v>1</v>
      </c>
      <c r="K546" s="4" t="str">
        <f t="shared" si="148"/>
        <v/>
      </c>
      <c r="L546" s="4" t="str">
        <f t="shared" si="149"/>
        <v/>
      </c>
      <c r="M546" s="4" t="str">
        <f t="shared" si="150"/>
        <v/>
      </c>
      <c r="N546" s="4" t="str">
        <f t="shared" si="151"/>
        <v/>
      </c>
      <c r="O546" s="4" t="str">
        <f t="shared" si="152"/>
        <v/>
      </c>
      <c r="P546" s="4" t="str">
        <f t="shared" si="153"/>
        <v/>
      </c>
      <c r="Q546" s="4" t="str">
        <f t="shared" si="154"/>
        <v/>
      </c>
      <c r="R546" s="4" t="str">
        <f t="shared" si="155"/>
        <v/>
      </c>
      <c r="S546" s="4" t="str">
        <f t="shared" si="156"/>
        <v/>
      </c>
      <c r="T546" s="4" t="str">
        <f t="shared" si="157"/>
        <v/>
      </c>
      <c r="U546">
        <f>IF(VLOOKUP(C546,'QA Table'!$Y$5:$Y$20,1,TRUE)=C546,1,0)</f>
        <v>0</v>
      </c>
      <c r="V546" t="str">
        <f t="shared" si="158"/>
        <v/>
      </c>
      <c r="W546" t="str">
        <f t="shared" si="159"/>
        <v/>
      </c>
      <c r="X546">
        <f t="shared" si="160"/>
        <v>4</v>
      </c>
      <c r="Y546">
        <f t="shared" si="161"/>
        <v>0</v>
      </c>
      <c r="AA546">
        <f t="shared" si="162"/>
        <v>1</v>
      </c>
    </row>
    <row r="547" spans="1:27" x14ac:dyDescent="0.2">
      <c r="A547" t="s">
        <v>46</v>
      </c>
      <c r="B547" t="s">
        <v>68</v>
      </c>
      <c r="C547" t="s">
        <v>1110</v>
      </c>
      <c r="D547" t="s">
        <v>5</v>
      </c>
      <c r="E547" t="s">
        <v>3</v>
      </c>
      <c r="F547" t="s">
        <v>1673</v>
      </c>
      <c r="G547" t="s">
        <v>1674</v>
      </c>
      <c r="H547" s="4">
        <f t="shared" si="146"/>
        <v>1</v>
      </c>
      <c r="I547" s="4">
        <f>IF(RIGHT(B547,1)="M",IF(AND(H547=1,E547="RFS",D547=INDEX('Station Depth Averages'!$A$3:$B$84,MATCH(B547,'Station Depth Averages'!$A$3:$A$84,0),2)),1,""),IF(AND(H547=1,OR(D547="SYN",D547="SRF",D547="MID")),1,IF(AND(H547=1,OR(E548="FDn",E548="LDn")),1,IF(AND(H547=1,OR(E547="FDn",E547="LDn")),1,""))))</f>
        <v>1</v>
      </c>
      <c r="J547" s="4">
        <f t="shared" si="147"/>
        <v>1</v>
      </c>
      <c r="K547" s="4" t="str">
        <f t="shared" si="148"/>
        <v/>
      </c>
      <c r="L547" s="4" t="str">
        <f t="shared" si="149"/>
        <v/>
      </c>
      <c r="M547" s="4" t="str">
        <f t="shared" si="150"/>
        <v/>
      </c>
      <c r="N547" s="4" t="str">
        <f t="shared" si="151"/>
        <v/>
      </c>
      <c r="O547" s="4" t="str">
        <f t="shared" si="152"/>
        <v/>
      </c>
      <c r="P547" s="4" t="str">
        <f t="shared" si="153"/>
        <v/>
      </c>
      <c r="Q547" s="4" t="str">
        <f t="shared" si="154"/>
        <v/>
      </c>
      <c r="R547" s="4" t="str">
        <f t="shared" si="155"/>
        <v/>
      </c>
      <c r="S547" s="4" t="str">
        <f t="shared" si="156"/>
        <v/>
      </c>
      <c r="T547" s="4" t="str">
        <f t="shared" si="157"/>
        <v/>
      </c>
      <c r="U547">
        <f>IF(VLOOKUP(C547,'QA Table'!$Y$5:$Y$20,1,TRUE)=C547,1,0)</f>
        <v>0</v>
      </c>
      <c r="V547" t="str">
        <f t="shared" si="158"/>
        <v/>
      </c>
      <c r="W547" t="str">
        <f t="shared" si="159"/>
        <v/>
      </c>
      <c r="X547">
        <f t="shared" si="160"/>
        <v>4</v>
      </c>
      <c r="Y547">
        <f t="shared" si="161"/>
        <v>0</v>
      </c>
      <c r="AA547">
        <f t="shared" si="162"/>
        <v>1</v>
      </c>
    </row>
    <row r="548" spans="1:27" x14ac:dyDescent="0.2">
      <c r="A548" t="s">
        <v>46</v>
      </c>
      <c r="B548" t="s">
        <v>68</v>
      </c>
      <c r="C548" t="s">
        <v>1679</v>
      </c>
      <c r="D548" t="s">
        <v>5</v>
      </c>
      <c r="E548" t="s">
        <v>12</v>
      </c>
      <c r="F548" t="s">
        <v>1673</v>
      </c>
      <c r="G548" t="s">
        <v>1674</v>
      </c>
      <c r="H548" s="4">
        <f t="shared" si="146"/>
        <v>1</v>
      </c>
      <c r="I548" s="4">
        <f>IF(RIGHT(B548,1)="M",IF(AND(H548=1,E548="RFS",D548=INDEX('Station Depth Averages'!$A$3:$B$84,MATCH(B548,'Station Depth Averages'!$A$3:$A$84,0),2)),1,""),IF(AND(H548=1,OR(D548="SYN",D548="SRF",D548="MID")),1,IF(AND(H548=1,OR(E549="FDn",E549="LDn")),1,IF(AND(H548=1,OR(E548="FDn",E548="LDn")),1,""))))</f>
        <v>1</v>
      </c>
      <c r="J548" s="4" t="str">
        <f t="shared" si="147"/>
        <v/>
      </c>
      <c r="K548" s="4" t="str">
        <f t="shared" si="148"/>
        <v/>
      </c>
      <c r="L548" s="4" t="str">
        <f t="shared" si="149"/>
        <v/>
      </c>
      <c r="M548" s="4" t="str">
        <f t="shared" si="150"/>
        <v/>
      </c>
      <c r="N548" s="4" t="str">
        <f t="shared" si="151"/>
        <v/>
      </c>
      <c r="O548" s="4" t="str">
        <f t="shared" si="152"/>
        <v/>
      </c>
      <c r="P548" s="4" t="str">
        <f t="shared" si="153"/>
        <v/>
      </c>
      <c r="Q548" s="4" t="str">
        <f t="shared" si="154"/>
        <v/>
      </c>
      <c r="R548" s="4" t="str">
        <f t="shared" si="155"/>
        <v/>
      </c>
      <c r="S548" s="4" t="str">
        <f t="shared" si="156"/>
        <v/>
      </c>
      <c r="T548" s="4" t="str">
        <f t="shared" si="157"/>
        <v/>
      </c>
      <c r="U548">
        <f>IF(VLOOKUP(C548,'QA Table'!$Y$5:$Y$20,1,TRUE)=C548,1,0)</f>
        <v>0</v>
      </c>
      <c r="V548" t="str">
        <f t="shared" si="158"/>
        <v/>
      </c>
      <c r="W548" t="str">
        <f t="shared" si="159"/>
        <v/>
      </c>
      <c r="X548">
        <f t="shared" si="160"/>
        <v>4</v>
      </c>
      <c r="Y548">
        <f t="shared" si="161"/>
        <v>0</v>
      </c>
      <c r="AA548">
        <f t="shared" si="162"/>
        <v>1</v>
      </c>
    </row>
    <row r="549" spans="1:27" x14ac:dyDescent="0.2">
      <c r="A549" t="s">
        <v>46</v>
      </c>
      <c r="B549" t="s">
        <v>68</v>
      </c>
      <c r="C549" t="s">
        <v>1680</v>
      </c>
      <c r="D549" t="s">
        <v>6</v>
      </c>
      <c r="E549" t="s">
        <v>3</v>
      </c>
      <c r="F549" t="s">
        <v>1673</v>
      </c>
      <c r="G549" t="s">
        <v>1674</v>
      </c>
      <c r="H549" s="4">
        <f t="shared" si="146"/>
        <v>1</v>
      </c>
      <c r="I549" s="4" t="str">
        <f>IF(RIGHT(B549,1)="M",IF(AND(H549=1,E549="RFS",D549=INDEX('Station Depth Averages'!$A$3:$B$84,MATCH(B549,'Station Depth Averages'!$A$3:$A$84,0),2)),1,""),IF(AND(H549=1,OR(D549="SYN",D549="SRF",D549="MID")),1,IF(AND(H549=1,OR(E550="FDn",E550="LDn")),1,IF(AND(H549=1,OR(E549="FDn",E549="LDn")),1,""))))</f>
        <v/>
      </c>
      <c r="J549" s="4">
        <f t="shared" si="147"/>
        <v>1</v>
      </c>
      <c r="K549" s="4" t="str">
        <f t="shared" si="148"/>
        <v/>
      </c>
      <c r="L549" s="4" t="str">
        <f t="shared" si="149"/>
        <v/>
      </c>
      <c r="M549" s="4" t="str">
        <f t="shared" si="150"/>
        <v/>
      </c>
      <c r="N549" s="4" t="str">
        <f t="shared" si="151"/>
        <v/>
      </c>
      <c r="O549" s="4" t="str">
        <f t="shared" si="152"/>
        <v/>
      </c>
      <c r="P549" s="4" t="str">
        <f t="shared" si="153"/>
        <v/>
      </c>
      <c r="Q549" s="4" t="str">
        <f t="shared" si="154"/>
        <v/>
      </c>
      <c r="R549" s="4" t="str">
        <f t="shared" si="155"/>
        <v/>
      </c>
      <c r="S549" s="4" t="str">
        <f t="shared" si="156"/>
        <v/>
      </c>
      <c r="T549" s="4" t="str">
        <f t="shared" si="157"/>
        <v/>
      </c>
      <c r="U549">
        <f>IF(VLOOKUP(C549,'QA Table'!$Y$5:$Y$20,1,TRUE)=C549,1,0)</f>
        <v>0</v>
      </c>
      <c r="V549" t="str">
        <f t="shared" si="158"/>
        <v/>
      </c>
      <c r="W549" t="str">
        <f t="shared" si="159"/>
        <v/>
      </c>
      <c r="X549">
        <f t="shared" si="160"/>
        <v>4</v>
      </c>
      <c r="Y549">
        <f t="shared" si="161"/>
        <v>0</v>
      </c>
      <c r="AA549">
        <f t="shared" si="162"/>
        <v>1</v>
      </c>
    </row>
    <row r="550" spans="1:27" x14ac:dyDescent="0.2">
      <c r="A550" t="s">
        <v>46</v>
      </c>
      <c r="B550" t="s">
        <v>68</v>
      </c>
      <c r="C550" t="s">
        <v>1681</v>
      </c>
      <c r="D550" t="s">
        <v>8</v>
      </c>
      <c r="E550" t="s">
        <v>3</v>
      </c>
      <c r="F550" t="s">
        <v>1673</v>
      </c>
      <c r="G550" t="s">
        <v>1674</v>
      </c>
      <c r="H550" s="4">
        <f t="shared" si="146"/>
        <v>1</v>
      </c>
      <c r="I550" s="4" t="str">
        <f>IF(RIGHT(B550,1)="M",IF(AND(H550=1,E550="RFS",D550=INDEX('Station Depth Averages'!$A$3:$B$84,MATCH(B550,'Station Depth Averages'!$A$3:$A$84,0),2)),1,""),IF(AND(H550=1,OR(D550="SYN",D550="SRF",D550="MID")),1,IF(AND(H550=1,OR(E551="FDn",E551="LDn")),1,IF(AND(H550=1,OR(E550="FDn",E550="LDn")),1,""))))</f>
        <v/>
      </c>
      <c r="J550" s="4" t="str">
        <f t="shared" si="147"/>
        <v/>
      </c>
      <c r="K550" s="4">
        <f t="shared" si="148"/>
        <v>1</v>
      </c>
      <c r="L550" s="4" t="str">
        <f t="shared" si="149"/>
        <v/>
      </c>
      <c r="M550" s="4" t="str">
        <f t="shared" si="150"/>
        <v/>
      </c>
      <c r="N550" s="4" t="str">
        <f t="shared" si="151"/>
        <v/>
      </c>
      <c r="O550" s="4" t="str">
        <f t="shared" si="152"/>
        <v/>
      </c>
      <c r="P550" s="4" t="str">
        <f t="shared" si="153"/>
        <v/>
      </c>
      <c r="Q550" s="4">
        <f t="shared" si="154"/>
        <v>2</v>
      </c>
      <c r="R550" s="4" t="str">
        <f t="shared" si="155"/>
        <v/>
      </c>
      <c r="S550" s="4" t="str">
        <f t="shared" si="156"/>
        <v/>
      </c>
      <c r="T550" s="4" t="str">
        <f t="shared" si="157"/>
        <v/>
      </c>
      <c r="U550">
        <f>IF(VLOOKUP(C550,'QA Table'!$Y$5:$Y$20,1,TRUE)=C550,1,0)</f>
        <v>0</v>
      </c>
      <c r="V550" t="str">
        <f t="shared" si="158"/>
        <v/>
      </c>
      <c r="W550" t="str">
        <f t="shared" si="159"/>
        <v/>
      </c>
      <c r="X550">
        <f t="shared" si="160"/>
        <v>4</v>
      </c>
      <c r="Y550">
        <f t="shared" si="161"/>
        <v>0</v>
      </c>
      <c r="AA550">
        <f t="shared" si="162"/>
        <v>1</v>
      </c>
    </row>
    <row r="551" spans="1:27" x14ac:dyDescent="0.2">
      <c r="A551" t="s">
        <v>46</v>
      </c>
      <c r="B551" t="s">
        <v>68</v>
      </c>
      <c r="C551" t="s">
        <v>1682</v>
      </c>
      <c r="D551" t="s">
        <v>9</v>
      </c>
      <c r="E551" t="s">
        <v>3</v>
      </c>
      <c r="F551" t="s">
        <v>1673</v>
      </c>
      <c r="G551" t="s">
        <v>1674</v>
      </c>
      <c r="H551" s="4" t="str">
        <f t="shared" si="146"/>
        <v/>
      </c>
      <c r="I551" s="4" t="str">
        <f>IF(RIGHT(B551,1)="M",IF(AND(H551=1,E551="RFS",D551=INDEX('Station Depth Averages'!$A$3:$B$84,MATCH(B551,'Station Depth Averages'!$A$3:$A$84,0),2)),1,""),IF(AND(H551=1,OR(D551="SYN",D551="SRF",D551="MID")),1,IF(AND(H551=1,OR(E552="FDn",E552="LDn")),1,IF(AND(H551=1,OR(E551="FDn",E551="LDn")),1,""))))</f>
        <v/>
      </c>
      <c r="J551" s="4" t="str">
        <f t="shared" si="147"/>
        <v/>
      </c>
      <c r="K551" s="4" t="str">
        <f t="shared" si="148"/>
        <v/>
      </c>
      <c r="L551" s="4" t="str">
        <f t="shared" si="149"/>
        <v/>
      </c>
      <c r="M551" s="4" t="str">
        <f t="shared" si="150"/>
        <v/>
      </c>
      <c r="N551" s="4" t="str">
        <f t="shared" si="151"/>
        <v/>
      </c>
      <c r="O551" s="4" t="str">
        <f t="shared" si="152"/>
        <v/>
      </c>
      <c r="P551" s="4" t="str">
        <f t="shared" si="153"/>
        <v/>
      </c>
      <c r="Q551" s="4" t="str">
        <f t="shared" si="154"/>
        <v/>
      </c>
      <c r="R551" s="4" t="str">
        <f t="shared" si="155"/>
        <v/>
      </c>
      <c r="S551" s="4" t="str">
        <f t="shared" si="156"/>
        <v/>
      </c>
      <c r="T551" s="4">
        <f t="shared" si="157"/>
        <v>1</v>
      </c>
      <c r="U551">
        <f>IF(VLOOKUP(C551,'QA Table'!$Y$5:$Y$20,1,TRUE)=C551,1,0)</f>
        <v>0</v>
      </c>
      <c r="V551" t="str">
        <f t="shared" si="158"/>
        <v/>
      </c>
      <c r="W551" t="str">
        <f t="shared" si="159"/>
        <v/>
      </c>
      <c r="X551" t="str">
        <f t="shared" si="160"/>
        <v/>
      </c>
      <c r="Y551">
        <f t="shared" si="161"/>
        <v>0</v>
      </c>
      <c r="AA551" t="str">
        <f t="shared" si="162"/>
        <v/>
      </c>
    </row>
    <row r="552" spans="1:27" x14ac:dyDescent="0.2">
      <c r="A552" t="s">
        <v>46</v>
      </c>
      <c r="B552" t="s">
        <v>68</v>
      </c>
      <c r="C552" t="s">
        <v>1683</v>
      </c>
      <c r="D552" t="s">
        <v>10</v>
      </c>
      <c r="E552" t="s">
        <v>3</v>
      </c>
      <c r="F552" t="s">
        <v>1673</v>
      </c>
      <c r="G552" t="s">
        <v>1674</v>
      </c>
      <c r="H552" s="4" t="str">
        <f t="shared" si="146"/>
        <v/>
      </c>
      <c r="I552" s="4" t="str">
        <f>IF(RIGHT(B552,1)="M",IF(AND(H552=1,E552="RFS",D552=INDEX('Station Depth Averages'!$A$3:$B$84,MATCH(B552,'Station Depth Averages'!$A$3:$A$84,0),2)),1,""),IF(AND(H552=1,OR(D552="SYN",D552="SRF",D552="MID")),1,IF(AND(H552=1,OR(E553="FDn",E553="LDn")),1,IF(AND(H552=1,OR(E552="FDn",E552="LDn")),1,""))))</f>
        <v/>
      </c>
      <c r="J552" s="4" t="str">
        <f t="shared" si="147"/>
        <v/>
      </c>
      <c r="K552" s="4" t="str">
        <f t="shared" si="148"/>
        <v/>
      </c>
      <c r="L552" s="4" t="str">
        <f t="shared" si="149"/>
        <v/>
      </c>
      <c r="M552" s="4" t="str">
        <f t="shared" si="150"/>
        <v/>
      </c>
      <c r="N552" s="4" t="str">
        <f t="shared" si="151"/>
        <v/>
      </c>
      <c r="O552" s="4" t="str">
        <f t="shared" si="152"/>
        <v/>
      </c>
      <c r="P552" s="4" t="str">
        <f t="shared" si="153"/>
        <v/>
      </c>
      <c r="Q552" s="4" t="str">
        <f t="shared" si="154"/>
        <v/>
      </c>
      <c r="R552" s="4" t="str">
        <f t="shared" si="155"/>
        <v/>
      </c>
      <c r="S552" s="4" t="str">
        <f t="shared" si="156"/>
        <v/>
      </c>
      <c r="T552" s="4">
        <f t="shared" si="157"/>
        <v>1</v>
      </c>
      <c r="U552">
        <f>IF(VLOOKUP(C552,'QA Table'!$Y$5:$Y$20,1,TRUE)=C552,1,0)</f>
        <v>0</v>
      </c>
      <c r="V552" t="str">
        <f t="shared" si="158"/>
        <v/>
      </c>
      <c r="W552" t="str">
        <f t="shared" si="159"/>
        <v/>
      </c>
      <c r="X552" t="str">
        <f t="shared" si="160"/>
        <v/>
      </c>
      <c r="Y552">
        <f t="shared" si="161"/>
        <v>0</v>
      </c>
      <c r="AA552" t="str">
        <f t="shared" si="162"/>
        <v/>
      </c>
    </row>
    <row r="553" spans="1:27" x14ac:dyDescent="0.2">
      <c r="A553" t="s">
        <v>46</v>
      </c>
      <c r="B553" t="s">
        <v>68</v>
      </c>
      <c r="C553" t="s">
        <v>1684</v>
      </c>
      <c r="D553" t="s">
        <v>1034</v>
      </c>
      <c r="E553" t="s">
        <v>3</v>
      </c>
      <c r="F553" t="s">
        <v>1673</v>
      </c>
      <c r="G553" t="s">
        <v>1674</v>
      </c>
      <c r="H553" s="4" t="str">
        <f t="shared" si="146"/>
        <v/>
      </c>
      <c r="I553" s="4" t="str">
        <f>IF(RIGHT(B553,1)="M",IF(AND(H553=1,E553="RFS",D553=INDEX('Station Depth Averages'!$A$3:$B$84,MATCH(B553,'Station Depth Averages'!$A$3:$A$84,0),2)),1,""),IF(AND(H553=1,OR(D553="SYN",D553="SRF",D553="MID")),1,IF(AND(H553=1,OR(E554="FDn",E554="LDn")),1,IF(AND(H553=1,OR(E553="FDn",E553="LDn")),1,""))))</f>
        <v/>
      </c>
      <c r="J553" s="4" t="str">
        <f t="shared" si="147"/>
        <v/>
      </c>
      <c r="K553" s="4" t="str">
        <f t="shared" si="148"/>
        <v/>
      </c>
      <c r="L553" s="4" t="str">
        <f t="shared" si="149"/>
        <v/>
      </c>
      <c r="M553" s="4" t="str">
        <f t="shared" si="150"/>
        <v/>
      </c>
      <c r="N553" s="4" t="str">
        <f t="shared" si="151"/>
        <v/>
      </c>
      <c r="O553" s="4" t="str">
        <f t="shared" si="152"/>
        <v/>
      </c>
      <c r="P553" s="4" t="str">
        <f t="shared" si="153"/>
        <v/>
      </c>
      <c r="Q553" s="4" t="str">
        <f t="shared" si="154"/>
        <v/>
      </c>
      <c r="R553" s="4" t="str">
        <f t="shared" si="155"/>
        <v/>
      </c>
      <c r="S553" s="4">
        <f t="shared" si="156"/>
        <v>1</v>
      </c>
      <c r="T553" s="4" t="str">
        <f t="shared" si="157"/>
        <v/>
      </c>
      <c r="U553">
        <f>IF(VLOOKUP(C553,'QA Table'!$Y$5:$Y$20,1,TRUE)=C553,1,0)</f>
        <v>0</v>
      </c>
      <c r="V553" t="str">
        <f t="shared" si="158"/>
        <v/>
      </c>
      <c r="W553" t="str">
        <f t="shared" si="159"/>
        <v/>
      </c>
      <c r="X553" t="str">
        <f t="shared" si="160"/>
        <v/>
      </c>
      <c r="Y553">
        <f t="shared" si="161"/>
        <v>0</v>
      </c>
      <c r="AA553" t="str">
        <f t="shared" si="162"/>
        <v/>
      </c>
    </row>
    <row r="554" spans="1:27" x14ac:dyDescent="0.2">
      <c r="A554" t="s">
        <v>46</v>
      </c>
      <c r="B554" t="s">
        <v>68</v>
      </c>
      <c r="C554" t="s">
        <v>1685</v>
      </c>
      <c r="D554" t="s">
        <v>1034</v>
      </c>
      <c r="E554" t="s">
        <v>19</v>
      </c>
      <c r="F554" t="s">
        <v>1673</v>
      </c>
      <c r="G554" t="s">
        <v>1674</v>
      </c>
      <c r="H554" s="4" t="str">
        <f t="shared" si="146"/>
        <v/>
      </c>
      <c r="I554" s="4" t="str">
        <f>IF(RIGHT(B554,1)="M",IF(AND(H554=1,E554="RFS",D554=INDEX('Station Depth Averages'!$A$3:$B$84,MATCH(B554,'Station Depth Averages'!$A$3:$A$84,0),2)),1,""),IF(AND(H554=1,OR(D554="SYN",D554="SRF",D554="MID")),1,IF(AND(H554=1,OR(E555="FDn",E555="LDn")),1,IF(AND(H554=1,OR(E554="FDn",E554="LDn")),1,""))))</f>
        <v/>
      </c>
      <c r="J554" s="4" t="str">
        <f t="shared" si="147"/>
        <v/>
      </c>
      <c r="K554" s="4" t="str">
        <f t="shared" si="148"/>
        <v/>
      </c>
      <c r="L554" s="4" t="str">
        <f t="shared" si="149"/>
        <v/>
      </c>
      <c r="M554" s="4" t="str">
        <f t="shared" si="150"/>
        <v/>
      </c>
      <c r="N554" s="4" t="str">
        <f t="shared" si="151"/>
        <v/>
      </c>
      <c r="O554" s="4" t="str">
        <f t="shared" si="152"/>
        <v/>
      </c>
      <c r="P554" s="4" t="str">
        <f t="shared" si="153"/>
        <v/>
      </c>
      <c r="Q554" s="4" t="str">
        <f t="shared" si="154"/>
        <v/>
      </c>
      <c r="R554" s="4" t="str">
        <f t="shared" si="155"/>
        <v/>
      </c>
      <c r="S554" s="4">
        <f t="shared" si="156"/>
        <v>1</v>
      </c>
      <c r="T554" s="4" t="str">
        <f t="shared" si="157"/>
        <v/>
      </c>
      <c r="U554">
        <f>IF(VLOOKUP(C554,'QA Table'!$Y$5:$Y$20,1,TRUE)=C554,1,0)</f>
        <v>0</v>
      </c>
      <c r="V554" t="str">
        <f t="shared" si="158"/>
        <v/>
      </c>
      <c r="W554" t="str">
        <f t="shared" si="159"/>
        <v/>
      </c>
      <c r="X554" t="str">
        <f t="shared" si="160"/>
        <v/>
      </c>
      <c r="Y554">
        <f t="shared" si="161"/>
        <v>0</v>
      </c>
      <c r="AA554" t="str">
        <f t="shared" si="162"/>
        <v/>
      </c>
    </row>
    <row r="555" spans="1:27" x14ac:dyDescent="0.2">
      <c r="A555" t="s">
        <v>46</v>
      </c>
      <c r="B555" t="s">
        <v>69</v>
      </c>
      <c r="C555" t="s">
        <v>1111</v>
      </c>
      <c r="D555" t="s">
        <v>2</v>
      </c>
      <c r="E555" t="s">
        <v>3</v>
      </c>
      <c r="F555" t="s">
        <v>1686</v>
      </c>
      <c r="G555" t="s">
        <v>1674</v>
      </c>
      <c r="H555" s="4">
        <f t="shared" si="146"/>
        <v>1</v>
      </c>
      <c r="I555" s="4" t="str">
        <f>IF(RIGHT(B555,1)="M",IF(AND(H555=1,E555="RFS",D555=INDEX('Station Depth Averages'!$A$3:$B$84,MATCH(B555,'Station Depth Averages'!$A$3:$A$84,0),2)),1,""),IF(AND(H555=1,OR(D555="SYN",D555="SRF",D555="MID")),1,IF(AND(H555=1,OR(E556="FDn",E556="LDn")),1,IF(AND(H555=1,OR(E555="FDn",E555="LDn")),1,""))))</f>
        <v/>
      </c>
      <c r="J555" s="4">
        <f t="shared" si="147"/>
        <v>1</v>
      </c>
      <c r="K555" s="4" t="str">
        <f t="shared" si="148"/>
        <v/>
      </c>
      <c r="L555" s="4" t="str">
        <f t="shared" si="149"/>
        <v/>
      </c>
      <c r="M555" s="4" t="str">
        <f t="shared" si="150"/>
        <v/>
      </c>
      <c r="N555" s="4" t="str">
        <f t="shared" si="151"/>
        <v/>
      </c>
      <c r="O555" s="4" t="str">
        <f t="shared" si="152"/>
        <v/>
      </c>
      <c r="P555" s="4" t="str">
        <f t="shared" si="153"/>
        <v/>
      </c>
      <c r="Q555" s="4" t="str">
        <f t="shared" si="154"/>
        <v/>
      </c>
      <c r="R555" s="4" t="str">
        <f t="shared" si="155"/>
        <v/>
      </c>
      <c r="S555" s="4" t="str">
        <f t="shared" si="156"/>
        <v/>
      </c>
      <c r="T555" s="4" t="str">
        <f t="shared" si="157"/>
        <v/>
      </c>
      <c r="U555">
        <f>IF(VLOOKUP(C555,'QA Table'!$Y$5:$Y$20,1,TRUE)=C555,1,0)</f>
        <v>0</v>
      </c>
      <c r="V555" t="str">
        <f t="shared" si="158"/>
        <v/>
      </c>
      <c r="W555" t="str">
        <f t="shared" si="159"/>
        <v/>
      </c>
      <c r="X555">
        <f t="shared" si="160"/>
        <v>4</v>
      </c>
      <c r="Y555">
        <f t="shared" si="161"/>
        <v>0</v>
      </c>
      <c r="AA555">
        <f t="shared" si="162"/>
        <v>1</v>
      </c>
    </row>
    <row r="556" spans="1:27" x14ac:dyDescent="0.2">
      <c r="A556" t="s">
        <v>46</v>
      </c>
      <c r="B556" t="s">
        <v>69</v>
      </c>
      <c r="C556" t="s">
        <v>1687</v>
      </c>
      <c r="D556" t="s">
        <v>2</v>
      </c>
      <c r="E556" t="s">
        <v>7</v>
      </c>
      <c r="F556" t="s">
        <v>1686</v>
      </c>
      <c r="G556" t="s">
        <v>1674</v>
      </c>
      <c r="H556" s="4">
        <f t="shared" si="146"/>
        <v>1</v>
      </c>
      <c r="I556" s="4" t="str">
        <f>IF(RIGHT(B556,1)="M",IF(AND(H556=1,E556="RFS",D556=INDEX('Station Depth Averages'!$A$3:$B$84,MATCH(B556,'Station Depth Averages'!$A$3:$A$84,0),2)),1,""),IF(AND(H556=1,OR(D556="SYN",D556="SRF",D556="MID")),1,IF(AND(H556=1,OR(E557="FDn",E557="LDn")),1,IF(AND(H556=1,OR(E556="FDn",E556="LDn")),1,""))))</f>
        <v/>
      </c>
      <c r="J556" s="4">
        <f t="shared" si="147"/>
        <v>1</v>
      </c>
      <c r="K556" s="4" t="str">
        <f t="shared" si="148"/>
        <v/>
      </c>
      <c r="L556" s="4" t="str">
        <f t="shared" si="149"/>
        <v/>
      </c>
      <c r="M556" s="4" t="str">
        <f t="shared" si="150"/>
        <v/>
      </c>
      <c r="N556" s="4" t="str">
        <f t="shared" si="151"/>
        <v/>
      </c>
      <c r="O556" s="4" t="str">
        <f t="shared" si="152"/>
        <v/>
      </c>
      <c r="P556" s="4" t="str">
        <f t="shared" si="153"/>
        <v/>
      </c>
      <c r="Q556" s="4" t="str">
        <f t="shared" si="154"/>
        <v/>
      </c>
      <c r="R556" s="4" t="str">
        <f t="shared" si="155"/>
        <v/>
      </c>
      <c r="S556" s="4" t="str">
        <f t="shared" si="156"/>
        <v/>
      </c>
      <c r="T556" s="4" t="str">
        <f t="shared" si="157"/>
        <v/>
      </c>
      <c r="U556">
        <f>IF(VLOOKUP(C556,'QA Table'!$Y$5:$Y$20,1,TRUE)=C556,1,0)</f>
        <v>0</v>
      </c>
      <c r="V556" t="str">
        <f t="shared" si="158"/>
        <v/>
      </c>
      <c r="W556" t="str">
        <f t="shared" si="159"/>
        <v/>
      </c>
      <c r="X556">
        <f t="shared" si="160"/>
        <v>4</v>
      </c>
      <c r="Y556">
        <f t="shared" si="161"/>
        <v>0</v>
      </c>
      <c r="AA556">
        <f t="shared" si="162"/>
        <v>1</v>
      </c>
    </row>
    <row r="557" spans="1:27" x14ac:dyDescent="0.2">
      <c r="A557" t="s">
        <v>46</v>
      </c>
      <c r="B557" t="s">
        <v>69</v>
      </c>
      <c r="C557" t="s">
        <v>1688</v>
      </c>
      <c r="D557" t="s">
        <v>1050</v>
      </c>
      <c r="E557" t="s">
        <v>3</v>
      </c>
      <c r="F557" t="s">
        <v>1686</v>
      </c>
      <c r="G557" t="s">
        <v>1674</v>
      </c>
      <c r="H557" s="4">
        <f t="shared" si="146"/>
        <v>1</v>
      </c>
      <c r="I557" s="4" t="str">
        <f>IF(RIGHT(B557,1)="M",IF(AND(H557=1,E557="RFS",D557=INDEX('Station Depth Averages'!$A$3:$B$84,MATCH(B557,'Station Depth Averages'!$A$3:$A$84,0),2)),1,""),IF(AND(H557=1,OR(D557="SYN",D557="SRF",D557="MID")),1,IF(AND(H557=1,OR(E558="FDn",E558="LDn")),1,IF(AND(H557=1,OR(E557="FDn",E557="LDn")),1,""))))</f>
        <v/>
      </c>
      <c r="J557" s="4">
        <f t="shared" si="147"/>
        <v>1</v>
      </c>
      <c r="K557" s="4" t="str">
        <f t="shared" si="148"/>
        <v/>
      </c>
      <c r="L557" s="4" t="str">
        <f t="shared" si="149"/>
        <v/>
      </c>
      <c r="M557" s="4" t="str">
        <f t="shared" si="150"/>
        <v/>
      </c>
      <c r="N557" s="4" t="str">
        <f t="shared" si="151"/>
        <v/>
      </c>
      <c r="O557" s="4" t="str">
        <f t="shared" si="152"/>
        <v/>
      </c>
      <c r="P557" s="4" t="str">
        <f t="shared" si="153"/>
        <v/>
      </c>
      <c r="Q557" s="4" t="str">
        <f t="shared" si="154"/>
        <v/>
      </c>
      <c r="R557" s="4" t="str">
        <f t="shared" si="155"/>
        <v/>
      </c>
      <c r="S557" s="4" t="str">
        <f t="shared" si="156"/>
        <v/>
      </c>
      <c r="T557" s="4" t="str">
        <f t="shared" si="157"/>
        <v/>
      </c>
      <c r="U557">
        <f>IF(VLOOKUP(C557,'QA Table'!$Y$5:$Y$20,1,TRUE)=C557,1,0)</f>
        <v>0</v>
      </c>
      <c r="V557" t="str">
        <f t="shared" si="158"/>
        <v/>
      </c>
      <c r="W557" t="str">
        <f t="shared" si="159"/>
        <v/>
      </c>
      <c r="X557">
        <f t="shared" si="160"/>
        <v>4</v>
      </c>
      <c r="Y557">
        <f t="shared" si="161"/>
        <v>0</v>
      </c>
      <c r="AA557">
        <f t="shared" si="162"/>
        <v>1</v>
      </c>
    </row>
    <row r="558" spans="1:27" x14ac:dyDescent="0.2">
      <c r="A558" t="s">
        <v>46</v>
      </c>
      <c r="B558" t="s">
        <v>69</v>
      </c>
      <c r="C558" t="s">
        <v>1689</v>
      </c>
      <c r="D558" t="s">
        <v>4</v>
      </c>
      <c r="E558" t="s">
        <v>3</v>
      </c>
      <c r="F558" t="s">
        <v>1686</v>
      </c>
      <c r="G558" t="s">
        <v>1674</v>
      </c>
      <c r="H558" s="4">
        <f t="shared" si="146"/>
        <v>1</v>
      </c>
      <c r="I558" s="4" t="str">
        <f>IF(RIGHT(B558,1)="M",IF(AND(H558=1,E558="RFS",D558=INDEX('Station Depth Averages'!$A$3:$B$84,MATCH(B558,'Station Depth Averages'!$A$3:$A$84,0),2)),1,""),IF(AND(H558=1,OR(D558="SYN",D558="SRF",D558="MID")),1,IF(AND(H558=1,OR(E559="FDn",E559="LDn")),1,IF(AND(H558=1,OR(E558="FDn",E558="LDn")),1,""))))</f>
        <v/>
      </c>
      <c r="J558" s="4">
        <f t="shared" si="147"/>
        <v>1</v>
      </c>
      <c r="K558" s="4" t="str">
        <f t="shared" si="148"/>
        <v/>
      </c>
      <c r="L558" s="4">
        <f t="shared" si="149"/>
        <v>1</v>
      </c>
      <c r="M558" s="4">
        <f t="shared" si="150"/>
        <v>1</v>
      </c>
      <c r="N558" s="4">
        <f t="shared" si="151"/>
        <v>1</v>
      </c>
      <c r="O558" s="4">
        <f t="shared" si="152"/>
        <v>1</v>
      </c>
      <c r="P558" s="4">
        <f t="shared" si="153"/>
        <v>1</v>
      </c>
      <c r="Q558" s="4" t="str">
        <f t="shared" si="154"/>
        <v/>
      </c>
      <c r="R558" s="4" t="str">
        <f t="shared" si="155"/>
        <v/>
      </c>
      <c r="S558" s="4" t="str">
        <f t="shared" si="156"/>
        <v/>
      </c>
      <c r="T558" s="4" t="str">
        <f t="shared" si="157"/>
        <v/>
      </c>
      <c r="U558">
        <f>IF(VLOOKUP(C558,'QA Table'!$Y$5:$Y$20,1,TRUE)=C558,1,0)</f>
        <v>0</v>
      </c>
      <c r="V558" t="str">
        <f t="shared" si="158"/>
        <v/>
      </c>
      <c r="W558" t="str">
        <f t="shared" si="159"/>
        <v/>
      </c>
      <c r="X558">
        <f t="shared" si="160"/>
        <v>4</v>
      </c>
      <c r="Y558">
        <f t="shared" si="161"/>
        <v>0</v>
      </c>
      <c r="AA558">
        <f t="shared" si="162"/>
        <v>1</v>
      </c>
    </row>
    <row r="559" spans="1:27" x14ac:dyDescent="0.2">
      <c r="A559" t="s">
        <v>46</v>
      </c>
      <c r="B559" t="s">
        <v>69</v>
      </c>
      <c r="C559" t="s">
        <v>1690</v>
      </c>
      <c r="D559" t="s">
        <v>1051</v>
      </c>
      <c r="E559" t="s">
        <v>3</v>
      </c>
      <c r="F559" t="s">
        <v>1686</v>
      </c>
      <c r="G559" t="s">
        <v>1674</v>
      </c>
      <c r="H559" s="4">
        <f t="shared" si="146"/>
        <v>1</v>
      </c>
      <c r="I559" s="4" t="str">
        <f>IF(RIGHT(B559,1)="M",IF(AND(H559=1,E559="RFS",D559=INDEX('Station Depth Averages'!$A$3:$B$84,MATCH(B559,'Station Depth Averages'!$A$3:$A$84,0),2)),1,""),IF(AND(H559=1,OR(D559="SYN",D559="SRF",D559="MID")),1,IF(AND(H559=1,OR(E560="FDn",E560="LDn")),1,IF(AND(H559=1,OR(E559="FDn",E559="LDn")),1,""))))</f>
        <v/>
      </c>
      <c r="J559" s="4">
        <f t="shared" si="147"/>
        <v>1</v>
      </c>
      <c r="K559" s="4" t="str">
        <f t="shared" si="148"/>
        <v/>
      </c>
      <c r="L559" s="4" t="str">
        <f t="shared" si="149"/>
        <v/>
      </c>
      <c r="M559" s="4" t="str">
        <f t="shared" si="150"/>
        <v/>
      </c>
      <c r="N559" s="4" t="str">
        <f t="shared" si="151"/>
        <v/>
      </c>
      <c r="O559" s="4" t="str">
        <f t="shared" si="152"/>
        <v/>
      </c>
      <c r="P559" s="4" t="str">
        <f t="shared" si="153"/>
        <v/>
      </c>
      <c r="Q559" s="4" t="str">
        <f t="shared" si="154"/>
        <v/>
      </c>
      <c r="R559" s="4" t="str">
        <f t="shared" si="155"/>
        <v/>
      </c>
      <c r="S559" s="4" t="str">
        <f t="shared" si="156"/>
        <v/>
      </c>
      <c r="T559" s="4" t="str">
        <f t="shared" si="157"/>
        <v/>
      </c>
      <c r="U559">
        <f>IF(VLOOKUP(C559,'QA Table'!$Y$5:$Y$20,1,TRUE)=C559,1,0)</f>
        <v>0</v>
      </c>
      <c r="V559" t="str">
        <f t="shared" si="158"/>
        <v/>
      </c>
      <c r="W559" t="str">
        <f t="shared" si="159"/>
        <v/>
      </c>
      <c r="X559">
        <f t="shared" si="160"/>
        <v>4</v>
      </c>
      <c r="Y559">
        <f t="shared" si="161"/>
        <v>0</v>
      </c>
      <c r="AA559">
        <f t="shared" si="162"/>
        <v>1</v>
      </c>
    </row>
    <row r="560" spans="1:27" x14ac:dyDescent="0.2">
      <c r="A560" t="s">
        <v>46</v>
      </c>
      <c r="B560" t="s">
        <v>69</v>
      </c>
      <c r="C560" t="s">
        <v>1691</v>
      </c>
      <c r="D560" t="s">
        <v>120</v>
      </c>
      <c r="E560" t="s">
        <v>3</v>
      </c>
      <c r="F560" t="s">
        <v>1686</v>
      </c>
      <c r="G560" t="s">
        <v>1674</v>
      </c>
      <c r="H560" s="4">
        <f t="shared" si="146"/>
        <v>1</v>
      </c>
      <c r="I560" s="4" t="str">
        <f>IF(RIGHT(B560,1)="M",IF(AND(H560=1,E560="RFS",D560=INDEX('Station Depth Averages'!$A$3:$B$84,MATCH(B560,'Station Depth Averages'!$A$3:$A$84,0),2)),1,""),IF(AND(H560=1,OR(D560="SYN",D560="SRF",D560="MID")),1,IF(AND(H560=1,OR(E561="FDn",E561="LDn")),1,IF(AND(H560=1,OR(E560="FDn",E560="LDn")),1,""))))</f>
        <v/>
      </c>
      <c r="J560" s="4">
        <f t="shared" si="147"/>
        <v>1</v>
      </c>
      <c r="K560" s="4" t="str">
        <f t="shared" si="148"/>
        <v/>
      </c>
      <c r="L560" s="4" t="str">
        <f t="shared" si="149"/>
        <v/>
      </c>
      <c r="M560" s="4" t="str">
        <f t="shared" si="150"/>
        <v/>
      </c>
      <c r="N560" s="4" t="str">
        <f t="shared" si="151"/>
        <v/>
      </c>
      <c r="O560" s="4" t="str">
        <f t="shared" si="152"/>
        <v/>
      </c>
      <c r="P560" s="4" t="str">
        <f t="shared" si="153"/>
        <v/>
      </c>
      <c r="Q560" s="4" t="str">
        <f t="shared" si="154"/>
        <v/>
      </c>
      <c r="R560" s="4" t="str">
        <f t="shared" si="155"/>
        <v/>
      </c>
      <c r="S560" s="4" t="str">
        <f t="shared" si="156"/>
        <v/>
      </c>
      <c r="T560" s="4" t="str">
        <f t="shared" si="157"/>
        <v/>
      </c>
      <c r="U560">
        <f>IF(VLOOKUP(C560,'QA Table'!$Y$5:$Y$20,1,TRUE)=C560,1,0)</f>
        <v>0</v>
      </c>
      <c r="V560" t="str">
        <f t="shared" si="158"/>
        <v/>
      </c>
      <c r="W560" t="str">
        <f t="shared" si="159"/>
        <v/>
      </c>
      <c r="X560">
        <f t="shared" si="160"/>
        <v>4</v>
      </c>
      <c r="Y560">
        <f t="shared" si="161"/>
        <v>0</v>
      </c>
      <c r="AA560">
        <f t="shared" si="162"/>
        <v>1</v>
      </c>
    </row>
    <row r="561" spans="1:27" x14ac:dyDescent="0.2">
      <c r="A561" t="s">
        <v>46</v>
      </c>
      <c r="B561" t="s">
        <v>69</v>
      </c>
      <c r="C561" t="s">
        <v>1692</v>
      </c>
      <c r="D561" t="s">
        <v>16</v>
      </c>
      <c r="E561" t="s">
        <v>3</v>
      </c>
      <c r="F561" t="s">
        <v>1686</v>
      </c>
      <c r="G561" t="s">
        <v>1674</v>
      </c>
      <c r="H561" s="4">
        <f t="shared" si="146"/>
        <v>1</v>
      </c>
      <c r="I561" s="4" t="str">
        <f>IF(RIGHT(B561,1)="M",IF(AND(H561=1,E561="RFS",D561=INDEX('Station Depth Averages'!$A$3:$B$84,MATCH(B561,'Station Depth Averages'!$A$3:$A$84,0),2)),1,""),IF(AND(H561=1,OR(D561="SYN",D561="SRF",D561="MID")),1,IF(AND(H561=1,OR(E562="FDn",E562="LDn")),1,IF(AND(H561=1,OR(E561="FDn",E561="LDn")),1,""))))</f>
        <v/>
      </c>
      <c r="J561" s="4">
        <f t="shared" si="147"/>
        <v>1</v>
      </c>
      <c r="K561" s="4" t="str">
        <f t="shared" si="148"/>
        <v/>
      </c>
      <c r="L561" s="4" t="str">
        <f t="shared" si="149"/>
        <v/>
      </c>
      <c r="M561" s="4" t="str">
        <f t="shared" si="150"/>
        <v/>
      </c>
      <c r="N561" s="4" t="str">
        <f t="shared" si="151"/>
        <v/>
      </c>
      <c r="O561" s="4" t="str">
        <f t="shared" si="152"/>
        <v/>
      </c>
      <c r="P561" s="4" t="str">
        <f t="shared" si="153"/>
        <v/>
      </c>
      <c r="Q561" s="4" t="str">
        <f t="shared" si="154"/>
        <v/>
      </c>
      <c r="R561" s="4" t="str">
        <f t="shared" si="155"/>
        <v/>
      </c>
      <c r="S561" s="4" t="str">
        <f t="shared" si="156"/>
        <v/>
      </c>
      <c r="T561" s="4" t="str">
        <f t="shared" si="157"/>
        <v/>
      </c>
      <c r="U561">
        <f>IF(VLOOKUP(C561,'QA Table'!$Y$5:$Y$20,1,TRUE)=C561,1,0)</f>
        <v>0</v>
      </c>
      <c r="V561" t="str">
        <f t="shared" si="158"/>
        <v/>
      </c>
      <c r="W561" t="str">
        <f t="shared" si="159"/>
        <v/>
      </c>
      <c r="X561">
        <f t="shared" si="160"/>
        <v>4</v>
      </c>
      <c r="Y561">
        <f t="shared" si="161"/>
        <v>0</v>
      </c>
      <c r="AA561">
        <f t="shared" si="162"/>
        <v>1</v>
      </c>
    </row>
    <row r="562" spans="1:27" x14ac:dyDescent="0.2">
      <c r="A562" t="s">
        <v>46</v>
      </c>
      <c r="B562" t="s">
        <v>69</v>
      </c>
      <c r="C562" t="s">
        <v>1693</v>
      </c>
      <c r="D562" t="s">
        <v>17</v>
      </c>
      <c r="E562" t="s">
        <v>3</v>
      </c>
      <c r="F562" t="s">
        <v>1686</v>
      </c>
      <c r="G562" t="s">
        <v>1674</v>
      </c>
      <c r="H562" s="4">
        <f t="shared" si="146"/>
        <v>1</v>
      </c>
      <c r="I562" s="4" t="str">
        <f>IF(RIGHT(B562,1)="M",IF(AND(H562=1,E562="RFS",D562=INDEX('Station Depth Averages'!$A$3:$B$84,MATCH(B562,'Station Depth Averages'!$A$3:$A$84,0),2)),1,""),IF(AND(H562=1,OR(D562="SYN",D562="SRF",D562="MID")),1,IF(AND(H562=1,OR(E563="FDn",E563="LDn")),1,IF(AND(H562=1,OR(E562="FDn",E562="LDn")),1,""))))</f>
        <v/>
      </c>
      <c r="J562" s="4">
        <f t="shared" si="147"/>
        <v>1</v>
      </c>
      <c r="K562" s="4" t="str">
        <f t="shared" si="148"/>
        <v/>
      </c>
      <c r="L562" s="4" t="str">
        <f t="shared" si="149"/>
        <v/>
      </c>
      <c r="M562" s="4" t="str">
        <f t="shared" si="150"/>
        <v/>
      </c>
      <c r="N562" s="4" t="str">
        <f t="shared" si="151"/>
        <v/>
      </c>
      <c r="O562" s="4" t="str">
        <f t="shared" si="152"/>
        <v/>
      </c>
      <c r="P562" s="4" t="str">
        <f t="shared" si="153"/>
        <v/>
      </c>
      <c r="Q562" s="4" t="str">
        <f t="shared" si="154"/>
        <v/>
      </c>
      <c r="R562" s="4" t="str">
        <f t="shared" si="155"/>
        <v/>
      </c>
      <c r="S562" s="4" t="str">
        <f t="shared" si="156"/>
        <v/>
      </c>
      <c r="T562" s="4" t="str">
        <f t="shared" si="157"/>
        <v/>
      </c>
      <c r="U562">
        <f>IF(VLOOKUP(C562,'QA Table'!$Y$5:$Y$20,1,TRUE)=C562,1,0)</f>
        <v>0</v>
      </c>
      <c r="V562" t="str">
        <f t="shared" si="158"/>
        <v/>
      </c>
      <c r="W562" t="str">
        <f t="shared" si="159"/>
        <v/>
      </c>
      <c r="X562">
        <f t="shared" si="160"/>
        <v>4</v>
      </c>
      <c r="Y562">
        <f t="shared" si="161"/>
        <v>0</v>
      </c>
      <c r="AA562">
        <f t="shared" si="162"/>
        <v>1</v>
      </c>
    </row>
    <row r="563" spans="1:27" x14ac:dyDescent="0.2">
      <c r="A563" t="s">
        <v>46</v>
      </c>
      <c r="B563" t="s">
        <v>69</v>
      </c>
      <c r="C563" t="s">
        <v>1694</v>
      </c>
      <c r="D563" t="s">
        <v>18</v>
      </c>
      <c r="E563" t="s">
        <v>3</v>
      </c>
      <c r="F563" t="s">
        <v>1686</v>
      </c>
      <c r="G563" t="s">
        <v>1674</v>
      </c>
      <c r="H563" s="4">
        <f t="shared" si="146"/>
        <v>1</v>
      </c>
      <c r="I563" s="4">
        <f>IF(RIGHT(B563,1)="M",IF(AND(H563=1,E563="RFS",D563=INDEX('Station Depth Averages'!$A$3:$B$84,MATCH(B563,'Station Depth Averages'!$A$3:$A$84,0),2)),1,""),IF(AND(H563=1,OR(D563="SYN",D563="SRF",D563="MID")),1,IF(AND(H563=1,OR(E564="FDn",E564="LDn")),1,IF(AND(H563=1,OR(E563="FDn",E563="LDn")),1,""))))</f>
        <v>1</v>
      </c>
      <c r="J563" s="4">
        <f t="shared" si="147"/>
        <v>1</v>
      </c>
      <c r="K563" s="4" t="str">
        <f t="shared" si="148"/>
        <v/>
      </c>
      <c r="L563" s="4" t="str">
        <f t="shared" si="149"/>
        <v/>
      </c>
      <c r="M563" s="4" t="str">
        <f t="shared" si="150"/>
        <v/>
      </c>
      <c r="N563" s="4" t="str">
        <f t="shared" si="151"/>
        <v/>
      </c>
      <c r="O563" s="4" t="str">
        <f t="shared" si="152"/>
        <v/>
      </c>
      <c r="P563" s="4" t="str">
        <f t="shared" si="153"/>
        <v/>
      </c>
      <c r="Q563" s="4" t="str">
        <f t="shared" si="154"/>
        <v/>
      </c>
      <c r="R563" s="4" t="str">
        <f t="shared" si="155"/>
        <v/>
      </c>
      <c r="S563" s="4" t="str">
        <f t="shared" si="156"/>
        <v/>
      </c>
      <c r="T563" s="4" t="str">
        <f t="shared" si="157"/>
        <v/>
      </c>
      <c r="U563">
        <f>IF(VLOOKUP(C563,'QA Table'!$Y$5:$Y$20,1,TRUE)=C563,1,0)</f>
        <v>0</v>
      </c>
      <c r="V563" t="str">
        <f t="shared" si="158"/>
        <v/>
      </c>
      <c r="W563" t="str">
        <f t="shared" si="159"/>
        <v/>
      </c>
      <c r="X563">
        <f t="shared" si="160"/>
        <v>4</v>
      </c>
      <c r="Y563">
        <f t="shared" si="161"/>
        <v>0</v>
      </c>
      <c r="AA563">
        <f t="shared" si="162"/>
        <v>1</v>
      </c>
    </row>
    <row r="564" spans="1:27" x14ac:dyDescent="0.2">
      <c r="A564" t="s">
        <v>46</v>
      </c>
      <c r="B564" t="s">
        <v>69</v>
      </c>
      <c r="C564" t="s">
        <v>1695</v>
      </c>
      <c r="D564" t="s">
        <v>5</v>
      </c>
      <c r="E564" t="s">
        <v>3</v>
      </c>
      <c r="F564" t="s">
        <v>1686</v>
      </c>
      <c r="G564" t="s">
        <v>1674</v>
      </c>
      <c r="H564" s="4">
        <f t="shared" si="146"/>
        <v>1</v>
      </c>
      <c r="I564" s="4" t="str">
        <f>IF(RIGHT(B564,1)="M",IF(AND(H564=1,E564="RFS",D564=INDEX('Station Depth Averages'!$A$3:$B$84,MATCH(B564,'Station Depth Averages'!$A$3:$A$84,0),2)),1,""),IF(AND(H564=1,OR(D564="SYN",D564="SRF",D564="MID")),1,IF(AND(H564=1,OR(E565="FDn",E565="LDn")),1,IF(AND(H564=1,OR(E564="FDn",E564="LDn")),1,""))))</f>
        <v/>
      </c>
      <c r="J564" s="4">
        <f t="shared" si="147"/>
        <v>1</v>
      </c>
      <c r="K564" s="4" t="str">
        <f t="shared" si="148"/>
        <v/>
      </c>
      <c r="L564" s="4" t="str">
        <f t="shared" si="149"/>
        <v/>
      </c>
      <c r="M564" s="4" t="str">
        <f t="shared" si="150"/>
        <v/>
      </c>
      <c r="N564" s="4" t="str">
        <f t="shared" si="151"/>
        <v/>
      </c>
      <c r="O564" s="4" t="str">
        <f t="shared" si="152"/>
        <v/>
      </c>
      <c r="P564" s="4" t="str">
        <f t="shared" si="153"/>
        <v/>
      </c>
      <c r="Q564" s="4" t="str">
        <f t="shared" si="154"/>
        <v/>
      </c>
      <c r="R564" s="4" t="str">
        <f t="shared" si="155"/>
        <v/>
      </c>
      <c r="S564" s="4" t="str">
        <f t="shared" si="156"/>
        <v/>
      </c>
      <c r="T564" s="4" t="str">
        <f t="shared" si="157"/>
        <v/>
      </c>
      <c r="U564">
        <f>IF(VLOOKUP(C564,'QA Table'!$Y$5:$Y$20,1,TRUE)=C564,1,0)</f>
        <v>0</v>
      </c>
      <c r="V564" t="str">
        <f t="shared" si="158"/>
        <v/>
      </c>
      <c r="W564" t="str">
        <f t="shared" si="159"/>
        <v/>
      </c>
      <c r="X564">
        <f t="shared" si="160"/>
        <v>4</v>
      </c>
      <c r="Y564">
        <f t="shared" si="161"/>
        <v>0</v>
      </c>
      <c r="AA564">
        <f t="shared" si="162"/>
        <v>1</v>
      </c>
    </row>
    <row r="565" spans="1:27" x14ac:dyDescent="0.2">
      <c r="A565" t="s">
        <v>46</v>
      </c>
      <c r="B565" t="s">
        <v>69</v>
      </c>
      <c r="C565" t="s">
        <v>1696</v>
      </c>
      <c r="D565" t="s">
        <v>6</v>
      </c>
      <c r="E565" t="s">
        <v>3</v>
      </c>
      <c r="F565" t="s">
        <v>1686</v>
      </c>
      <c r="G565" t="s">
        <v>1674</v>
      </c>
      <c r="H565" s="4">
        <f t="shared" si="146"/>
        <v>1</v>
      </c>
      <c r="I565" s="4" t="str">
        <f>IF(RIGHT(B565,1)="M",IF(AND(H565=1,E565="RFS",D565=INDEX('Station Depth Averages'!$A$3:$B$84,MATCH(B565,'Station Depth Averages'!$A$3:$A$84,0),2)),1,""),IF(AND(H565=1,OR(D565="SYN",D565="SRF",D565="MID")),1,IF(AND(H565=1,OR(E566="FDn",E566="LDn")),1,IF(AND(H565=1,OR(E565="FDn",E565="LDn")),1,""))))</f>
        <v/>
      </c>
      <c r="J565" s="4">
        <f t="shared" si="147"/>
        <v>1</v>
      </c>
      <c r="K565" s="4" t="str">
        <f t="shared" si="148"/>
        <v/>
      </c>
      <c r="L565" s="4" t="str">
        <f t="shared" si="149"/>
        <v/>
      </c>
      <c r="M565" s="4" t="str">
        <f t="shared" si="150"/>
        <v/>
      </c>
      <c r="N565" s="4" t="str">
        <f t="shared" si="151"/>
        <v/>
      </c>
      <c r="O565" s="4" t="str">
        <f t="shared" si="152"/>
        <v/>
      </c>
      <c r="P565" s="4" t="str">
        <f t="shared" si="153"/>
        <v/>
      </c>
      <c r="Q565" s="4" t="str">
        <f t="shared" si="154"/>
        <v/>
      </c>
      <c r="R565" s="4" t="str">
        <f t="shared" si="155"/>
        <v/>
      </c>
      <c r="S565" s="4" t="str">
        <f t="shared" si="156"/>
        <v/>
      </c>
      <c r="T565" s="4" t="str">
        <f t="shared" si="157"/>
        <v/>
      </c>
      <c r="U565">
        <f>IF(VLOOKUP(C565,'QA Table'!$Y$5:$Y$20,1,TRUE)=C565,1,0)</f>
        <v>0</v>
      </c>
      <c r="V565" t="str">
        <f t="shared" si="158"/>
        <v/>
      </c>
      <c r="W565" t="str">
        <f t="shared" si="159"/>
        <v/>
      </c>
      <c r="X565">
        <f t="shared" si="160"/>
        <v>4</v>
      </c>
      <c r="Y565">
        <f t="shared" si="161"/>
        <v>0</v>
      </c>
      <c r="AA565">
        <f t="shared" si="162"/>
        <v>1</v>
      </c>
    </row>
    <row r="566" spans="1:27" x14ac:dyDescent="0.2">
      <c r="A566" t="s">
        <v>46</v>
      </c>
      <c r="B566" t="s">
        <v>69</v>
      </c>
      <c r="C566" t="s">
        <v>1697</v>
      </c>
      <c r="D566" t="s">
        <v>8</v>
      </c>
      <c r="E566" t="s">
        <v>3</v>
      </c>
      <c r="F566" t="s">
        <v>1686</v>
      </c>
      <c r="G566" t="s">
        <v>1674</v>
      </c>
      <c r="H566" s="4">
        <f t="shared" si="146"/>
        <v>1</v>
      </c>
      <c r="I566" s="4" t="str">
        <f>IF(RIGHT(B566,1)="M",IF(AND(H566=1,E566="RFS",D566=INDEX('Station Depth Averages'!$A$3:$B$84,MATCH(B566,'Station Depth Averages'!$A$3:$A$84,0),2)),1,""),IF(AND(H566=1,OR(D566="SYN",D566="SRF",D566="MID")),1,IF(AND(H566=1,OR(E567="FDn",E567="LDn")),1,IF(AND(H566=1,OR(E566="FDn",E566="LDn")),1,""))))</f>
        <v/>
      </c>
      <c r="J566" s="4" t="str">
        <f t="shared" si="147"/>
        <v/>
      </c>
      <c r="K566" s="4">
        <f t="shared" si="148"/>
        <v>1</v>
      </c>
      <c r="L566" s="4" t="str">
        <f t="shared" si="149"/>
        <v/>
      </c>
      <c r="M566" s="4" t="str">
        <f t="shared" si="150"/>
        <v/>
      </c>
      <c r="N566" s="4" t="str">
        <f t="shared" si="151"/>
        <v/>
      </c>
      <c r="O566" s="4" t="str">
        <f t="shared" si="152"/>
        <v/>
      </c>
      <c r="P566" s="4" t="str">
        <f t="shared" si="153"/>
        <v/>
      </c>
      <c r="Q566" s="4">
        <f t="shared" si="154"/>
        <v>2</v>
      </c>
      <c r="R566" s="4" t="str">
        <f t="shared" si="155"/>
        <v/>
      </c>
      <c r="S566" s="4" t="str">
        <f t="shared" si="156"/>
        <v/>
      </c>
      <c r="T566" s="4" t="str">
        <f t="shared" si="157"/>
        <v/>
      </c>
      <c r="U566">
        <f>IF(VLOOKUP(C566,'QA Table'!$Y$5:$Y$20,1,TRUE)=C566,1,0)</f>
        <v>0</v>
      </c>
      <c r="V566" t="str">
        <f t="shared" si="158"/>
        <v/>
      </c>
      <c r="W566" t="str">
        <f t="shared" si="159"/>
        <v/>
      </c>
      <c r="X566">
        <f t="shared" si="160"/>
        <v>4</v>
      </c>
      <c r="Y566">
        <f t="shared" si="161"/>
        <v>0</v>
      </c>
      <c r="AA566">
        <f t="shared" si="162"/>
        <v>1</v>
      </c>
    </row>
    <row r="567" spans="1:27" x14ac:dyDescent="0.2">
      <c r="A567" t="s">
        <v>46</v>
      </c>
      <c r="B567" t="s">
        <v>69</v>
      </c>
      <c r="C567" t="s">
        <v>1698</v>
      </c>
      <c r="D567" t="s">
        <v>9</v>
      </c>
      <c r="E567" t="s">
        <v>3</v>
      </c>
      <c r="F567" t="s">
        <v>1686</v>
      </c>
      <c r="G567" t="s">
        <v>1674</v>
      </c>
      <c r="H567" s="4" t="str">
        <f t="shared" si="146"/>
        <v/>
      </c>
      <c r="I567" s="4" t="str">
        <f>IF(RIGHT(B567,1)="M",IF(AND(H567=1,E567="RFS",D567=INDEX('Station Depth Averages'!$A$3:$B$84,MATCH(B567,'Station Depth Averages'!$A$3:$A$84,0),2)),1,""),IF(AND(H567=1,OR(D567="SYN",D567="SRF",D567="MID")),1,IF(AND(H567=1,OR(E568="FDn",E568="LDn")),1,IF(AND(H567=1,OR(E567="FDn",E567="LDn")),1,""))))</f>
        <v/>
      </c>
      <c r="J567" s="4" t="str">
        <f t="shared" si="147"/>
        <v/>
      </c>
      <c r="K567" s="4" t="str">
        <f t="shared" si="148"/>
        <v/>
      </c>
      <c r="L567" s="4" t="str">
        <f t="shared" si="149"/>
        <v/>
      </c>
      <c r="M567" s="4" t="str">
        <f t="shared" si="150"/>
        <v/>
      </c>
      <c r="N567" s="4" t="str">
        <f t="shared" si="151"/>
        <v/>
      </c>
      <c r="O567" s="4" t="str">
        <f t="shared" si="152"/>
        <v/>
      </c>
      <c r="P567" s="4" t="str">
        <f t="shared" si="153"/>
        <v/>
      </c>
      <c r="Q567" s="4" t="str">
        <f t="shared" si="154"/>
        <v/>
      </c>
      <c r="R567" s="4" t="str">
        <f t="shared" si="155"/>
        <v/>
      </c>
      <c r="S567" s="4" t="str">
        <f t="shared" si="156"/>
        <v/>
      </c>
      <c r="T567" s="4">
        <f t="shared" si="157"/>
        <v>1</v>
      </c>
      <c r="U567">
        <f>IF(VLOOKUP(C567,'QA Table'!$Y$5:$Y$20,1,TRUE)=C567,1,0)</f>
        <v>0</v>
      </c>
      <c r="V567" t="str">
        <f t="shared" si="158"/>
        <v/>
      </c>
      <c r="W567" t="str">
        <f t="shared" si="159"/>
        <v/>
      </c>
      <c r="X567" t="str">
        <f t="shared" si="160"/>
        <v/>
      </c>
      <c r="Y567">
        <f t="shared" si="161"/>
        <v>0</v>
      </c>
      <c r="AA567" t="str">
        <f t="shared" si="162"/>
        <v/>
      </c>
    </row>
    <row r="568" spans="1:27" x14ac:dyDescent="0.2">
      <c r="A568" t="s">
        <v>46</v>
      </c>
      <c r="B568" t="s">
        <v>69</v>
      </c>
      <c r="C568" t="s">
        <v>1699</v>
      </c>
      <c r="D568" t="s">
        <v>10</v>
      </c>
      <c r="E568" t="s">
        <v>3</v>
      </c>
      <c r="F568" t="s">
        <v>1686</v>
      </c>
      <c r="G568" t="s">
        <v>1674</v>
      </c>
      <c r="H568" s="4" t="str">
        <f t="shared" si="146"/>
        <v/>
      </c>
      <c r="I568" s="4" t="str">
        <f>IF(RIGHT(B568,1)="M",IF(AND(H568=1,E568="RFS",D568=INDEX('Station Depth Averages'!$A$3:$B$84,MATCH(B568,'Station Depth Averages'!$A$3:$A$84,0),2)),1,""),IF(AND(H568=1,OR(D568="SYN",D568="SRF",D568="MID")),1,IF(AND(H568=1,OR(E569="FDn",E569="LDn")),1,IF(AND(H568=1,OR(E568="FDn",E568="LDn")),1,""))))</f>
        <v/>
      </c>
      <c r="J568" s="4" t="str">
        <f t="shared" si="147"/>
        <v/>
      </c>
      <c r="K568" s="4" t="str">
        <f t="shared" si="148"/>
        <v/>
      </c>
      <c r="L568" s="4" t="str">
        <f t="shared" si="149"/>
        <v/>
      </c>
      <c r="M568" s="4" t="str">
        <f t="shared" si="150"/>
        <v/>
      </c>
      <c r="N568" s="4" t="str">
        <f t="shared" si="151"/>
        <v/>
      </c>
      <c r="O568" s="4" t="str">
        <f t="shared" si="152"/>
        <v/>
      </c>
      <c r="P568" s="4" t="str">
        <f t="shared" si="153"/>
        <v/>
      </c>
      <c r="Q568" s="4" t="str">
        <f t="shared" si="154"/>
        <v/>
      </c>
      <c r="R568" s="4" t="str">
        <f t="shared" si="155"/>
        <v/>
      </c>
      <c r="S568" s="4" t="str">
        <f t="shared" si="156"/>
        <v/>
      </c>
      <c r="T568" s="4">
        <f t="shared" si="157"/>
        <v>1</v>
      </c>
      <c r="U568">
        <f>IF(VLOOKUP(C568,'QA Table'!$Y$5:$Y$20,1,TRUE)=C568,1,0)</f>
        <v>0</v>
      </c>
      <c r="V568" t="str">
        <f t="shared" si="158"/>
        <v/>
      </c>
      <c r="W568" t="str">
        <f t="shared" si="159"/>
        <v/>
      </c>
      <c r="X568" t="str">
        <f t="shared" si="160"/>
        <v/>
      </c>
      <c r="Y568">
        <f t="shared" si="161"/>
        <v>0</v>
      </c>
      <c r="AA568" t="str">
        <f t="shared" si="162"/>
        <v/>
      </c>
    </row>
    <row r="569" spans="1:27" x14ac:dyDescent="0.2">
      <c r="A569" t="s">
        <v>46</v>
      </c>
      <c r="B569" t="s">
        <v>69</v>
      </c>
      <c r="C569" t="s">
        <v>1700</v>
      </c>
      <c r="D569" t="s">
        <v>1034</v>
      </c>
      <c r="E569" t="s">
        <v>3</v>
      </c>
      <c r="F569" t="s">
        <v>1686</v>
      </c>
      <c r="G569" t="s">
        <v>1674</v>
      </c>
      <c r="H569" s="4" t="str">
        <f t="shared" si="146"/>
        <v/>
      </c>
      <c r="I569" s="4" t="str">
        <f>IF(RIGHT(B569,1)="M",IF(AND(H569=1,E569="RFS",D569=INDEX('Station Depth Averages'!$A$3:$B$84,MATCH(B569,'Station Depth Averages'!$A$3:$A$84,0),2)),1,""),IF(AND(H569=1,OR(D569="SYN",D569="SRF",D569="MID")),1,IF(AND(H569=1,OR(E570="FDn",E570="LDn")),1,IF(AND(H569=1,OR(E569="FDn",E569="LDn")),1,""))))</f>
        <v/>
      </c>
      <c r="J569" s="4" t="str">
        <f t="shared" si="147"/>
        <v/>
      </c>
      <c r="K569" s="4" t="str">
        <f t="shared" si="148"/>
        <v/>
      </c>
      <c r="L569" s="4" t="str">
        <f t="shared" si="149"/>
        <v/>
      </c>
      <c r="M569" s="4" t="str">
        <f t="shared" si="150"/>
        <v/>
      </c>
      <c r="N569" s="4" t="str">
        <f t="shared" si="151"/>
        <v/>
      </c>
      <c r="O569" s="4" t="str">
        <f t="shared" si="152"/>
        <v/>
      </c>
      <c r="P569" s="4" t="str">
        <f t="shared" si="153"/>
        <v/>
      </c>
      <c r="Q569" s="4" t="str">
        <f t="shared" si="154"/>
        <v/>
      </c>
      <c r="R569" s="4" t="str">
        <f t="shared" si="155"/>
        <v/>
      </c>
      <c r="S569" s="4">
        <f t="shared" si="156"/>
        <v>1</v>
      </c>
      <c r="T569" s="4" t="str">
        <f t="shared" si="157"/>
        <v/>
      </c>
      <c r="U569">
        <f>IF(VLOOKUP(C569,'QA Table'!$Y$5:$Y$20,1,TRUE)=C569,1,0)</f>
        <v>0</v>
      </c>
      <c r="V569" t="str">
        <f t="shared" si="158"/>
        <v/>
      </c>
      <c r="W569" t="str">
        <f t="shared" si="159"/>
        <v/>
      </c>
      <c r="X569" t="str">
        <f t="shared" si="160"/>
        <v/>
      </c>
      <c r="Y569">
        <f t="shared" si="161"/>
        <v>0</v>
      </c>
      <c r="AA569" t="str">
        <f t="shared" si="162"/>
        <v/>
      </c>
    </row>
    <row r="570" spans="1:27" x14ac:dyDescent="0.2">
      <c r="A570" t="s">
        <v>46</v>
      </c>
      <c r="B570" t="s">
        <v>69</v>
      </c>
      <c r="C570" t="s">
        <v>1701</v>
      </c>
      <c r="D570" t="s">
        <v>1034</v>
      </c>
      <c r="E570" t="s">
        <v>19</v>
      </c>
      <c r="F570" t="s">
        <v>1686</v>
      </c>
      <c r="G570" t="s">
        <v>1674</v>
      </c>
      <c r="H570" s="4" t="str">
        <f t="shared" si="146"/>
        <v/>
      </c>
      <c r="I570" s="4" t="str">
        <f>IF(RIGHT(B570,1)="M",IF(AND(H570=1,E570="RFS",D570=INDEX('Station Depth Averages'!$A$3:$B$84,MATCH(B570,'Station Depth Averages'!$A$3:$A$84,0),2)),1,""),IF(AND(H570=1,OR(D570="SYN",D570="SRF",D570="MID")),1,IF(AND(H570=1,OR(E571="FDn",E571="LDn")),1,IF(AND(H570=1,OR(E570="FDn",E570="LDn")),1,""))))</f>
        <v/>
      </c>
      <c r="J570" s="4" t="str">
        <f t="shared" si="147"/>
        <v/>
      </c>
      <c r="K570" s="4" t="str">
        <f t="shared" si="148"/>
        <v/>
      </c>
      <c r="L570" s="4" t="str">
        <f t="shared" si="149"/>
        <v/>
      </c>
      <c r="M570" s="4" t="str">
        <f t="shared" si="150"/>
        <v/>
      </c>
      <c r="N570" s="4" t="str">
        <f t="shared" si="151"/>
        <v/>
      </c>
      <c r="O570" s="4" t="str">
        <f t="shared" si="152"/>
        <v/>
      </c>
      <c r="P570" s="4" t="str">
        <f t="shared" si="153"/>
        <v/>
      </c>
      <c r="Q570" s="4" t="str">
        <f t="shared" si="154"/>
        <v/>
      </c>
      <c r="R570" s="4" t="str">
        <f t="shared" si="155"/>
        <v/>
      </c>
      <c r="S570" s="4">
        <f t="shared" si="156"/>
        <v>1</v>
      </c>
      <c r="T570" s="4" t="str">
        <f t="shared" si="157"/>
        <v/>
      </c>
      <c r="U570">
        <f>IF(VLOOKUP(C570,'QA Table'!$Y$5:$Y$20,1,TRUE)=C570,1,0)</f>
        <v>0</v>
      </c>
      <c r="V570" t="str">
        <f t="shared" si="158"/>
        <v/>
      </c>
      <c r="W570" t="str">
        <f t="shared" si="159"/>
        <v/>
      </c>
      <c r="X570" t="str">
        <f t="shared" si="160"/>
        <v/>
      </c>
      <c r="Y570">
        <f t="shared" si="161"/>
        <v>0</v>
      </c>
      <c r="AA570" t="str">
        <f t="shared" si="162"/>
        <v/>
      </c>
    </row>
    <row r="571" spans="1:27" x14ac:dyDescent="0.2">
      <c r="A571" t="s">
        <v>46</v>
      </c>
      <c r="B571" t="s">
        <v>70</v>
      </c>
      <c r="C571" t="s">
        <v>1702</v>
      </c>
      <c r="D571" t="s">
        <v>14</v>
      </c>
      <c r="E571" t="s">
        <v>15</v>
      </c>
      <c r="F571" t="s">
        <v>1703</v>
      </c>
      <c r="G571" t="s">
        <v>1674</v>
      </c>
      <c r="H571" s="4">
        <f t="shared" si="146"/>
        <v>1</v>
      </c>
      <c r="I571" s="4">
        <f>IF(RIGHT(B571,1)="M",IF(AND(H571=1,E571="RFS",D571=INDEX('Station Depth Averages'!$A$3:$B$84,MATCH(B571,'Station Depth Averages'!$A$3:$A$84,0),2)),1,""),IF(AND(H571=1,OR(D571="SYN",D571="SRF",D571="MID")),1,IF(AND(H571=1,OR(E572="FDn",E572="LDn")),1,IF(AND(H571=1,OR(E571="FDn",E571="LDn")),1,""))))</f>
        <v>1</v>
      </c>
      <c r="J571" s="4">
        <f t="shared" si="147"/>
        <v>1</v>
      </c>
      <c r="K571" s="4" t="str">
        <f t="shared" si="148"/>
        <v/>
      </c>
      <c r="L571" s="4" t="str">
        <f t="shared" si="149"/>
        <v/>
      </c>
      <c r="M571" s="4" t="str">
        <f t="shared" si="150"/>
        <v/>
      </c>
      <c r="N571" s="4" t="str">
        <f t="shared" si="151"/>
        <v/>
      </c>
      <c r="O571" s="4" t="str">
        <f t="shared" si="152"/>
        <v/>
      </c>
      <c r="P571" s="4" t="str">
        <f t="shared" si="153"/>
        <v/>
      </c>
      <c r="Q571" s="4" t="str">
        <f t="shared" si="154"/>
        <v/>
      </c>
      <c r="R571" s="4" t="str">
        <f t="shared" si="155"/>
        <v/>
      </c>
      <c r="S571" s="4" t="str">
        <f t="shared" si="156"/>
        <v/>
      </c>
      <c r="T571" s="4" t="str">
        <f t="shared" si="157"/>
        <v/>
      </c>
      <c r="U571">
        <f>IF(VLOOKUP(C571,'QA Table'!$Y$5:$Y$20,1,TRUE)=C571,1,0)</f>
        <v>0</v>
      </c>
      <c r="V571" t="str">
        <f t="shared" si="158"/>
        <v/>
      </c>
      <c r="W571" t="str">
        <f t="shared" si="159"/>
        <v/>
      </c>
      <c r="X571">
        <f t="shared" si="160"/>
        <v>4</v>
      </c>
      <c r="Y571">
        <f t="shared" si="161"/>
        <v>0</v>
      </c>
      <c r="AA571">
        <f t="shared" si="162"/>
        <v>1</v>
      </c>
    </row>
    <row r="572" spans="1:27" x14ac:dyDescent="0.2">
      <c r="A572" t="s">
        <v>46</v>
      </c>
      <c r="B572" t="s">
        <v>70</v>
      </c>
      <c r="C572" t="s">
        <v>1109</v>
      </c>
      <c r="D572" t="s">
        <v>2</v>
      </c>
      <c r="E572" t="s">
        <v>3</v>
      </c>
      <c r="F572" t="s">
        <v>1703</v>
      </c>
      <c r="G572" t="s">
        <v>1674</v>
      </c>
      <c r="H572" s="4">
        <f t="shared" si="146"/>
        <v>1</v>
      </c>
      <c r="I572" s="4">
        <f>IF(RIGHT(B572,1)="M",IF(AND(H572=1,E572="RFS",D572=INDEX('Station Depth Averages'!$A$3:$B$84,MATCH(B572,'Station Depth Averages'!$A$3:$A$84,0),2)),1,""),IF(AND(H572=1,OR(D572="SYN",D572="SRF",D572="MID")),1,IF(AND(H572=1,OR(E573="FDn",E573="LDn")),1,IF(AND(H572=1,OR(E572="FDn",E572="LDn")),1,""))))</f>
        <v>1</v>
      </c>
      <c r="J572" s="4">
        <f t="shared" si="147"/>
        <v>1</v>
      </c>
      <c r="K572" s="4" t="str">
        <f t="shared" si="148"/>
        <v/>
      </c>
      <c r="L572" s="4" t="str">
        <f t="shared" si="149"/>
        <v/>
      </c>
      <c r="M572" s="4" t="str">
        <f t="shared" si="150"/>
        <v/>
      </c>
      <c r="N572" s="4" t="str">
        <f t="shared" si="151"/>
        <v/>
      </c>
      <c r="O572" s="4" t="str">
        <f t="shared" si="152"/>
        <v/>
      </c>
      <c r="P572" s="4" t="str">
        <f t="shared" si="153"/>
        <v/>
      </c>
      <c r="Q572" s="4" t="str">
        <f t="shared" si="154"/>
        <v/>
      </c>
      <c r="R572" s="4" t="str">
        <f t="shared" si="155"/>
        <v/>
      </c>
      <c r="S572" s="4" t="str">
        <f t="shared" si="156"/>
        <v/>
      </c>
      <c r="T572" s="4" t="str">
        <f t="shared" si="157"/>
        <v/>
      </c>
      <c r="U572">
        <f>IF(VLOOKUP(C572,'QA Table'!$Y$5:$Y$20,1,TRUE)=C572,1,0)</f>
        <v>0</v>
      </c>
      <c r="V572" t="str">
        <f t="shared" si="158"/>
        <v/>
      </c>
      <c r="W572" t="str">
        <f t="shared" si="159"/>
        <v/>
      </c>
      <c r="X572">
        <f t="shared" si="160"/>
        <v>4</v>
      </c>
      <c r="Y572">
        <f t="shared" si="161"/>
        <v>0</v>
      </c>
      <c r="AA572">
        <f t="shared" si="162"/>
        <v>1</v>
      </c>
    </row>
    <row r="573" spans="1:27" x14ac:dyDescent="0.2">
      <c r="A573" t="s">
        <v>46</v>
      </c>
      <c r="B573" t="s">
        <v>70</v>
      </c>
      <c r="C573" t="s">
        <v>1704</v>
      </c>
      <c r="D573" t="s">
        <v>1050</v>
      </c>
      <c r="E573" t="s">
        <v>3</v>
      </c>
      <c r="F573" t="s">
        <v>1703</v>
      </c>
      <c r="G573" t="s">
        <v>1674</v>
      </c>
      <c r="H573" s="4" t="str">
        <f t="shared" si="146"/>
        <v/>
      </c>
      <c r="I573" s="4" t="str">
        <f>IF(RIGHT(B573,1)="M",IF(AND(H573=1,E573="RFS",D573=INDEX('Station Depth Averages'!$A$3:$B$84,MATCH(B573,'Station Depth Averages'!$A$3:$A$84,0),2)),1,""),IF(AND(H573=1,OR(D573="SYN",D573="SRF",D573="MID")),1,IF(AND(H573=1,OR(E574="FDn",E574="LDn")),1,IF(AND(H573=1,OR(E573="FDn",E573="LDn")),1,""))))</f>
        <v/>
      </c>
      <c r="J573" s="4" t="str">
        <f t="shared" si="147"/>
        <v/>
      </c>
      <c r="K573" s="4" t="str">
        <f t="shared" si="148"/>
        <v/>
      </c>
      <c r="L573" s="4" t="str">
        <f t="shared" si="149"/>
        <v/>
      </c>
      <c r="M573" s="4" t="str">
        <f t="shared" si="150"/>
        <v/>
      </c>
      <c r="N573" s="4" t="str">
        <f t="shared" si="151"/>
        <v/>
      </c>
      <c r="O573" s="4" t="str">
        <f t="shared" si="152"/>
        <v/>
      </c>
      <c r="P573" s="4" t="str">
        <f t="shared" si="153"/>
        <v/>
      </c>
      <c r="Q573" s="4" t="str">
        <f t="shared" si="154"/>
        <v/>
      </c>
      <c r="R573" s="4" t="str">
        <f t="shared" si="155"/>
        <v/>
      </c>
      <c r="S573" s="4" t="str">
        <f t="shared" si="156"/>
        <v/>
      </c>
      <c r="T573" s="4" t="str">
        <f t="shared" si="157"/>
        <v/>
      </c>
      <c r="U573">
        <f>IF(VLOOKUP(C573,'QA Table'!$Y$5:$Y$20,1,TRUE)=C573,1,0)</f>
        <v>0</v>
      </c>
      <c r="V573" t="str">
        <f t="shared" si="158"/>
        <v/>
      </c>
      <c r="W573" t="str">
        <f t="shared" si="159"/>
        <v/>
      </c>
      <c r="X573" t="str">
        <f t="shared" si="160"/>
        <v/>
      </c>
      <c r="Y573">
        <f t="shared" si="161"/>
        <v>0</v>
      </c>
      <c r="AA573" t="str">
        <f t="shared" si="162"/>
        <v/>
      </c>
    </row>
    <row r="574" spans="1:27" x14ac:dyDescent="0.2">
      <c r="A574" t="s">
        <v>46</v>
      </c>
      <c r="B574" t="s">
        <v>70</v>
      </c>
      <c r="C574" t="s">
        <v>1705</v>
      </c>
      <c r="D574" t="s">
        <v>4</v>
      </c>
      <c r="E574" t="s">
        <v>3</v>
      </c>
      <c r="F574" t="s">
        <v>1703</v>
      </c>
      <c r="G574" t="s">
        <v>1674</v>
      </c>
      <c r="H574" s="4" t="str">
        <f t="shared" si="146"/>
        <v/>
      </c>
      <c r="I574" s="4" t="str">
        <f>IF(RIGHT(B574,1)="M",IF(AND(H574=1,E574="RFS",D574=INDEX('Station Depth Averages'!$A$3:$B$84,MATCH(B574,'Station Depth Averages'!$A$3:$A$84,0),2)),1,""),IF(AND(H574=1,OR(D574="SYN",D574="SRF",D574="MID")),1,IF(AND(H574=1,OR(E575="FDn",E575="LDn")),1,IF(AND(H574=1,OR(E574="FDn",E574="LDn")),1,""))))</f>
        <v/>
      </c>
      <c r="J574" s="4" t="str">
        <f t="shared" si="147"/>
        <v/>
      </c>
      <c r="K574" s="4" t="str">
        <f t="shared" si="148"/>
        <v/>
      </c>
      <c r="L574" s="4" t="str">
        <f t="shared" si="149"/>
        <v/>
      </c>
      <c r="M574" s="4" t="str">
        <f t="shared" si="150"/>
        <v/>
      </c>
      <c r="N574" s="4" t="str">
        <f t="shared" si="151"/>
        <v/>
      </c>
      <c r="O574" s="4" t="str">
        <f t="shared" si="152"/>
        <v/>
      </c>
      <c r="P574" s="4" t="str">
        <f t="shared" si="153"/>
        <v/>
      </c>
      <c r="Q574" s="4" t="str">
        <f t="shared" si="154"/>
        <v/>
      </c>
      <c r="R574" s="4" t="str">
        <f t="shared" si="155"/>
        <v/>
      </c>
      <c r="S574" s="4" t="str">
        <f t="shared" si="156"/>
        <v/>
      </c>
      <c r="T574" s="4" t="str">
        <f t="shared" si="157"/>
        <v/>
      </c>
      <c r="U574">
        <f>IF(VLOOKUP(C574,'QA Table'!$Y$5:$Y$20,1,TRUE)=C574,1,0)</f>
        <v>0</v>
      </c>
      <c r="V574" t="str">
        <f t="shared" si="158"/>
        <v/>
      </c>
      <c r="W574" t="str">
        <f t="shared" si="159"/>
        <v/>
      </c>
      <c r="X574" t="str">
        <f t="shared" si="160"/>
        <v/>
      </c>
      <c r="Y574">
        <f t="shared" si="161"/>
        <v>0</v>
      </c>
      <c r="AA574" t="str">
        <f t="shared" si="162"/>
        <v/>
      </c>
    </row>
    <row r="575" spans="1:27" x14ac:dyDescent="0.2">
      <c r="A575" t="s">
        <v>46</v>
      </c>
      <c r="B575" t="s">
        <v>70</v>
      </c>
      <c r="C575" t="s">
        <v>1706</v>
      </c>
      <c r="D575" t="s">
        <v>1051</v>
      </c>
      <c r="E575" t="s">
        <v>3</v>
      </c>
      <c r="F575" t="s">
        <v>1703</v>
      </c>
      <c r="G575" t="s">
        <v>1674</v>
      </c>
      <c r="H575" s="4" t="str">
        <f t="shared" si="146"/>
        <v/>
      </c>
      <c r="I575" s="4" t="str">
        <f>IF(RIGHT(B575,1)="M",IF(AND(H575=1,E575="RFS",D575=INDEX('Station Depth Averages'!$A$3:$B$84,MATCH(B575,'Station Depth Averages'!$A$3:$A$84,0),2)),1,""),IF(AND(H575=1,OR(D575="SYN",D575="SRF",D575="MID")),1,IF(AND(H575=1,OR(E576="FDn",E576="LDn")),1,IF(AND(H575=1,OR(E575="FDn",E575="LDn")),1,""))))</f>
        <v/>
      </c>
      <c r="J575" s="4" t="str">
        <f t="shared" si="147"/>
        <v/>
      </c>
      <c r="K575" s="4" t="str">
        <f t="shared" si="148"/>
        <v/>
      </c>
      <c r="L575" s="4" t="str">
        <f t="shared" si="149"/>
        <v/>
      </c>
      <c r="M575" s="4" t="str">
        <f t="shared" si="150"/>
        <v/>
      </c>
      <c r="N575" s="4" t="str">
        <f t="shared" si="151"/>
        <v/>
      </c>
      <c r="O575" s="4" t="str">
        <f t="shared" si="152"/>
        <v/>
      </c>
      <c r="P575" s="4" t="str">
        <f t="shared" si="153"/>
        <v/>
      </c>
      <c r="Q575" s="4" t="str">
        <f t="shared" si="154"/>
        <v/>
      </c>
      <c r="R575" s="4" t="str">
        <f t="shared" si="155"/>
        <v/>
      </c>
      <c r="S575" s="4" t="str">
        <f t="shared" si="156"/>
        <v/>
      </c>
      <c r="T575" s="4" t="str">
        <f t="shared" si="157"/>
        <v/>
      </c>
      <c r="U575">
        <f>IF(VLOOKUP(C575,'QA Table'!$Y$5:$Y$20,1,TRUE)=C575,1,0)</f>
        <v>0</v>
      </c>
      <c r="V575" t="str">
        <f t="shared" si="158"/>
        <v/>
      </c>
      <c r="W575" t="str">
        <f t="shared" si="159"/>
        <v/>
      </c>
      <c r="X575" t="str">
        <f t="shared" si="160"/>
        <v/>
      </c>
      <c r="Y575">
        <f t="shared" si="161"/>
        <v>0</v>
      </c>
      <c r="AA575" t="str">
        <f t="shared" si="162"/>
        <v/>
      </c>
    </row>
    <row r="576" spans="1:27" x14ac:dyDescent="0.2">
      <c r="A576" t="s">
        <v>46</v>
      </c>
      <c r="B576" t="s">
        <v>70</v>
      </c>
      <c r="C576" t="s">
        <v>1707</v>
      </c>
      <c r="D576" t="s">
        <v>119</v>
      </c>
      <c r="E576" t="s">
        <v>3</v>
      </c>
      <c r="F576" t="s">
        <v>1703</v>
      </c>
      <c r="G576" t="s">
        <v>1674</v>
      </c>
      <c r="H576" s="4">
        <f t="shared" si="146"/>
        <v>1</v>
      </c>
      <c r="I576" s="4">
        <f>IF(RIGHT(B576,1)="M",IF(AND(H576=1,E576="RFS",D576=INDEX('Station Depth Averages'!$A$3:$B$84,MATCH(B576,'Station Depth Averages'!$A$3:$A$84,0),2)),1,""),IF(AND(H576=1,OR(D576="SYN",D576="SRF",D576="MID")),1,IF(AND(H576=1,OR(E577="FDn",E577="LDn")),1,IF(AND(H576=1,OR(E576="FDn",E576="LDn")),1,""))))</f>
        <v>1</v>
      </c>
      <c r="J576" s="4">
        <f t="shared" si="147"/>
        <v>1</v>
      </c>
      <c r="K576" s="4" t="str">
        <f t="shared" si="148"/>
        <v/>
      </c>
      <c r="L576" s="4" t="str">
        <f t="shared" si="149"/>
        <v/>
      </c>
      <c r="M576" s="4" t="str">
        <f t="shared" si="150"/>
        <v/>
      </c>
      <c r="N576" s="4" t="str">
        <f t="shared" si="151"/>
        <v/>
      </c>
      <c r="O576" s="4" t="str">
        <f t="shared" si="152"/>
        <v/>
      </c>
      <c r="P576" s="4" t="str">
        <f t="shared" si="153"/>
        <v/>
      </c>
      <c r="Q576" s="4" t="str">
        <f t="shared" si="154"/>
        <v/>
      </c>
      <c r="R576" s="4" t="str">
        <f t="shared" si="155"/>
        <v/>
      </c>
      <c r="S576" s="4" t="str">
        <f t="shared" si="156"/>
        <v/>
      </c>
      <c r="T576" s="4" t="str">
        <f t="shared" si="157"/>
        <v/>
      </c>
      <c r="U576">
        <f>IF(VLOOKUP(C576,'QA Table'!$Y$5:$Y$20,1,TRUE)=C576,1,0)</f>
        <v>0</v>
      </c>
      <c r="V576" t="str">
        <f t="shared" si="158"/>
        <v/>
      </c>
      <c r="W576" t="str">
        <f t="shared" si="159"/>
        <v/>
      </c>
      <c r="X576">
        <f t="shared" si="160"/>
        <v>4</v>
      </c>
      <c r="Y576">
        <f t="shared" si="161"/>
        <v>0</v>
      </c>
      <c r="AA576">
        <f t="shared" si="162"/>
        <v>1</v>
      </c>
    </row>
    <row r="577" spans="1:27" x14ac:dyDescent="0.2">
      <c r="A577" t="s">
        <v>46</v>
      </c>
      <c r="B577" t="s">
        <v>70</v>
      </c>
      <c r="C577" t="s">
        <v>1708</v>
      </c>
      <c r="D577" t="s">
        <v>5</v>
      </c>
      <c r="E577" t="s">
        <v>3</v>
      </c>
      <c r="F577" t="s">
        <v>1703</v>
      </c>
      <c r="G577" t="s">
        <v>1674</v>
      </c>
      <c r="H577" s="4">
        <f t="shared" si="146"/>
        <v>1</v>
      </c>
      <c r="I577" s="4" t="str">
        <f>IF(RIGHT(B577,1)="M",IF(AND(H577=1,E577="RFS",D577=INDEX('Station Depth Averages'!$A$3:$B$84,MATCH(B577,'Station Depth Averages'!$A$3:$A$84,0),2)),1,""),IF(AND(H577=1,OR(D577="SYN",D577="SRF",D577="MID")),1,IF(AND(H577=1,OR(E578="FDn",E578="LDn")),1,IF(AND(H577=1,OR(E577="FDn",E577="LDn")),1,""))))</f>
        <v/>
      </c>
      <c r="J577" s="4">
        <f t="shared" si="147"/>
        <v>1</v>
      </c>
      <c r="K577" s="4" t="str">
        <f t="shared" si="148"/>
        <v/>
      </c>
      <c r="L577" s="4" t="str">
        <f t="shared" si="149"/>
        <v/>
      </c>
      <c r="M577" s="4" t="str">
        <f t="shared" si="150"/>
        <v/>
      </c>
      <c r="N577" s="4" t="str">
        <f t="shared" si="151"/>
        <v/>
      </c>
      <c r="O577" s="4" t="str">
        <f t="shared" si="152"/>
        <v/>
      </c>
      <c r="P577" s="4" t="str">
        <f t="shared" si="153"/>
        <v/>
      </c>
      <c r="Q577" s="4" t="str">
        <f t="shared" si="154"/>
        <v/>
      </c>
      <c r="R577" s="4" t="str">
        <f t="shared" si="155"/>
        <v/>
      </c>
      <c r="S577" s="4" t="str">
        <f t="shared" si="156"/>
        <v/>
      </c>
      <c r="T577" s="4" t="str">
        <f t="shared" si="157"/>
        <v/>
      </c>
      <c r="U577">
        <f>IF(VLOOKUP(C577,'QA Table'!$Y$5:$Y$20,1,TRUE)=C577,1,0)</f>
        <v>0</v>
      </c>
      <c r="V577" t="str">
        <f t="shared" si="158"/>
        <v/>
      </c>
      <c r="W577" t="str">
        <f t="shared" si="159"/>
        <v/>
      </c>
      <c r="X577">
        <f t="shared" si="160"/>
        <v>4</v>
      </c>
      <c r="Y577">
        <f t="shared" si="161"/>
        <v>0</v>
      </c>
      <c r="AA577">
        <f t="shared" si="162"/>
        <v>1</v>
      </c>
    </row>
    <row r="578" spans="1:27" x14ac:dyDescent="0.2">
      <c r="A578" t="s">
        <v>46</v>
      </c>
      <c r="B578" t="s">
        <v>70</v>
      </c>
      <c r="C578" t="s">
        <v>1709</v>
      </c>
      <c r="D578" t="s">
        <v>6</v>
      </c>
      <c r="E578" t="s">
        <v>3</v>
      </c>
      <c r="F578" t="s">
        <v>1703</v>
      </c>
      <c r="G578" t="s">
        <v>1674</v>
      </c>
      <c r="H578" s="4">
        <f t="shared" si="146"/>
        <v>1</v>
      </c>
      <c r="I578" s="4" t="str">
        <f>IF(RIGHT(B578,1)="M",IF(AND(H578=1,E578="RFS",D578=INDEX('Station Depth Averages'!$A$3:$B$84,MATCH(B578,'Station Depth Averages'!$A$3:$A$84,0),2)),1,""),IF(AND(H578=1,OR(D578="SYN",D578="SRF",D578="MID")),1,IF(AND(H578=1,OR(E579="FDn",E579="LDn")),1,IF(AND(H578=1,OR(E578="FDn",E578="LDn")),1,""))))</f>
        <v/>
      </c>
      <c r="J578" s="4">
        <f t="shared" si="147"/>
        <v>1</v>
      </c>
      <c r="K578" s="4" t="str">
        <f t="shared" si="148"/>
        <v/>
      </c>
      <c r="L578" s="4" t="str">
        <f t="shared" si="149"/>
        <v/>
      </c>
      <c r="M578" s="4" t="str">
        <f t="shared" si="150"/>
        <v/>
      </c>
      <c r="N578" s="4" t="str">
        <f t="shared" si="151"/>
        <v/>
      </c>
      <c r="O578" s="4" t="str">
        <f t="shared" si="152"/>
        <v/>
      </c>
      <c r="P578" s="4" t="str">
        <f t="shared" si="153"/>
        <v/>
      </c>
      <c r="Q578" s="4" t="str">
        <f t="shared" si="154"/>
        <v/>
      </c>
      <c r="R578" s="4" t="str">
        <f t="shared" si="155"/>
        <v/>
      </c>
      <c r="S578" s="4" t="str">
        <f t="shared" si="156"/>
        <v/>
      </c>
      <c r="T578" s="4" t="str">
        <f t="shared" si="157"/>
        <v/>
      </c>
      <c r="U578">
        <f>IF(VLOOKUP(C578,'QA Table'!$Y$5:$Y$20,1,TRUE)=C578,1,0)</f>
        <v>0</v>
      </c>
      <c r="V578" t="str">
        <f t="shared" si="158"/>
        <v/>
      </c>
      <c r="W578" t="str">
        <f t="shared" si="159"/>
        <v/>
      </c>
      <c r="X578">
        <f t="shared" si="160"/>
        <v>4</v>
      </c>
      <c r="Y578">
        <f t="shared" si="161"/>
        <v>0</v>
      </c>
      <c r="AA578">
        <f t="shared" si="162"/>
        <v>1</v>
      </c>
    </row>
    <row r="579" spans="1:27" x14ac:dyDescent="0.2">
      <c r="A579" t="s">
        <v>46</v>
      </c>
      <c r="B579" t="s">
        <v>70</v>
      </c>
      <c r="C579" t="s">
        <v>1710</v>
      </c>
      <c r="D579" t="s">
        <v>8</v>
      </c>
      <c r="E579" t="s">
        <v>3</v>
      </c>
      <c r="F579" t="s">
        <v>1703</v>
      </c>
      <c r="G579" t="s">
        <v>1674</v>
      </c>
      <c r="H579" s="4">
        <f t="shared" si="146"/>
        <v>1</v>
      </c>
      <c r="I579" s="4" t="str">
        <f>IF(RIGHT(B579,1)="M",IF(AND(H579=1,E579="RFS",D579=INDEX('Station Depth Averages'!$A$3:$B$84,MATCH(B579,'Station Depth Averages'!$A$3:$A$84,0),2)),1,""),IF(AND(H579=1,OR(D579="SYN",D579="SRF",D579="MID")),1,IF(AND(H579=1,OR(E580="FDn",E580="LDn")),1,IF(AND(H579=1,OR(E579="FDn",E579="LDn")),1,""))))</f>
        <v/>
      </c>
      <c r="J579" s="4" t="str">
        <f t="shared" si="147"/>
        <v/>
      </c>
      <c r="K579" s="4">
        <f t="shared" si="148"/>
        <v>1</v>
      </c>
      <c r="L579" s="4" t="str">
        <f t="shared" si="149"/>
        <v/>
      </c>
      <c r="M579" s="4" t="str">
        <f t="shared" si="150"/>
        <v/>
      </c>
      <c r="N579" s="4" t="str">
        <f t="shared" si="151"/>
        <v/>
      </c>
      <c r="O579" s="4" t="str">
        <f t="shared" si="152"/>
        <v/>
      </c>
      <c r="P579" s="4" t="str">
        <f t="shared" si="153"/>
        <v/>
      </c>
      <c r="Q579" s="4">
        <f t="shared" si="154"/>
        <v>2</v>
      </c>
      <c r="R579" s="4" t="str">
        <f t="shared" si="155"/>
        <v/>
      </c>
      <c r="S579" s="4" t="str">
        <f t="shared" si="156"/>
        <v/>
      </c>
      <c r="T579" s="4" t="str">
        <f t="shared" si="157"/>
        <v/>
      </c>
      <c r="U579">
        <f>IF(VLOOKUP(C579,'QA Table'!$Y$5:$Y$20,1,TRUE)=C579,1,0)</f>
        <v>0</v>
      </c>
      <c r="V579" t="str">
        <f t="shared" si="158"/>
        <v/>
      </c>
      <c r="W579" t="str">
        <f t="shared" si="159"/>
        <v/>
      </c>
      <c r="X579">
        <f t="shared" si="160"/>
        <v>4</v>
      </c>
      <c r="Y579">
        <f t="shared" si="161"/>
        <v>0</v>
      </c>
      <c r="AA579">
        <f t="shared" si="162"/>
        <v>1</v>
      </c>
    </row>
    <row r="580" spans="1:27" x14ac:dyDescent="0.2">
      <c r="A580" t="s">
        <v>46</v>
      </c>
      <c r="B580" t="s">
        <v>70</v>
      </c>
      <c r="C580" t="s">
        <v>1711</v>
      </c>
      <c r="D580" t="s">
        <v>9</v>
      </c>
      <c r="E580" t="s">
        <v>3</v>
      </c>
      <c r="F580" t="s">
        <v>1703</v>
      </c>
      <c r="G580" t="s">
        <v>1674</v>
      </c>
      <c r="H580" s="4" t="str">
        <f t="shared" si="146"/>
        <v/>
      </c>
      <c r="I580" s="4" t="str">
        <f>IF(RIGHT(B580,1)="M",IF(AND(H580=1,E580="RFS",D580=INDEX('Station Depth Averages'!$A$3:$B$84,MATCH(B580,'Station Depth Averages'!$A$3:$A$84,0),2)),1,""),IF(AND(H580=1,OR(D580="SYN",D580="SRF",D580="MID")),1,IF(AND(H580=1,OR(E581="FDn",E581="LDn")),1,IF(AND(H580=1,OR(E580="FDn",E580="LDn")),1,""))))</f>
        <v/>
      </c>
      <c r="J580" s="4" t="str">
        <f t="shared" si="147"/>
        <v/>
      </c>
      <c r="K580" s="4" t="str">
        <f t="shared" si="148"/>
        <v/>
      </c>
      <c r="L580" s="4" t="str">
        <f t="shared" si="149"/>
        <v/>
      </c>
      <c r="M580" s="4" t="str">
        <f t="shared" si="150"/>
        <v/>
      </c>
      <c r="N580" s="4" t="str">
        <f t="shared" si="151"/>
        <v/>
      </c>
      <c r="O580" s="4" t="str">
        <f t="shared" si="152"/>
        <v/>
      </c>
      <c r="P580" s="4" t="str">
        <f t="shared" si="153"/>
        <v/>
      </c>
      <c r="Q580" s="4" t="str">
        <f t="shared" si="154"/>
        <v/>
      </c>
      <c r="R580" s="4" t="str">
        <f t="shared" si="155"/>
        <v/>
      </c>
      <c r="S580" s="4" t="str">
        <f t="shared" si="156"/>
        <v/>
      </c>
      <c r="T580" s="4">
        <f t="shared" si="157"/>
        <v>1</v>
      </c>
      <c r="U580">
        <f>IF(VLOOKUP(C580,'QA Table'!$Y$5:$Y$20,1,TRUE)=C580,1,0)</f>
        <v>0</v>
      </c>
      <c r="V580" t="str">
        <f t="shared" si="158"/>
        <v/>
      </c>
      <c r="W580" t="str">
        <f t="shared" si="159"/>
        <v/>
      </c>
      <c r="X580" t="str">
        <f t="shared" si="160"/>
        <v/>
      </c>
      <c r="Y580">
        <f t="shared" si="161"/>
        <v>0</v>
      </c>
      <c r="AA580" t="str">
        <f t="shared" si="162"/>
        <v/>
      </c>
    </row>
    <row r="581" spans="1:27" x14ac:dyDescent="0.2">
      <c r="A581" t="s">
        <v>46</v>
      </c>
      <c r="B581" t="s">
        <v>70</v>
      </c>
      <c r="C581" t="s">
        <v>1712</v>
      </c>
      <c r="D581" t="s">
        <v>10</v>
      </c>
      <c r="E581" t="s">
        <v>3</v>
      </c>
      <c r="F581" t="s">
        <v>1703</v>
      </c>
      <c r="G581" t="s">
        <v>1674</v>
      </c>
      <c r="H581" s="4" t="str">
        <f t="shared" si="146"/>
        <v/>
      </c>
      <c r="I581" s="4" t="str">
        <f>IF(RIGHT(B581,1)="M",IF(AND(H581=1,E581="RFS",D581=INDEX('Station Depth Averages'!$A$3:$B$84,MATCH(B581,'Station Depth Averages'!$A$3:$A$84,0),2)),1,""),IF(AND(H581=1,OR(D581="SYN",D581="SRF",D581="MID")),1,IF(AND(H581=1,OR(E582="FDn",E582="LDn")),1,IF(AND(H581=1,OR(E581="FDn",E581="LDn")),1,""))))</f>
        <v/>
      </c>
      <c r="J581" s="4" t="str">
        <f t="shared" si="147"/>
        <v/>
      </c>
      <c r="K581" s="4" t="str">
        <f t="shared" si="148"/>
        <v/>
      </c>
      <c r="L581" s="4" t="str">
        <f t="shared" si="149"/>
        <v/>
      </c>
      <c r="M581" s="4" t="str">
        <f t="shared" si="150"/>
        <v/>
      </c>
      <c r="N581" s="4" t="str">
        <f t="shared" si="151"/>
        <v/>
      </c>
      <c r="O581" s="4" t="str">
        <f t="shared" si="152"/>
        <v/>
      </c>
      <c r="P581" s="4" t="str">
        <f t="shared" si="153"/>
        <v/>
      </c>
      <c r="Q581" s="4" t="str">
        <f t="shared" si="154"/>
        <v/>
      </c>
      <c r="R581" s="4" t="str">
        <f t="shared" si="155"/>
        <v/>
      </c>
      <c r="S581" s="4" t="str">
        <f t="shared" si="156"/>
        <v/>
      </c>
      <c r="T581" s="4">
        <f t="shared" si="157"/>
        <v>1</v>
      </c>
      <c r="U581">
        <f>IF(VLOOKUP(C581,'QA Table'!$Y$5:$Y$20,1,TRUE)=C581,1,0)</f>
        <v>0</v>
      </c>
      <c r="V581" t="str">
        <f t="shared" si="158"/>
        <v/>
      </c>
      <c r="W581" t="str">
        <f t="shared" si="159"/>
        <v/>
      </c>
      <c r="X581" t="str">
        <f t="shared" si="160"/>
        <v/>
      </c>
      <c r="Y581">
        <f t="shared" si="161"/>
        <v>0</v>
      </c>
      <c r="AA581" t="str">
        <f t="shared" si="162"/>
        <v/>
      </c>
    </row>
    <row r="582" spans="1:27" x14ac:dyDescent="0.2">
      <c r="A582" t="s">
        <v>46</v>
      </c>
      <c r="B582" t="s">
        <v>70</v>
      </c>
      <c r="C582" t="s">
        <v>1713</v>
      </c>
      <c r="D582" t="s">
        <v>1034</v>
      </c>
      <c r="E582" t="s">
        <v>3</v>
      </c>
      <c r="F582" t="s">
        <v>1703</v>
      </c>
      <c r="G582" t="s">
        <v>1674</v>
      </c>
      <c r="H582" s="4" t="str">
        <f t="shared" si="146"/>
        <v/>
      </c>
      <c r="I582" s="4" t="str">
        <f>IF(RIGHT(B582,1)="M",IF(AND(H582=1,E582="RFS",D582=INDEX('Station Depth Averages'!$A$3:$B$84,MATCH(B582,'Station Depth Averages'!$A$3:$A$84,0),2)),1,""),IF(AND(H582=1,OR(D582="SYN",D582="SRF",D582="MID")),1,IF(AND(H582=1,OR(E583="FDn",E583="LDn")),1,IF(AND(H582=1,OR(E582="FDn",E582="LDn")),1,""))))</f>
        <v/>
      </c>
      <c r="J582" s="4" t="str">
        <f t="shared" si="147"/>
        <v/>
      </c>
      <c r="K582" s="4" t="str">
        <f t="shared" si="148"/>
        <v/>
      </c>
      <c r="L582" s="4" t="str">
        <f t="shared" si="149"/>
        <v/>
      </c>
      <c r="M582" s="4" t="str">
        <f t="shared" si="150"/>
        <v/>
      </c>
      <c r="N582" s="4" t="str">
        <f t="shared" si="151"/>
        <v/>
      </c>
      <c r="O582" s="4" t="str">
        <f t="shared" si="152"/>
        <v/>
      </c>
      <c r="P582" s="4" t="str">
        <f t="shared" si="153"/>
        <v/>
      </c>
      <c r="Q582" s="4" t="str">
        <f t="shared" si="154"/>
        <v/>
      </c>
      <c r="R582" s="4" t="str">
        <f t="shared" si="155"/>
        <v/>
      </c>
      <c r="S582" s="4">
        <f t="shared" si="156"/>
        <v>1</v>
      </c>
      <c r="T582" s="4" t="str">
        <f t="shared" si="157"/>
        <v/>
      </c>
      <c r="U582">
        <f>IF(VLOOKUP(C582,'QA Table'!$Y$5:$Y$20,1,TRUE)=C582,1,0)</f>
        <v>0</v>
      </c>
      <c r="V582" t="str">
        <f t="shared" si="158"/>
        <v/>
      </c>
      <c r="W582" t="str">
        <f t="shared" si="159"/>
        <v/>
      </c>
      <c r="X582" t="str">
        <f t="shared" si="160"/>
        <v/>
      </c>
      <c r="Y582">
        <f t="shared" si="161"/>
        <v>0</v>
      </c>
      <c r="AA582" t="str">
        <f t="shared" si="162"/>
        <v/>
      </c>
    </row>
    <row r="583" spans="1:27" x14ac:dyDescent="0.2">
      <c r="A583" t="s">
        <v>46</v>
      </c>
      <c r="B583" t="s">
        <v>70</v>
      </c>
      <c r="C583" t="s">
        <v>1714</v>
      </c>
      <c r="D583" t="s">
        <v>1034</v>
      </c>
      <c r="E583" t="s">
        <v>19</v>
      </c>
      <c r="F583" t="s">
        <v>1703</v>
      </c>
      <c r="G583" t="s">
        <v>1674</v>
      </c>
      <c r="H583" s="4" t="str">
        <f t="shared" ref="H583:H646" si="163">IF(OR(RIGHT(C583,1)="A",RIGHT(C583,1)="B",RIGHT(C583,1)="C",D583="Benthos",D583="Sediment",D583="Sediments",D583="D100",D583="D20",D583="Mysis",E583="FD1",E583="LD1"),"",1)</f>
        <v/>
      </c>
      <c r="I583" s="4" t="str">
        <f>IF(RIGHT(B583,1)="M",IF(AND(H583=1,E583="RFS",D583=INDEX('Station Depth Averages'!$A$3:$B$84,MATCH(B583,'Station Depth Averages'!$A$3:$A$84,0),2)),1,""),IF(AND(H583=1,OR(D583="SYN",D583="SRF",D583="MID")),1,IF(AND(H583=1,OR(E584="FDn",E584="LDn")),1,IF(AND(H583=1,OR(E583="FDn",E583="LDn")),1,""))))</f>
        <v/>
      </c>
      <c r="J583" s="4" t="str">
        <f t="shared" ref="J583:J646" si="164">IF(OR(D583="INT",D583="Benthos",D583="D100",D583="D20",E583="LDn",D583="mysis",D583="sediment",D583="sediments",OR(RIGHT(C583,1)="A",RIGHT(C583,1)="B",RIGHT(C583,1)="C",E583="FD1",E583="LD1")),"",1)</f>
        <v/>
      </c>
      <c r="K583" s="4" t="str">
        <f t="shared" ref="K583:K646" si="165">IF(D583="INT",1,"")</f>
        <v/>
      </c>
      <c r="L583" s="4" t="str">
        <f t="shared" ref="L583:L646" si="166">IF(AND(LEFT(B583,1)="E",A583&lt;&gt;"E",RIGHT(B583,1)="M"),IF(AND(A583="w",D583="MID",E583="RFS"),1,IF(AND(A583="C",D583="5M",E583="RFS"),1,"")),IF(AND(RIGHT(B583,1)="M",D583="10M",E583="RFS"),1,""))</f>
        <v/>
      </c>
      <c r="M583" s="4" t="str">
        <f t="shared" ref="M583:M646" si="167">IF(L583=1,1,"")</f>
        <v/>
      </c>
      <c r="N583" s="4" t="str">
        <f t="shared" ref="N583:N646" si="168">IF(M583=1,1,"")</f>
        <v/>
      </c>
      <c r="O583" s="4" t="str">
        <f t="shared" ref="O583:O646" si="169">IF(N583=1,1,"")</f>
        <v/>
      </c>
      <c r="P583" s="4" t="str">
        <f t="shared" ref="P583:P646" si="170">IF(O583=1,1,"")</f>
        <v/>
      </c>
      <c r="Q583" s="4" t="str">
        <f t="shared" ref="Q583:Q646" si="171">IF(AND(OR(D583="INT",D583="DCL"),OR(LEFT(B583,2)="SU",LEFT(B583,2)="HU",LEFT(B583,2)="MI",LEFT(B583,2)="CS",LEFT(B583,2)="ON")),2,IF(AND(OR(D583="INT",D583="DCL"),LEFT(B583,2)="ER"),1,""))</f>
        <v/>
      </c>
      <c r="R583" s="4" t="str">
        <f t="shared" ref="R583:R646" si="172">IF(D583="benthos",1,"")</f>
        <v/>
      </c>
      <c r="S583" s="4">
        <f t="shared" ref="S583:S646" si="173">IF(D583="mysis",1,"")</f>
        <v>1</v>
      </c>
      <c r="T583" s="4" t="str">
        <f t="shared" ref="T583:T646" si="174">IF(AND(OR(D583="d20",D583="d100"),LEFT(B583,2)="SU"),2,IF(OR(D583="D20",D583="d100"),1,""))</f>
        <v/>
      </c>
      <c r="U583">
        <f>IF(VLOOKUP(C583,'QA Table'!$Y$5:$Y$20,1,TRUE)=C583,1,0)</f>
        <v>0</v>
      </c>
      <c r="V583" t="str">
        <f t="shared" ref="V583:V646" si="175">IF(AND(D583="Sediment",RIGHT(C583,1)="8"),1,"")</f>
        <v/>
      </c>
      <c r="W583" t="str">
        <f t="shared" ref="W583:W646" si="176">IF(AND(D583="Sediment",RIGHT(C583,1)="9"),1,"")</f>
        <v/>
      </c>
      <c r="X583" t="str">
        <f t="shared" ref="X583:X646" si="177">IF(AND(H583=1,OR(LEFT(B583,1)="M",LEFT(B583,1)="E",LEFT(B583,1)="O",LEFT(B583,1)="C")),4,IF(AND(H583=1,OR(LEFT(B583,1)="H",LEFT(B583,1)="S")),3,""))</f>
        <v/>
      </c>
      <c r="Y583">
        <f t="shared" ref="Y583:Y646" si="178">IF(U583=1,1,IF(AND(E583="LD1",U582=1),1,IF(AND(E583="FD1",U581=1),1,0)))</f>
        <v>0</v>
      </c>
      <c r="AA583" t="str">
        <f t="shared" ref="AA583:AA646" si="179">IF(X583&lt;&gt;"",1,"")</f>
        <v/>
      </c>
    </row>
    <row r="584" spans="1:27" x14ac:dyDescent="0.2">
      <c r="A584" t="s">
        <v>46</v>
      </c>
      <c r="B584" t="s">
        <v>71</v>
      </c>
      <c r="C584" t="s">
        <v>1715</v>
      </c>
      <c r="D584" t="s">
        <v>2</v>
      </c>
      <c r="E584" t="s">
        <v>3</v>
      </c>
      <c r="F584" t="s">
        <v>1716</v>
      </c>
      <c r="G584" t="s">
        <v>1674</v>
      </c>
      <c r="H584" s="4">
        <f t="shared" si="163"/>
        <v>1</v>
      </c>
      <c r="I584" s="4">
        <f>IF(RIGHT(B584,1)="M",IF(AND(H584=1,E584="RFS",D584=INDEX('Station Depth Averages'!$A$3:$B$84,MATCH(B584,'Station Depth Averages'!$A$3:$A$84,0),2)),1,""),IF(AND(H584=1,OR(D584="SYN",D584="SRF",D584="MID")),1,IF(AND(H584=1,OR(E585="FDn",E585="LDn")),1,IF(AND(H584=1,OR(E584="FDn",E584="LDn")),1,""))))</f>
        <v>1</v>
      </c>
      <c r="J584" s="4">
        <f t="shared" si="164"/>
        <v>1</v>
      </c>
      <c r="K584" s="4" t="str">
        <f t="shared" si="165"/>
        <v/>
      </c>
      <c r="L584" s="4" t="str">
        <f t="shared" si="166"/>
        <v/>
      </c>
      <c r="M584" s="4" t="str">
        <f t="shared" si="167"/>
        <v/>
      </c>
      <c r="N584" s="4" t="str">
        <f t="shared" si="168"/>
        <v/>
      </c>
      <c r="O584" s="4" t="str">
        <f t="shared" si="169"/>
        <v/>
      </c>
      <c r="P584" s="4" t="str">
        <f t="shared" si="170"/>
        <v/>
      </c>
      <c r="Q584" s="4" t="str">
        <f t="shared" si="171"/>
        <v/>
      </c>
      <c r="R584" s="4" t="str">
        <f t="shared" si="172"/>
        <v/>
      </c>
      <c r="S584" s="4" t="str">
        <f t="shared" si="173"/>
        <v/>
      </c>
      <c r="T584" s="4" t="str">
        <f t="shared" si="174"/>
        <v/>
      </c>
      <c r="U584">
        <f>IF(VLOOKUP(C584,'QA Table'!$Y$5:$Y$20,1,TRUE)=C584,1,0)</f>
        <v>0</v>
      </c>
      <c r="V584" t="str">
        <f t="shared" si="175"/>
        <v/>
      </c>
      <c r="W584" t="str">
        <f t="shared" si="176"/>
        <v/>
      </c>
      <c r="X584">
        <f t="shared" si="177"/>
        <v>4</v>
      </c>
      <c r="Y584">
        <f t="shared" si="178"/>
        <v>0</v>
      </c>
      <c r="AA584">
        <f t="shared" si="179"/>
        <v>1</v>
      </c>
    </row>
    <row r="585" spans="1:27" x14ac:dyDescent="0.2">
      <c r="A585" t="s">
        <v>46</v>
      </c>
      <c r="B585" t="s">
        <v>71</v>
      </c>
      <c r="C585" t="s">
        <v>1717</v>
      </c>
      <c r="D585" t="s">
        <v>1050</v>
      </c>
      <c r="E585" t="s">
        <v>3</v>
      </c>
      <c r="F585" t="s">
        <v>1716</v>
      </c>
      <c r="G585" t="s">
        <v>1674</v>
      </c>
      <c r="H585" s="4" t="str">
        <f t="shared" si="163"/>
        <v/>
      </c>
      <c r="I585" s="4" t="str">
        <f>IF(RIGHT(B585,1)="M",IF(AND(H585=1,E585="RFS",D585=INDEX('Station Depth Averages'!$A$3:$B$84,MATCH(B585,'Station Depth Averages'!$A$3:$A$84,0),2)),1,""),IF(AND(H585=1,OR(D585="SYN",D585="SRF",D585="MID")),1,IF(AND(H585=1,OR(E586="FDn",E586="LDn")),1,IF(AND(H585=1,OR(E585="FDn",E585="LDn")),1,""))))</f>
        <v/>
      </c>
      <c r="J585" s="4" t="str">
        <f t="shared" si="164"/>
        <v/>
      </c>
      <c r="K585" s="4" t="str">
        <f t="shared" si="165"/>
        <v/>
      </c>
      <c r="L585" s="4" t="str">
        <f t="shared" si="166"/>
        <v/>
      </c>
      <c r="M585" s="4" t="str">
        <f t="shared" si="167"/>
        <v/>
      </c>
      <c r="N585" s="4" t="str">
        <f t="shared" si="168"/>
        <v/>
      </c>
      <c r="O585" s="4" t="str">
        <f t="shared" si="169"/>
        <v/>
      </c>
      <c r="P585" s="4" t="str">
        <f t="shared" si="170"/>
        <v/>
      </c>
      <c r="Q585" s="4" t="str">
        <f t="shared" si="171"/>
        <v/>
      </c>
      <c r="R585" s="4" t="str">
        <f t="shared" si="172"/>
        <v/>
      </c>
      <c r="S585" s="4" t="str">
        <f t="shared" si="173"/>
        <v/>
      </c>
      <c r="T585" s="4" t="str">
        <f t="shared" si="174"/>
        <v/>
      </c>
      <c r="U585">
        <f>IF(VLOOKUP(C585,'QA Table'!$Y$5:$Y$20,1,TRUE)=C585,1,0)</f>
        <v>0</v>
      </c>
      <c r="V585" t="str">
        <f t="shared" si="175"/>
        <v/>
      </c>
      <c r="W585" t="str">
        <f t="shared" si="176"/>
        <v/>
      </c>
      <c r="X585" t="str">
        <f t="shared" si="177"/>
        <v/>
      </c>
      <c r="Y585">
        <f t="shared" si="178"/>
        <v>0</v>
      </c>
      <c r="AA585" t="str">
        <f t="shared" si="179"/>
        <v/>
      </c>
    </row>
    <row r="586" spans="1:27" x14ac:dyDescent="0.2">
      <c r="A586" t="s">
        <v>46</v>
      </c>
      <c r="B586" t="s">
        <v>71</v>
      </c>
      <c r="C586" t="s">
        <v>1718</v>
      </c>
      <c r="D586" t="s">
        <v>4</v>
      </c>
      <c r="E586" t="s">
        <v>3</v>
      </c>
      <c r="F586" t="s">
        <v>1716</v>
      </c>
      <c r="G586" t="s">
        <v>1674</v>
      </c>
      <c r="H586" s="4" t="str">
        <f t="shared" si="163"/>
        <v/>
      </c>
      <c r="I586" s="4" t="str">
        <f>IF(RIGHT(B586,1)="M",IF(AND(H586=1,E586="RFS",D586=INDEX('Station Depth Averages'!$A$3:$B$84,MATCH(B586,'Station Depth Averages'!$A$3:$A$84,0),2)),1,""),IF(AND(H586=1,OR(D586="SYN",D586="SRF",D586="MID")),1,IF(AND(H586=1,OR(E587="FDn",E587="LDn")),1,IF(AND(H586=1,OR(E586="FDn",E586="LDn")),1,""))))</f>
        <v/>
      </c>
      <c r="J586" s="4" t="str">
        <f t="shared" si="164"/>
        <v/>
      </c>
      <c r="K586" s="4" t="str">
        <f t="shared" si="165"/>
        <v/>
      </c>
      <c r="L586" s="4" t="str">
        <f t="shared" si="166"/>
        <v/>
      </c>
      <c r="M586" s="4" t="str">
        <f t="shared" si="167"/>
        <v/>
      </c>
      <c r="N586" s="4" t="str">
        <f t="shared" si="168"/>
        <v/>
      </c>
      <c r="O586" s="4" t="str">
        <f t="shared" si="169"/>
        <v/>
      </c>
      <c r="P586" s="4" t="str">
        <f t="shared" si="170"/>
        <v/>
      </c>
      <c r="Q586" s="4" t="str">
        <f t="shared" si="171"/>
        <v/>
      </c>
      <c r="R586" s="4" t="str">
        <f t="shared" si="172"/>
        <v/>
      </c>
      <c r="S586" s="4" t="str">
        <f t="shared" si="173"/>
        <v/>
      </c>
      <c r="T586" s="4" t="str">
        <f t="shared" si="174"/>
        <v/>
      </c>
      <c r="U586">
        <f>IF(VLOOKUP(C586,'QA Table'!$Y$5:$Y$20,1,TRUE)=C586,1,0)</f>
        <v>0</v>
      </c>
      <c r="V586" t="str">
        <f t="shared" si="175"/>
        <v/>
      </c>
      <c r="W586" t="str">
        <f t="shared" si="176"/>
        <v/>
      </c>
      <c r="X586" t="str">
        <f t="shared" si="177"/>
        <v/>
      </c>
      <c r="Y586">
        <f t="shared" si="178"/>
        <v>0</v>
      </c>
      <c r="AA586" t="str">
        <f t="shared" si="179"/>
        <v/>
      </c>
    </row>
    <row r="587" spans="1:27" x14ac:dyDescent="0.2">
      <c r="A587" t="s">
        <v>46</v>
      </c>
      <c r="B587" t="s">
        <v>71</v>
      </c>
      <c r="C587" t="s">
        <v>1719</v>
      </c>
      <c r="D587" t="s">
        <v>1051</v>
      </c>
      <c r="E587" t="s">
        <v>3</v>
      </c>
      <c r="F587" t="s">
        <v>1716</v>
      </c>
      <c r="G587" t="s">
        <v>1674</v>
      </c>
      <c r="H587" s="4" t="str">
        <f t="shared" si="163"/>
        <v/>
      </c>
      <c r="I587" s="4" t="str">
        <f>IF(RIGHT(B587,1)="M",IF(AND(H587=1,E587="RFS",D587=INDEX('Station Depth Averages'!$A$3:$B$84,MATCH(B587,'Station Depth Averages'!$A$3:$A$84,0),2)),1,""),IF(AND(H587=1,OR(D587="SYN",D587="SRF",D587="MID")),1,IF(AND(H587=1,OR(E588="FDn",E588="LDn")),1,IF(AND(H587=1,OR(E587="FDn",E587="LDn")),1,""))))</f>
        <v/>
      </c>
      <c r="J587" s="4" t="str">
        <f t="shared" si="164"/>
        <v/>
      </c>
      <c r="K587" s="4" t="str">
        <f t="shared" si="165"/>
        <v/>
      </c>
      <c r="L587" s="4" t="str">
        <f t="shared" si="166"/>
        <v/>
      </c>
      <c r="M587" s="4" t="str">
        <f t="shared" si="167"/>
        <v/>
      </c>
      <c r="N587" s="4" t="str">
        <f t="shared" si="168"/>
        <v/>
      </c>
      <c r="O587" s="4" t="str">
        <f t="shared" si="169"/>
        <v/>
      </c>
      <c r="P587" s="4" t="str">
        <f t="shared" si="170"/>
        <v/>
      </c>
      <c r="Q587" s="4" t="str">
        <f t="shared" si="171"/>
        <v/>
      </c>
      <c r="R587" s="4" t="str">
        <f t="shared" si="172"/>
        <v/>
      </c>
      <c r="S587" s="4" t="str">
        <f t="shared" si="173"/>
        <v/>
      </c>
      <c r="T587" s="4" t="str">
        <f t="shared" si="174"/>
        <v/>
      </c>
      <c r="U587">
        <f>IF(VLOOKUP(C587,'QA Table'!$Y$5:$Y$20,1,TRUE)=C587,1,0)</f>
        <v>0</v>
      </c>
      <c r="V587" t="str">
        <f t="shared" si="175"/>
        <v/>
      </c>
      <c r="W587" t="str">
        <f t="shared" si="176"/>
        <v/>
      </c>
      <c r="X587" t="str">
        <f t="shared" si="177"/>
        <v/>
      </c>
      <c r="Y587">
        <f t="shared" si="178"/>
        <v>0</v>
      </c>
      <c r="AA587" t="str">
        <f t="shared" si="179"/>
        <v/>
      </c>
    </row>
    <row r="588" spans="1:27" x14ac:dyDescent="0.2">
      <c r="A588" t="s">
        <v>46</v>
      </c>
      <c r="B588" t="s">
        <v>71</v>
      </c>
      <c r="C588" t="s">
        <v>1720</v>
      </c>
      <c r="D588" t="s">
        <v>119</v>
      </c>
      <c r="E588" t="s">
        <v>3</v>
      </c>
      <c r="F588" t="s">
        <v>1716</v>
      </c>
      <c r="G588" t="s">
        <v>1674</v>
      </c>
      <c r="H588" s="4">
        <f t="shared" si="163"/>
        <v>1</v>
      </c>
      <c r="I588" s="4">
        <f>IF(RIGHT(B588,1)="M",IF(AND(H588=1,E588="RFS",D588=INDEX('Station Depth Averages'!$A$3:$B$84,MATCH(B588,'Station Depth Averages'!$A$3:$A$84,0),2)),1,""),IF(AND(H588=1,OR(D588="SYN",D588="SRF",D588="MID")),1,IF(AND(H588=1,OR(E589="FDn",E589="LDn")),1,IF(AND(H588=1,OR(E588="FDn",E588="LDn")),1,""))))</f>
        <v>1</v>
      </c>
      <c r="J588" s="4">
        <f t="shared" si="164"/>
        <v>1</v>
      </c>
      <c r="K588" s="4" t="str">
        <f t="shared" si="165"/>
        <v/>
      </c>
      <c r="L588" s="4" t="str">
        <f t="shared" si="166"/>
        <v/>
      </c>
      <c r="M588" s="4" t="str">
        <f t="shared" si="167"/>
        <v/>
      </c>
      <c r="N588" s="4" t="str">
        <f t="shared" si="168"/>
        <v/>
      </c>
      <c r="O588" s="4" t="str">
        <f t="shared" si="169"/>
        <v/>
      </c>
      <c r="P588" s="4" t="str">
        <f t="shared" si="170"/>
        <v/>
      </c>
      <c r="Q588" s="4" t="str">
        <f t="shared" si="171"/>
        <v/>
      </c>
      <c r="R588" s="4" t="str">
        <f t="shared" si="172"/>
        <v/>
      </c>
      <c r="S588" s="4" t="str">
        <f t="shared" si="173"/>
        <v/>
      </c>
      <c r="T588" s="4" t="str">
        <f t="shared" si="174"/>
        <v/>
      </c>
      <c r="U588">
        <f>IF(VLOOKUP(C588,'QA Table'!$Y$5:$Y$20,1,TRUE)=C588,1,0)</f>
        <v>0</v>
      </c>
      <c r="V588" t="str">
        <f t="shared" si="175"/>
        <v/>
      </c>
      <c r="W588" t="str">
        <f t="shared" si="176"/>
        <v/>
      </c>
      <c r="X588">
        <f t="shared" si="177"/>
        <v>4</v>
      </c>
      <c r="Y588">
        <f t="shared" si="178"/>
        <v>0</v>
      </c>
      <c r="AA588">
        <f t="shared" si="179"/>
        <v>1</v>
      </c>
    </row>
    <row r="589" spans="1:27" x14ac:dyDescent="0.2">
      <c r="A589" t="s">
        <v>46</v>
      </c>
      <c r="B589" t="s">
        <v>71</v>
      </c>
      <c r="C589" t="s">
        <v>1721</v>
      </c>
      <c r="D589" t="s">
        <v>5</v>
      </c>
      <c r="E589" t="s">
        <v>3</v>
      </c>
      <c r="F589" t="s">
        <v>1716</v>
      </c>
      <c r="G589" t="s">
        <v>1674</v>
      </c>
      <c r="H589" s="4">
        <f t="shared" si="163"/>
        <v>1</v>
      </c>
      <c r="I589" s="4" t="str">
        <f>IF(RIGHT(B589,1)="M",IF(AND(H589=1,E589="RFS",D589=INDEX('Station Depth Averages'!$A$3:$B$84,MATCH(B589,'Station Depth Averages'!$A$3:$A$84,0),2)),1,""),IF(AND(H589=1,OR(D589="SYN",D589="SRF",D589="MID")),1,IF(AND(H589=1,OR(E590="FDn",E590="LDn")),1,IF(AND(H589=1,OR(E589="FDn",E589="LDn")),1,""))))</f>
        <v/>
      </c>
      <c r="J589" s="4">
        <f t="shared" si="164"/>
        <v>1</v>
      </c>
      <c r="K589" s="4" t="str">
        <f t="shared" si="165"/>
        <v/>
      </c>
      <c r="L589" s="4" t="str">
        <f t="shared" si="166"/>
        <v/>
      </c>
      <c r="M589" s="4" t="str">
        <f t="shared" si="167"/>
        <v/>
      </c>
      <c r="N589" s="4" t="str">
        <f t="shared" si="168"/>
        <v/>
      </c>
      <c r="O589" s="4" t="str">
        <f t="shared" si="169"/>
        <v/>
      </c>
      <c r="P589" s="4" t="str">
        <f t="shared" si="170"/>
        <v/>
      </c>
      <c r="Q589" s="4" t="str">
        <f t="shared" si="171"/>
        <v/>
      </c>
      <c r="R589" s="4" t="str">
        <f t="shared" si="172"/>
        <v/>
      </c>
      <c r="S589" s="4" t="str">
        <f t="shared" si="173"/>
        <v/>
      </c>
      <c r="T589" s="4" t="str">
        <f t="shared" si="174"/>
        <v/>
      </c>
      <c r="U589">
        <f>IF(VLOOKUP(C589,'QA Table'!$Y$5:$Y$20,1,TRUE)=C589,1,0)</f>
        <v>0</v>
      </c>
      <c r="V589" t="str">
        <f t="shared" si="175"/>
        <v/>
      </c>
      <c r="W589" t="str">
        <f t="shared" si="176"/>
        <v/>
      </c>
      <c r="X589">
        <f t="shared" si="177"/>
        <v>4</v>
      </c>
      <c r="Y589">
        <f t="shared" si="178"/>
        <v>0</v>
      </c>
      <c r="AA589">
        <f t="shared" si="179"/>
        <v>1</v>
      </c>
    </row>
    <row r="590" spans="1:27" x14ac:dyDescent="0.2">
      <c r="A590" t="s">
        <v>46</v>
      </c>
      <c r="B590" t="s">
        <v>71</v>
      </c>
      <c r="C590" t="s">
        <v>1112</v>
      </c>
      <c r="D590" t="s">
        <v>6</v>
      </c>
      <c r="E590" t="s">
        <v>3</v>
      </c>
      <c r="F590" t="s">
        <v>1716</v>
      </c>
      <c r="G590" t="s">
        <v>1674</v>
      </c>
      <c r="H590" s="4">
        <f t="shared" si="163"/>
        <v>1</v>
      </c>
      <c r="I590" s="4" t="str">
        <f>IF(RIGHT(B590,1)="M",IF(AND(H590=1,E590="RFS",D590=INDEX('Station Depth Averages'!$A$3:$B$84,MATCH(B590,'Station Depth Averages'!$A$3:$A$84,0),2)),1,""),IF(AND(H590=1,OR(D590="SYN",D590="SRF",D590="MID")),1,IF(AND(H590=1,OR(E591="FDn",E591="LDn")),1,IF(AND(H590=1,OR(E590="FDn",E590="LDn")),1,""))))</f>
        <v/>
      </c>
      <c r="J590" s="4">
        <f t="shared" si="164"/>
        <v>1</v>
      </c>
      <c r="K590" s="4" t="str">
        <f t="shared" si="165"/>
        <v/>
      </c>
      <c r="L590" s="4" t="str">
        <f t="shared" si="166"/>
        <v/>
      </c>
      <c r="M590" s="4" t="str">
        <f t="shared" si="167"/>
        <v/>
      </c>
      <c r="N590" s="4" t="str">
        <f t="shared" si="168"/>
        <v/>
      </c>
      <c r="O590" s="4" t="str">
        <f t="shared" si="169"/>
        <v/>
      </c>
      <c r="P590" s="4" t="str">
        <f t="shared" si="170"/>
        <v/>
      </c>
      <c r="Q590" s="4" t="str">
        <f t="shared" si="171"/>
        <v/>
      </c>
      <c r="R590" s="4" t="str">
        <f t="shared" si="172"/>
        <v/>
      </c>
      <c r="S590" s="4" t="str">
        <f t="shared" si="173"/>
        <v/>
      </c>
      <c r="T590" s="4" t="str">
        <f t="shared" si="174"/>
        <v/>
      </c>
      <c r="U590">
        <f>IF(VLOOKUP(C590,'QA Table'!$Y$5:$Y$20,1,TRUE)=C590,1,0)</f>
        <v>1</v>
      </c>
      <c r="V590" t="str">
        <f t="shared" si="175"/>
        <v/>
      </c>
      <c r="W590" t="str">
        <f t="shared" si="176"/>
        <v/>
      </c>
      <c r="X590">
        <f t="shared" si="177"/>
        <v>4</v>
      </c>
      <c r="Y590">
        <f t="shared" si="178"/>
        <v>1</v>
      </c>
      <c r="AA590">
        <f t="shared" si="179"/>
        <v>1</v>
      </c>
    </row>
    <row r="591" spans="1:27" x14ac:dyDescent="0.2">
      <c r="A591" t="s">
        <v>46</v>
      </c>
      <c r="B591" t="s">
        <v>71</v>
      </c>
      <c r="C591" t="s">
        <v>1722</v>
      </c>
      <c r="D591" t="s">
        <v>8</v>
      </c>
      <c r="E591" t="s">
        <v>3</v>
      </c>
      <c r="F591" t="s">
        <v>1716</v>
      </c>
      <c r="G591" t="s">
        <v>1674</v>
      </c>
      <c r="H591" s="4">
        <f t="shared" si="163"/>
        <v>1</v>
      </c>
      <c r="I591" s="4" t="str">
        <f>IF(RIGHT(B591,1)="M",IF(AND(H591=1,E591="RFS",D591=INDEX('Station Depth Averages'!$A$3:$B$84,MATCH(B591,'Station Depth Averages'!$A$3:$A$84,0),2)),1,""),IF(AND(H591=1,OR(D591="SYN",D591="SRF",D591="MID")),1,IF(AND(H591=1,OR(E592="FDn",E592="LDn")),1,IF(AND(H591=1,OR(E591="FDn",E591="LDn")),1,""))))</f>
        <v/>
      </c>
      <c r="J591" s="4" t="str">
        <f t="shared" si="164"/>
        <v/>
      </c>
      <c r="K591" s="4">
        <f t="shared" si="165"/>
        <v>1</v>
      </c>
      <c r="L591" s="4" t="str">
        <f t="shared" si="166"/>
        <v/>
      </c>
      <c r="M591" s="4" t="str">
        <f t="shared" si="167"/>
        <v/>
      </c>
      <c r="N591" s="4" t="str">
        <f t="shared" si="168"/>
        <v/>
      </c>
      <c r="O591" s="4" t="str">
        <f t="shared" si="169"/>
        <v/>
      </c>
      <c r="P591" s="4" t="str">
        <f t="shared" si="170"/>
        <v/>
      </c>
      <c r="Q591" s="4">
        <f t="shared" si="171"/>
        <v>2</v>
      </c>
      <c r="R591" s="4" t="str">
        <f t="shared" si="172"/>
        <v/>
      </c>
      <c r="S591" s="4" t="str">
        <f t="shared" si="173"/>
        <v/>
      </c>
      <c r="T591" s="4" t="str">
        <f t="shared" si="174"/>
        <v/>
      </c>
      <c r="U591">
        <f>IF(VLOOKUP(C591,'QA Table'!$Y$5:$Y$20,1,TRUE)=C591,1,0)</f>
        <v>0</v>
      </c>
      <c r="V591" t="str">
        <f t="shared" si="175"/>
        <v/>
      </c>
      <c r="W591" t="str">
        <f t="shared" si="176"/>
        <v/>
      </c>
      <c r="X591">
        <f t="shared" si="177"/>
        <v>4</v>
      </c>
      <c r="Y591">
        <f t="shared" si="178"/>
        <v>0</v>
      </c>
      <c r="AA591">
        <f t="shared" si="179"/>
        <v>1</v>
      </c>
    </row>
    <row r="592" spans="1:27" x14ac:dyDescent="0.2">
      <c r="A592" t="s">
        <v>46</v>
      </c>
      <c r="B592" t="s">
        <v>71</v>
      </c>
      <c r="C592" t="s">
        <v>1723</v>
      </c>
      <c r="D592" t="s">
        <v>9</v>
      </c>
      <c r="E592" t="s">
        <v>3</v>
      </c>
      <c r="F592" t="s">
        <v>1716</v>
      </c>
      <c r="G592" t="s">
        <v>1674</v>
      </c>
      <c r="H592" s="4" t="str">
        <f t="shared" si="163"/>
        <v/>
      </c>
      <c r="I592" s="4" t="str">
        <f>IF(RIGHT(B592,1)="M",IF(AND(H592=1,E592="RFS",D592=INDEX('Station Depth Averages'!$A$3:$B$84,MATCH(B592,'Station Depth Averages'!$A$3:$A$84,0),2)),1,""),IF(AND(H592=1,OR(D592="SYN",D592="SRF",D592="MID")),1,IF(AND(H592=1,OR(E593="FDn",E593="LDn")),1,IF(AND(H592=1,OR(E592="FDn",E592="LDn")),1,""))))</f>
        <v/>
      </c>
      <c r="J592" s="4" t="str">
        <f t="shared" si="164"/>
        <v/>
      </c>
      <c r="K592" s="4" t="str">
        <f t="shared" si="165"/>
        <v/>
      </c>
      <c r="L592" s="4" t="str">
        <f t="shared" si="166"/>
        <v/>
      </c>
      <c r="M592" s="4" t="str">
        <f t="shared" si="167"/>
        <v/>
      </c>
      <c r="N592" s="4" t="str">
        <f t="shared" si="168"/>
        <v/>
      </c>
      <c r="O592" s="4" t="str">
        <f t="shared" si="169"/>
        <v/>
      </c>
      <c r="P592" s="4" t="str">
        <f t="shared" si="170"/>
        <v/>
      </c>
      <c r="Q592" s="4" t="str">
        <f t="shared" si="171"/>
        <v/>
      </c>
      <c r="R592" s="4" t="str">
        <f t="shared" si="172"/>
        <v/>
      </c>
      <c r="S592" s="4" t="str">
        <f t="shared" si="173"/>
        <v/>
      </c>
      <c r="T592" s="4">
        <f t="shared" si="174"/>
        <v>1</v>
      </c>
      <c r="U592">
        <f>IF(VLOOKUP(C592,'QA Table'!$Y$5:$Y$20,1,TRUE)=C592,1,0)</f>
        <v>0</v>
      </c>
      <c r="V592" t="str">
        <f t="shared" si="175"/>
        <v/>
      </c>
      <c r="W592" t="str">
        <f t="shared" si="176"/>
        <v/>
      </c>
      <c r="X592" t="str">
        <f t="shared" si="177"/>
        <v/>
      </c>
      <c r="Y592">
        <f t="shared" si="178"/>
        <v>0</v>
      </c>
      <c r="AA592" t="str">
        <f t="shared" si="179"/>
        <v/>
      </c>
    </row>
    <row r="593" spans="1:27" x14ac:dyDescent="0.2">
      <c r="A593" t="s">
        <v>46</v>
      </c>
      <c r="B593" t="s">
        <v>71</v>
      </c>
      <c r="C593" t="s">
        <v>1724</v>
      </c>
      <c r="D593" t="s">
        <v>10</v>
      </c>
      <c r="E593" t="s">
        <v>3</v>
      </c>
      <c r="F593" t="s">
        <v>1716</v>
      </c>
      <c r="G593" t="s">
        <v>1674</v>
      </c>
      <c r="H593" s="4" t="str">
        <f t="shared" si="163"/>
        <v/>
      </c>
      <c r="I593" s="4" t="str">
        <f>IF(RIGHT(B593,1)="M",IF(AND(H593=1,E593="RFS",D593=INDEX('Station Depth Averages'!$A$3:$B$84,MATCH(B593,'Station Depth Averages'!$A$3:$A$84,0),2)),1,""),IF(AND(H593=1,OR(D593="SYN",D593="SRF",D593="MID")),1,IF(AND(H593=1,OR(E594="FDn",E594="LDn")),1,IF(AND(H593=1,OR(E593="FDn",E593="LDn")),1,""))))</f>
        <v/>
      </c>
      <c r="J593" s="4" t="str">
        <f t="shared" si="164"/>
        <v/>
      </c>
      <c r="K593" s="4" t="str">
        <f t="shared" si="165"/>
        <v/>
      </c>
      <c r="L593" s="4" t="str">
        <f t="shared" si="166"/>
        <v/>
      </c>
      <c r="M593" s="4" t="str">
        <f t="shared" si="167"/>
        <v/>
      </c>
      <c r="N593" s="4" t="str">
        <f t="shared" si="168"/>
        <v/>
      </c>
      <c r="O593" s="4" t="str">
        <f t="shared" si="169"/>
        <v/>
      </c>
      <c r="P593" s="4" t="str">
        <f t="shared" si="170"/>
        <v/>
      </c>
      <c r="Q593" s="4" t="str">
        <f t="shared" si="171"/>
        <v/>
      </c>
      <c r="R593" s="4" t="str">
        <f t="shared" si="172"/>
        <v/>
      </c>
      <c r="S593" s="4" t="str">
        <f t="shared" si="173"/>
        <v/>
      </c>
      <c r="T593" s="4">
        <f t="shared" si="174"/>
        <v>1</v>
      </c>
      <c r="U593">
        <f>IF(VLOOKUP(C593,'QA Table'!$Y$5:$Y$20,1,TRUE)=C593,1,0)</f>
        <v>0</v>
      </c>
      <c r="V593" t="str">
        <f t="shared" si="175"/>
        <v/>
      </c>
      <c r="W593" t="str">
        <f t="shared" si="176"/>
        <v/>
      </c>
      <c r="X593" t="str">
        <f t="shared" si="177"/>
        <v/>
      </c>
      <c r="Y593">
        <f t="shared" si="178"/>
        <v>0</v>
      </c>
      <c r="AA593" t="str">
        <f t="shared" si="179"/>
        <v/>
      </c>
    </row>
    <row r="594" spans="1:27" x14ac:dyDescent="0.2">
      <c r="A594" t="s">
        <v>46</v>
      </c>
      <c r="B594" t="s">
        <v>71</v>
      </c>
      <c r="C594" t="s">
        <v>1725</v>
      </c>
      <c r="D594" t="s">
        <v>1034</v>
      </c>
      <c r="E594" t="s">
        <v>3</v>
      </c>
      <c r="F594" t="s">
        <v>1716</v>
      </c>
      <c r="G594" t="s">
        <v>1674</v>
      </c>
      <c r="H594" s="4" t="str">
        <f t="shared" si="163"/>
        <v/>
      </c>
      <c r="I594" s="4" t="str">
        <f>IF(RIGHT(B594,1)="M",IF(AND(H594=1,E594="RFS",D594=INDEX('Station Depth Averages'!$A$3:$B$84,MATCH(B594,'Station Depth Averages'!$A$3:$A$84,0),2)),1,""),IF(AND(H594=1,OR(D594="SYN",D594="SRF",D594="MID")),1,IF(AND(H594=1,OR(E595="FDn",E595="LDn")),1,IF(AND(H594=1,OR(E594="FDn",E594="LDn")),1,""))))</f>
        <v/>
      </c>
      <c r="J594" s="4" t="str">
        <f t="shared" si="164"/>
        <v/>
      </c>
      <c r="K594" s="4" t="str">
        <f t="shared" si="165"/>
        <v/>
      </c>
      <c r="L594" s="4" t="str">
        <f t="shared" si="166"/>
        <v/>
      </c>
      <c r="M594" s="4" t="str">
        <f t="shared" si="167"/>
        <v/>
      </c>
      <c r="N594" s="4" t="str">
        <f t="shared" si="168"/>
        <v/>
      </c>
      <c r="O594" s="4" t="str">
        <f t="shared" si="169"/>
        <v/>
      </c>
      <c r="P594" s="4" t="str">
        <f t="shared" si="170"/>
        <v/>
      </c>
      <c r="Q594" s="4" t="str">
        <f t="shared" si="171"/>
        <v/>
      </c>
      <c r="R594" s="4" t="str">
        <f t="shared" si="172"/>
        <v/>
      </c>
      <c r="S594" s="4">
        <f t="shared" si="173"/>
        <v>1</v>
      </c>
      <c r="T594" s="4" t="str">
        <f t="shared" si="174"/>
        <v/>
      </c>
      <c r="U594">
        <f>IF(VLOOKUP(C594,'QA Table'!$Y$5:$Y$20,1,TRUE)=C594,1,0)</f>
        <v>0</v>
      </c>
      <c r="V594" t="str">
        <f t="shared" si="175"/>
        <v/>
      </c>
      <c r="W594" t="str">
        <f t="shared" si="176"/>
        <v/>
      </c>
      <c r="X594" t="str">
        <f t="shared" si="177"/>
        <v/>
      </c>
      <c r="Y594">
        <f t="shared" si="178"/>
        <v>0</v>
      </c>
      <c r="AA594" t="str">
        <f t="shared" si="179"/>
        <v/>
      </c>
    </row>
    <row r="595" spans="1:27" x14ac:dyDescent="0.2">
      <c r="A595" t="s">
        <v>46</v>
      </c>
      <c r="B595" t="s">
        <v>71</v>
      </c>
      <c r="C595" t="s">
        <v>1726</v>
      </c>
      <c r="D595" t="s">
        <v>1034</v>
      </c>
      <c r="E595" t="s">
        <v>19</v>
      </c>
      <c r="F595" t="s">
        <v>1716</v>
      </c>
      <c r="G595" t="s">
        <v>1674</v>
      </c>
      <c r="H595" s="4" t="str">
        <f t="shared" si="163"/>
        <v/>
      </c>
      <c r="I595" s="4" t="str">
        <f>IF(RIGHT(B595,1)="M",IF(AND(H595=1,E595="RFS",D595=INDEX('Station Depth Averages'!$A$3:$B$84,MATCH(B595,'Station Depth Averages'!$A$3:$A$84,0),2)),1,""),IF(AND(H595=1,OR(D595="SYN",D595="SRF",D595="MID")),1,IF(AND(H595=1,OR(E596="FDn",E596="LDn")),1,IF(AND(H595=1,OR(E595="FDn",E595="LDn")),1,""))))</f>
        <v/>
      </c>
      <c r="J595" s="4" t="str">
        <f t="shared" si="164"/>
        <v/>
      </c>
      <c r="K595" s="4" t="str">
        <f t="shared" si="165"/>
        <v/>
      </c>
      <c r="L595" s="4" t="str">
        <f t="shared" si="166"/>
        <v/>
      </c>
      <c r="M595" s="4" t="str">
        <f t="shared" si="167"/>
        <v/>
      </c>
      <c r="N595" s="4" t="str">
        <f t="shared" si="168"/>
        <v/>
      </c>
      <c r="O595" s="4" t="str">
        <f t="shared" si="169"/>
        <v/>
      </c>
      <c r="P595" s="4" t="str">
        <f t="shared" si="170"/>
        <v/>
      </c>
      <c r="Q595" s="4" t="str">
        <f t="shared" si="171"/>
        <v/>
      </c>
      <c r="R595" s="4" t="str">
        <f t="shared" si="172"/>
        <v/>
      </c>
      <c r="S595" s="4">
        <f t="shared" si="173"/>
        <v>1</v>
      </c>
      <c r="T595" s="4" t="str">
        <f t="shared" si="174"/>
        <v/>
      </c>
      <c r="U595">
        <f>IF(VLOOKUP(C595,'QA Table'!$Y$5:$Y$20,1,TRUE)=C595,1,0)</f>
        <v>0</v>
      </c>
      <c r="V595" t="str">
        <f t="shared" si="175"/>
        <v/>
      </c>
      <c r="W595" t="str">
        <f t="shared" si="176"/>
        <v/>
      </c>
      <c r="X595" t="str">
        <f t="shared" si="177"/>
        <v/>
      </c>
      <c r="Y595">
        <f t="shared" si="178"/>
        <v>0</v>
      </c>
      <c r="AA595" t="str">
        <f t="shared" si="179"/>
        <v/>
      </c>
    </row>
    <row r="596" spans="1:27" x14ac:dyDescent="0.2">
      <c r="A596" t="s">
        <v>61</v>
      </c>
      <c r="B596" t="s">
        <v>72</v>
      </c>
      <c r="C596" t="s">
        <v>1727</v>
      </c>
      <c r="D596" t="s">
        <v>2</v>
      </c>
      <c r="E596" t="s">
        <v>3</v>
      </c>
      <c r="F596" t="s">
        <v>1728</v>
      </c>
      <c r="G596" t="s">
        <v>1674</v>
      </c>
      <c r="H596" s="4">
        <f t="shared" si="163"/>
        <v>1</v>
      </c>
      <c r="I596" s="4">
        <f>IF(RIGHT(B596,1)="M",IF(AND(H596=1,E596="RFS",D596=INDEX('Station Depth Averages'!$A$3:$B$84,MATCH(B596,'Station Depth Averages'!$A$3:$A$84,0),2)),1,""),IF(AND(H596=1,OR(D596="SYN",D596="SRF",D596="MID")),1,IF(AND(H596=1,OR(E597="FDn",E597="LDn")),1,IF(AND(H596=1,OR(E596="FDn",E596="LDn")),1,""))))</f>
        <v>1</v>
      </c>
      <c r="J596" s="4">
        <f t="shared" si="164"/>
        <v>1</v>
      </c>
      <c r="K596" s="4" t="str">
        <f t="shared" si="165"/>
        <v/>
      </c>
      <c r="L596" s="4" t="str">
        <f t="shared" si="166"/>
        <v/>
      </c>
      <c r="M596" s="4" t="str">
        <f t="shared" si="167"/>
        <v/>
      </c>
      <c r="N596" s="4" t="str">
        <f t="shared" si="168"/>
        <v/>
      </c>
      <c r="O596" s="4" t="str">
        <f t="shared" si="169"/>
        <v/>
      </c>
      <c r="P596" s="4" t="str">
        <f t="shared" si="170"/>
        <v/>
      </c>
      <c r="Q596" s="4" t="str">
        <f t="shared" si="171"/>
        <v/>
      </c>
      <c r="R596" s="4" t="str">
        <f t="shared" si="172"/>
        <v/>
      </c>
      <c r="S596" s="4" t="str">
        <f t="shared" si="173"/>
        <v/>
      </c>
      <c r="T596" s="4" t="str">
        <f t="shared" si="174"/>
        <v/>
      </c>
      <c r="U596">
        <f>IF(VLOOKUP(C596,'QA Table'!$Y$5:$Y$20,1,TRUE)=C596,1,0)</f>
        <v>0</v>
      </c>
      <c r="V596" t="str">
        <f t="shared" si="175"/>
        <v/>
      </c>
      <c r="W596" t="str">
        <f t="shared" si="176"/>
        <v/>
      </c>
      <c r="X596">
        <f t="shared" si="177"/>
        <v>4</v>
      </c>
      <c r="Y596">
        <f t="shared" si="178"/>
        <v>0</v>
      </c>
      <c r="AA596">
        <f t="shared" si="179"/>
        <v>1</v>
      </c>
    </row>
    <row r="597" spans="1:27" x14ac:dyDescent="0.2">
      <c r="A597" t="s">
        <v>61</v>
      </c>
      <c r="B597" t="s">
        <v>72</v>
      </c>
      <c r="C597" t="s">
        <v>1729</v>
      </c>
      <c r="D597" t="s">
        <v>1050</v>
      </c>
      <c r="E597" t="s">
        <v>3</v>
      </c>
      <c r="F597" t="s">
        <v>1728</v>
      </c>
      <c r="G597" t="s">
        <v>1674</v>
      </c>
      <c r="H597" s="4" t="str">
        <f t="shared" si="163"/>
        <v/>
      </c>
      <c r="I597" s="4" t="str">
        <f>IF(RIGHT(B597,1)="M",IF(AND(H597=1,E597="RFS",D597=INDEX('Station Depth Averages'!$A$3:$B$84,MATCH(B597,'Station Depth Averages'!$A$3:$A$84,0),2)),1,""),IF(AND(H597=1,OR(D597="SYN",D597="SRF",D597="MID")),1,IF(AND(H597=1,OR(E598="FDn",E598="LDn")),1,IF(AND(H597=1,OR(E597="FDn",E597="LDn")),1,""))))</f>
        <v/>
      </c>
      <c r="J597" s="4" t="str">
        <f t="shared" si="164"/>
        <v/>
      </c>
      <c r="K597" s="4" t="str">
        <f t="shared" si="165"/>
        <v/>
      </c>
      <c r="L597" s="4" t="str">
        <f t="shared" si="166"/>
        <v/>
      </c>
      <c r="M597" s="4" t="str">
        <f t="shared" si="167"/>
        <v/>
      </c>
      <c r="N597" s="4" t="str">
        <f t="shared" si="168"/>
        <v/>
      </c>
      <c r="O597" s="4" t="str">
        <f t="shared" si="169"/>
        <v/>
      </c>
      <c r="P597" s="4" t="str">
        <f t="shared" si="170"/>
        <v/>
      </c>
      <c r="Q597" s="4" t="str">
        <f t="shared" si="171"/>
        <v/>
      </c>
      <c r="R597" s="4" t="str">
        <f t="shared" si="172"/>
        <v/>
      </c>
      <c r="S597" s="4" t="str">
        <f t="shared" si="173"/>
        <v/>
      </c>
      <c r="T597" s="4" t="str">
        <f t="shared" si="174"/>
        <v/>
      </c>
      <c r="U597">
        <f>IF(VLOOKUP(C597,'QA Table'!$Y$5:$Y$20,1,TRUE)=C597,1,0)</f>
        <v>0</v>
      </c>
      <c r="V597" t="str">
        <f t="shared" si="175"/>
        <v/>
      </c>
      <c r="W597" t="str">
        <f t="shared" si="176"/>
        <v/>
      </c>
      <c r="X597" t="str">
        <f t="shared" si="177"/>
        <v/>
      </c>
      <c r="Y597">
        <f t="shared" si="178"/>
        <v>0</v>
      </c>
      <c r="AA597" t="str">
        <f t="shared" si="179"/>
        <v/>
      </c>
    </row>
    <row r="598" spans="1:27" x14ac:dyDescent="0.2">
      <c r="A598" t="s">
        <v>61</v>
      </c>
      <c r="B598" t="s">
        <v>72</v>
      </c>
      <c r="C598" t="s">
        <v>1730</v>
      </c>
      <c r="D598" t="s">
        <v>4</v>
      </c>
      <c r="E598" t="s">
        <v>3</v>
      </c>
      <c r="F598" t="s">
        <v>1728</v>
      </c>
      <c r="G598" t="s">
        <v>1674</v>
      </c>
      <c r="H598" s="4" t="str">
        <f t="shared" si="163"/>
        <v/>
      </c>
      <c r="I598" s="4" t="str">
        <f>IF(RIGHT(B598,1)="M",IF(AND(H598=1,E598="RFS",D598=INDEX('Station Depth Averages'!$A$3:$B$84,MATCH(B598,'Station Depth Averages'!$A$3:$A$84,0),2)),1,""),IF(AND(H598=1,OR(D598="SYN",D598="SRF",D598="MID")),1,IF(AND(H598=1,OR(E599="FDn",E599="LDn")),1,IF(AND(H598=1,OR(E598="FDn",E598="LDn")),1,""))))</f>
        <v/>
      </c>
      <c r="J598" s="4" t="str">
        <f t="shared" si="164"/>
        <v/>
      </c>
      <c r="K598" s="4" t="str">
        <f t="shared" si="165"/>
        <v/>
      </c>
      <c r="L598" s="4" t="str">
        <f t="shared" si="166"/>
        <v/>
      </c>
      <c r="M598" s="4" t="str">
        <f t="shared" si="167"/>
        <v/>
      </c>
      <c r="N598" s="4" t="str">
        <f t="shared" si="168"/>
        <v/>
      </c>
      <c r="O598" s="4" t="str">
        <f t="shared" si="169"/>
        <v/>
      </c>
      <c r="P598" s="4" t="str">
        <f t="shared" si="170"/>
        <v/>
      </c>
      <c r="Q598" s="4" t="str">
        <f t="shared" si="171"/>
        <v/>
      </c>
      <c r="R598" s="4" t="str">
        <f t="shared" si="172"/>
        <v/>
      </c>
      <c r="S598" s="4" t="str">
        <f t="shared" si="173"/>
        <v/>
      </c>
      <c r="T598" s="4" t="str">
        <f t="shared" si="174"/>
        <v/>
      </c>
      <c r="U598">
        <f>IF(VLOOKUP(C598,'QA Table'!$Y$5:$Y$20,1,TRUE)=C598,1,0)</f>
        <v>0</v>
      </c>
      <c r="V598" t="str">
        <f t="shared" si="175"/>
        <v/>
      </c>
      <c r="W598" t="str">
        <f t="shared" si="176"/>
        <v/>
      </c>
      <c r="X598" t="str">
        <f t="shared" si="177"/>
        <v/>
      </c>
      <c r="Y598">
        <f t="shared" si="178"/>
        <v>0</v>
      </c>
      <c r="AA598" t="str">
        <f t="shared" si="179"/>
        <v/>
      </c>
    </row>
    <row r="599" spans="1:27" x14ac:dyDescent="0.2">
      <c r="A599" t="s">
        <v>61</v>
      </c>
      <c r="B599" t="s">
        <v>72</v>
      </c>
      <c r="C599" t="s">
        <v>1731</v>
      </c>
      <c r="D599" t="s">
        <v>1051</v>
      </c>
      <c r="E599" t="s">
        <v>3</v>
      </c>
      <c r="F599" t="s">
        <v>1728</v>
      </c>
      <c r="G599" t="s">
        <v>1674</v>
      </c>
      <c r="H599" s="4" t="str">
        <f t="shared" si="163"/>
        <v/>
      </c>
      <c r="I599" s="4" t="str">
        <f>IF(RIGHT(B599,1)="M",IF(AND(H599=1,E599="RFS",D599=INDEX('Station Depth Averages'!$A$3:$B$84,MATCH(B599,'Station Depth Averages'!$A$3:$A$84,0),2)),1,""),IF(AND(H599=1,OR(D599="SYN",D599="SRF",D599="MID")),1,IF(AND(H599=1,OR(E600="FDn",E600="LDn")),1,IF(AND(H599=1,OR(E599="FDn",E599="LDn")),1,""))))</f>
        <v/>
      </c>
      <c r="J599" s="4" t="str">
        <f t="shared" si="164"/>
        <v/>
      </c>
      <c r="K599" s="4" t="str">
        <f t="shared" si="165"/>
        <v/>
      </c>
      <c r="L599" s="4" t="str">
        <f t="shared" si="166"/>
        <v/>
      </c>
      <c r="M599" s="4" t="str">
        <f t="shared" si="167"/>
        <v/>
      </c>
      <c r="N599" s="4" t="str">
        <f t="shared" si="168"/>
        <v/>
      </c>
      <c r="O599" s="4" t="str">
        <f t="shared" si="169"/>
        <v/>
      </c>
      <c r="P599" s="4" t="str">
        <f t="shared" si="170"/>
        <v/>
      </c>
      <c r="Q599" s="4" t="str">
        <f t="shared" si="171"/>
        <v/>
      </c>
      <c r="R599" s="4" t="str">
        <f t="shared" si="172"/>
        <v/>
      </c>
      <c r="S599" s="4" t="str">
        <f t="shared" si="173"/>
        <v/>
      </c>
      <c r="T599" s="4" t="str">
        <f t="shared" si="174"/>
        <v/>
      </c>
      <c r="U599">
        <f>IF(VLOOKUP(C599,'QA Table'!$Y$5:$Y$20,1,TRUE)=C599,1,0)</f>
        <v>0</v>
      </c>
      <c r="V599" t="str">
        <f t="shared" si="175"/>
        <v/>
      </c>
      <c r="W599" t="str">
        <f t="shared" si="176"/>
        <v/>
      </c>
      <c r="X599" t="str">
        <f t="shared" si="177"/>
        <v/>
      </c>
      <c r="Y599">
        <f t="shared" si="178"/>
        <v>0</v>
      </c>
      <c r="AA599" t="str">
        <f t="shared" si="179"/>
        <v/>
      </c>
    </row>
    <row r="600" spans="1:27" x14ac:dyDescent="0.2">
      <c r="A600" t="s">
        <v>61</v>
      </c>
      <c r="B600" t="s">
        <v>72</v>
      </c>
      <c r="C600" t="s">
        <v>1732</v>
      </c>
      <c r="D600" t="s">
        <v>119</v>
      </c>
      <c r="E600" t="s">
        <v>3</v>
      </c>
      <c r="F600" t="s">
        <v>1728</v>
      </c>
      <c r="G600" t="s">
        <v>1674</v>
      </c>
      <c r="H600" s="4">
        <f t="shared" si="163"/>
        <v>1</v>
      </c>
      <c r="I600" s="4">
        <f>IF(RIGHT(B600,1)="M",IF(AND(H600=1,E600="RFS",D600=INDEX('Station Depth Averages'!$A$3:$B$84,MATCH(B600,'Station Depth Averages'!$A$3:$A$84,0),2)),1,""),IF(AND(H600=1,OR(D600="SYN",D600="SRF",D600="MID")),1,IF(AND(H600=1,OR(E601="FDn",E601="LDn")),1,IF(AND(H600=1,OR(E600="FDn",E600="LDn")),1,""))))</f>
        <v>1</v>
      </c>
      <c r="J600" s="4">
        <f t="shared" si="164"/>
        <v>1</v>
      </c>
      <c r="K600" s="4" t="str">
        <f t="shared" si="165"/>
        <v/>
      </c>
      <c r="L600" s="4" t="str">
        <f t="shared" si="166"/>
        <v/>
      </c>
      <c r="M600" s="4" t="str">
        <f t="shared" si="167"/>
        <v/>
      </c>
      <c r="N600" s="4" t="str">
        <f t="shared" si="168"/>
        <v/>
      </c>
      <c r="O600" s="4" t="str">
        <f t="shared" si="169"/>
        <v/>
      </c>
      <c r="P600" s="4" t="str">
        <f t="shared" si="170"/>
        <v/>
      </c>
      <c r="Q600" s="4" t="str">
        <f t="shared" si="171"/>
        <v/>
      </c>
      <c r="R600" s="4" t="str">
        <f t="shared" si="172"/>
        <v/>
      </c>
      <c r="S600" s="4" t="str">
        <f t="shared" si="173"/>
        <v/>
      </c>
      <c r="T600" s="4" t="str">
        <f t="shared" si="174"/>
        <v/>
      </c>
      <c r="U600">
        <f>IF(VLOOKUP(C600,'QA Table'!$Y$5:$Y$20,1,TRUE)=C600,1,0)</f>
        <v>0</v>
      </c>
      <c r="V600" t="str">
        <f t="shared" si="175"/>
        <v/>
      </c>
      <c r="W600" t="str">
        <f t="shared" si="176"/>
        <v/>
      </c>
      <c r="X600">
        <f t="shared" si="177"/>
        <v>4</v>
      </c>
      <c r="Y600">
        <f t="shared" si="178"/>
        <v>0</v>
      </c>
      <c r="AA600">
        <f t="shared" si="179"/>
        <v>1</v>
      </c>
    </row>
    <row r="601" spans="1:27" x14ac:dyDescent="0.2">
      <c r="A601" t="s">
        <v>61</v>
      </c>
      <c r="B601" t="s">
        <v>72</v>
      </c>
      <c r="C601" t="s">
        <v>1115</v>
      </c>
      <c r="D601" t="s">
        <v>5</v>
      </c>
      <c r="E601" t="s">
        <v>3</v>
      </c>
      <c r="F601" t="s">
        <v>1728</v>
      </c>
      <c r="G601" t="s">
        <v>1674</v>
      </c>
      <c r="H601" s="4">
        <f t="shared" si="163"/>
        <v>1</v>
      </c>
      <c r="I601" s="4">
        <f>IF(RIGHT(B601,1)="M",IF(AND(H601=1,E601="RFS",D601=INDEX('Station Depth Averages'!$A$3:$B$84,MATCH(B601,'Station Depth Averages'!$A$3:$A$84,0),2)),1,""),IF(AND(H601=1,OR(D601="SYN",D601="SRF",D601="MID")),1,IF(AND(H601=1,OR(E602="FDn",E602="LDn")),1,IF(AND(H601=1,OR(E601="FDn",E601="LDn")),1,""))))</f>
        <v>1</v>
      </c>
      <c r="J601" s="4">
        <f t="shared" si="164"/>
        <v>1</v>
      </c>
      <c r="K601" s="4" t="str">
        <f t="shared" si="165"/>
        <v/>
      </c>
      <c r="L601" s="4" t="str">
        <f t="shared" si="166"/>
        <v/>
      </c>
      <c r="M601" s="4" t="str">
        <f t="shared" si="167"/>
        <v/>
      </c>
      <c r="N601" s="4" t="str">
        <f t="shared" si="168"/>
        <v/>
      </c>
      <c r="O601" s="4" t="str">
        <f t="shared" si="169"/>
        <v/>
      </c>
      <c r="P601" s="4" t="str">
        <f t="shared" si="170"/>
        <v/>
      </c>
      <c r="Q601" s="4" t="str">
        <f t="shared" si="171"/>
        <v/>
      </c>
      <c r="R601" s="4" t="str">
        <f t="shared" si="172"/>
        <v/>
      </c>
      <c r="S601" s="4" t="str">
        <f t="shared" si="173"/>
        <v/>
      </c>
      <c r="T601" s="4" t="str">
        <f t="shared" si="174"/>
        <v/>
      </c>
      <c r="U601">
        <f>IF(VLOOKUP(C601,'QA Table'!$Y$5:$Y$20,1,TRUE)=C601,1,0)</f>
        <v>0</v>
      </c>
      <c r="V601" t="str">
        <f t="shared" si="175"/>
        <v/>
      </c>
      <c r="W601" t="str">
        <f t="shared" si="176"/>
        <v/>
      </c>
      <c r="X601">
        <f t="shared" si="177"/>
        <v>4</v>
      </c>
      <c r="Y601">
        <f t="shared" si="178"/>
        <v>0</v>
      </c>
      <c r="AA601">
        <f t="shared" si="179"/>
        <v>1</v>
      </c>
    </row>
    <row r="602" spans="1:27" x14ac:dyDescent="0.2">
      <c r="A602" t="s">
        <v>61</v>
      </c>
      <c r="B602" t="s">
        <v>72</v>
      </c>
      <c r="C602" t="s">
        <v>1733</v>
      </c>
      <c r="D602" t="s">
        <v>5</v>
      </c>
      <c r="E602" t="s">
        <v>7</v>
      </c>
      <c r="F602" t="s">
        <v>1728</v>
      </c>
      <c r="G602" t="s">
        <v>1674</v>
      </c>
      <c r="H602" s="4">
        <f t="shared" si="163"/>
        <v>1</v>
      </c>
      <c r="I602" s="4">
        <f>IF(RIGHT(B602,1)="M",IF(AND(H602=1,E602="RFS",D602=INDEX('Station Depth Averages'!$A$3:$B$84,MATCH(B602,'Station Depth Averages'!$A$3:$A$84,0),2)),1,""),IF(AND(H602=1,OR(D602="SYN",D602="SRF",D602="MID")),1,IF(AND(H602=1,OR(E603="FDn",E603="LDn")),1,IF(AND(H602=1,OR(E602="FDn",E602="LDn")),1,""))))</f>
        <v>1</v>
      </c>
      <c r="J602" s="4">
        <f t="shared" si="164"/>
        <v>1</v>
      </c>
      <c r="K602" s="4" t="str">
        <f t="shared" si="165"/>
        <v/>
      </c>
      <c r="L602" s="4" t="str">
        <f t="shared" si="166"/>
        <v/>
      </c>
      <c r="M602" s="4" t="str">
        <f t="shared" si="167"/>
        <v/>
      </c>
      <c r="N602" s="4" t="str">
        <f t="shared" si="168"/>
        <v/>
      </c>
      <c r="O602" s="4" t="str">
        <f t="shared" si="169"/>
        <v/>
      </c>
      <c r="P602" s="4" t="str">
        <f t="shared" si="170"/>
        <v/>
      </c>
      <c r="Q602" s="4" t="str">
        <f t="shared" si="171"/>
        <v/>
      </c>
      <c r="R602" s="4" t="str">
        <f t="shared" si="172"/>
        <v/>
      </c>
      <c r="S602" s="4" t="str">
        <f t="shared" si="173"/>
        <v/>
      </c>
      <c r="T602" s="4" t="str">
        <f t="shared" si="174"/>
        <v/>
      </c>
      <c r="U602">
        <f>IF(VLOOKUP(C602,'QA Table'!$Y$5:$Y$20,1,TRUE)=C602,1,0)</f>
        <v>0</v>
      </c>
      <c r="V602" t="str">
        <f t="shared" si="175"/>
        <v/>
      </c>
      <c r="W602" t="str">
        <f t="shared" si="176"/>
        <v/>
      </c>
      <c r="X602">
        <f t="shared" si="177"/>
        <v>4</v>
      </c>
      <c r="Y602">
        <f t="shared" si="178"/>
        <v>0</v>
      </c>
      <c r="AA602">
        <f t="shared" si="179"/>
        <v>1</v>
      </c>
    </row>
    <row r="603" spans="1:27" x14ac:dyDescent="0.2">
      <c r="A603" t="s">
        <v>61</v>
      </c>
      <c r="B603" t="s">
        <v>72</v>
      </c>
      <c r="C603" t="s">
        <v>1734</v>
      </c>
      <c r="D603" t="s">
        <v>6</v>
      </c>
      <c r="E603" t="s">
        <v>3</v>
      </c>
      <c r="F603" t="s">
        <v>1728</v>
      </c>
      <c r="G603" t="s">
        <v>1674</v>
      </c>
      <c r="H603" s="4">
        <f t="shared" si="163"/>
        <v>1</v>
      </c>
      <c r="I603" s="4" t="str">
        <f>IF(RIGHT(B603,1)="M",IF(AND(H603=1,E603="RFS",D603=INDEX('Station Depth Averages'!$A$3:$B$84,MATCH(B603,'Station Depth Averages'!$A$3:$A$84,0),2)),1,""),IF(AND(H603=1,OR(D603="SYN",D603="SRF",D603="MID")),1,IF(AND(H603=1,OR(E604="FDn",E604="LDn")),1,IF(AND(H603=1,OR(E603="FDn",E603="LDn")),1,""))))</f>
        <v/>
      </c>
      <c r="J603" s="4">
        <f t="shared" si="164"/>
        <v>1</v>
      </c>
      <c r="K603" s="4" t="str">
        <f t="shared" si="165"/>
        <v/>
      </c>
      <c r="L603" s="4" t="str">
        <f t="shared" si="166"/>
        <v/>
      </c>
      <c r="M603" s="4" t="str">
        <f t="shared" si="167"/>
        <v/>
      </c>
      <c r="N603" s="4" t="str">
        <f t="shared" si="168"/>
        <v/>
      </c>
      <c r="O603" s="4" t="str">
        <f t="shared" si="169"/>
        <v/>
      </c>
      <c r="P603" s="4" t="str">
        <f t="shared" si="170"/>
        <v/>
      </c>
      <c r="Q603" s="4" t="str">
        <f t="shared" si="171"/>
        <v/>
      </c>
      <c r="R603" s="4" t="str">
        <f t="shared" si="172"/>
        <v/>
      </c>
      <c r="S603" s="4" t="str">
        <f t="shared" si="173"/>
        <v/>
      </c>
      <c r="T603" s="4" t="str">
        <f t="shared" si="174"/>
        <v/>
      </c>
      <c r="U603">
        <f>IF(VLOOKUP(C603,'QA Table'!$Y$5:$Y$20,1,TRUE)=C603,1,0)</f>
        <v>0</v>
      </c>
      <c r="V603" t="str">
        <f t="shared" si="175"/>
        <v/>
      </c>
      <c r="W603" t="str">
        <f t="shared" si="176"/>
        <v/>
      </c>
      <c r="X603">
        <f t="shared" si="177"/>
        <v>4</v>
      </c>
      <c r="Y603">
        <f t="shared" si="178"/>
        <v>0</v>
      </c>
      <c r="AA603">
        <f t="shared" si="179"/>
        <v>1</v>
      </c>
    </row>
    <row r="604" spans="1:27" x14ac:dyDescent="0.2">
      <c r="A604" t="s">
        <v>61</v>
      </c>
      <c r="B604" t="s">
        <v>72</v>
      </c>
      <c r="C604" t="s">
        <v>1735</v>
      </c>
      <c r="D604" t="s">
        <v>8</v>
      </c>
      <c r="E604" t="s">
        <v>3</v>
      </c>
      <c r="F604" t="s">
        <v>1728</v>
      </c>
      <c r="G604" t="s">
        <v>1674</v>
      </c>
      <c r="H604" s="4">
        <f t="shared" si="163"/>
        <v>1</v>
      </c>
      <c r="I604" s="4" t="str">
        <f>IF(RIGHT(B604,1)="M",IF(AND(H604=1,E604="RFS",D604=INDEX('Station Depth Averages'!$A$3:$B$84,MATCH(B604,'Station Depth Averages'!$A$3:$A$84,0),2)),1,""),IF(AND(H604=1,OR(D604="SYN",D604="SRF",D604="MID")),1,IF(AND(H604=1,OR(E605="FDn",E605="LDn")),1,IF(AND(H604=1,OR(E604="FDn",E604="LDn")),1,""))))</f>
        <v/>
      </c>
      <c r="J604" s="4" t="str">
        <f t="shared" si="164"/>
        <v/>
      </c>
      <c r="K604" s="4">
        <f t="shared" si="165"/>
        <v>1</v>
      </c>
      <c r="L604" s="4" t="str">
        <f t="shared" si="166"/>
        <v/>
      </c>
      <c r="M604" s="4" t="str">
        <f t="shared" si="167"/>
        <v/>
      </c>
      <c r="N604" s="4" t="str">
        <f t="shared" si="168"/>
        <v/>
      </c>
      <c r="O604" s="4" t="str">
        <f t="shared" si="169"/>
        <v/>
      </c>
      <c r="P604" s="4" t="str">
        <f t="shared" si="170"/>
        <v/>
      </c>
      <c r="Q604" s="4">
        <f t="shared" si="171"/>
        <v>2</v>
      </c>
      <c r="R604" s="4" t="str">
        <f t="shared" si="172"/>
        <v/>
      </c>
      <c r="S604" s="4" t="str">
        <f t="shared" si="173"/>
        <v/>
      </c>
      <c r="T604" s="4" t="str">
        <f t="shared" si="174"/>
        <v/>
      </c>
      <c r="U604">
        <f>IF(VLOOKUP(C604,'QA Table'!$Y$5:$Y$20,1,TRUE)=C604,1,0)</f>
        <v>0</v>
      </c>
      <c r="V604" t="str">
        <f t="shared" si="175"/>
        <v/>
      </c>
      <c r="W604" t="str">
        <f t="shared" si="176"/>
        <v/>
      </c>
      <c r="X604">
        <f t="shared" si="177"/>
        <v>4</v>
      </c>
      <c r="Y604">
        <f t="shared" si="178"/>
        <v>0</v>
      </c>
      <c r="AA604">
        <f t="shared" si="179"/>
        <v>1</v>
      </c>
    </row>
    <row r="605" spans="1:27" x14ac:dyDescent="0.2">
      <c r="A605" t="s">
        <v>61</v>
      </c>
      <c r="B605" t="s">
        <v>72</v>
      </c>
      <c r="C605" t="s">
        <v>1736</v>
      </c>
      <c r="D605" t="s">
        <v>9</v>
      </c>
      <c r="E605" t="s">
        <v>3</v>
      </c>
      <c r="F605" t="s">
        <v>1728</v>
      </c>
      <c r="G605" t="s">
        <v>1674</v>
      </c>
      <c r="H605" s="4" t="str">
        <f t="shared" si="163"/>
        <v/>
      </c>
      <c r="I605" s="4" t="str">
        <f>IF(RIGHT(B605,1)="M",IF(AND(H605=1,E605="RFS",D605=INDEX('Station Depth Averages'!$A$3:$B$84,MATCH(B605,'Station Depth Averages'!$A$3:$A$84,0),2)),1,""),IF(AND(H605=1,OR(D605="SYN",D605="SRF",D605="MID")),1,IF(AND(H605=1,OR(E606="FDn",E606="LDn")),1,IF(AND(H605=1,OR(E605="FDn",E605="LDn")),1,""))))</f>
        <v/>
      </c>
      <c r="J605" s="4" t="str">
        <f t="shared" si="164"/>
        <v/>
      </c>
      <c r="K605" s="4" t="str">
        <f t="shared" si="165"/>
        <v/>
      </c>
      <c r="L605" s="4" t="str">
        <f t="shared" si="166"/>
        <v/>
      </c>
      <c r="M605" s="4" t="str">
        <f t="shared" si="167"/>
        <v/>
      </c>
      <c r="N605" s="4" t="str">
        <f t="shared" si="168"/>
        <v/>
      </c>
      <c r="O605" s="4" t="str">
        <f t="shared" si="169"/>
        <v/>
      </c>
      <c r="P605" s="4" t="str">
        <f t="shared" si="170"/>
        <v/>
      </c>
      <c r="Q605" s="4" t="str">
        <f t="shared" si="171"/>
        <v/>
      </c>
      <c r="R605" s="4" t="str">
        <f t="shared" si="172"/>
        <v/>
      </c>
      <c r="S605" s="4" t="str">
        <f t="shared" si="173"/>
        <v/>
      </c>
      <c r="T605" s="4">
        <f t="shared" si="174"/>
        <v>1</v>
      </c>
      <c r="U605">
        <f>IF(VLOOKUP(C605,'QA Table'!$Y$5:$Y$20,1,TRUE)=C605,1,0)</f>
        <v>0</v>
      </c>
      <c r="V605" t="str">
        <f t="shared" si="175"/>
        <v/>
      </c>
      <c r="W605" t="str">
        <f t="shared" si="176"/>
        <v/>
      </c>
      <c r="X605" t="str">
        <f t="shared" si="177"/>
        <v/>
      </c>
      <c r="Y605">
        <f t="shared" si="178"/>
        <v>0</v>
      </c>
      <c r="AA605" t="str">
        <f t="shared" si="179"/>
        <v/>
      </c>
    </row>
    <row r="606" spans="1:27" x14ac:dyDescent="0.2">
      <c r="A606" t="s">
        <v>61</v>
      </c>
      <c r="B606" t="s">
        <v>72</v>
      </c>
      <c r="C606" t="s">
        <v>1737</v>
      </c>
      <c r="D606" t="s">
        <v>10</v>
      </c>
      <c r="E606" t="s">
        <v>3</v>
      </c>
      <c r="F606" t="s">
        <v>1728</v>
      </c>
      <c r="G606" t="s">
        <v>1674</v>
      </c>
      <c r="H606" s="4" t="str">
        <f t="shared" si="163"/>
        <v/>
      </c>
      <c r="I606" s="4" t="str">
        <f>IF(RIGHT(B606,1)="M",IF(AND(H606=1,E606="RFS",D606=INDEX('Station Depth Averages'!$A$3:$B$84,MATCH(B606,'Station Depth Averages'!$A$3:$A$84,0),2)),1,""),IF(AND(H606=1,OR(D606="SYN",D606="SRF",D606="MID")),1,IF(AND(H606=1,OR(E607="FDn",E607="LDn")),1,IF(AND(H606=1,OR(E606="FDn",E606="LDn")),1,""))))</f>
        <v/>
      </c>
      <c r="J606" s="4" t="str">
        <f t="shared" si="164"/>
        <v/>
      </c>
      <c r="K606" s="4" t="str">
        <f t="shared" si="165"/>
        <v/>
      </c>
      <c r="L606" s="4" t="str">
        <f t="shared" si="166"/>
        <v/>
      </c>
      <c r="M606" s="4" t="str">
        <f t="shared" si="167"/>
        <v/>
      </c>
      <c r="N606" s="4" t="str">
        <f t="shared" si="168"/>
        <v/>
      </c>
      <c r="O606" s="4" t="str">
        <f t="shared" si="169"/>
        <v/>
      </c>
      <c r="P606" s="4" t="str">
        <f t="shared" si="170"/>
        <v/>
      </c>
      <c r="Q606" s="4" t="str">
        <f t="shared" si="171"/>
        <v/>
      </c>
      <c r="R606" s="4" t="str">
        <f t="shared" si="172"/>
        <v/>
      </c>
      <c r="S606" s="4" t="str">
        <f t="shared" si="173"/>
        <v/>
      </c>
      <c r="T606" s="4">
        <f t="shared" si="174"/>
        <v>1</v>
      </c>
      <c r="U606">
        <f>IF(VLOOKUP(C606,'QA Table'!$Y$5:$Y$20,1,TRUE)=C606,1,0)</f>
        <v>0</v>
      </c>
      <c r="V606" t="str">
        <f t="shared" si="175"/>
        <v/>
      </c>
      <c r="W606" t="str">
        <f t="shared" si="176"/>
        <v/>
      </c>
      <c r="X606" t="str">
        <f t="shared" si="177"/>
        <v/>
      </c>
      <c r="Y606">
        <f t="shared" si="178"/>
        <v>0</v>
      </c>
      <c r="AA606" t="str">
        <f t="shared" si="179"/>
        <v/>
      </c>
    </row>
    <row r="607" spans="1:27" x14ac:dyDescent="0.2">
      <c r="A607" t="s">
        <v>61</v>
      </c>
      <c r="B607" t="s">
        <v>72</v>
      </c>
      <c r="C607" t="s">
        <v>1738</v>
      </c>
      <c r="D607" t="s">
        <v>1034</v>
      </c>
      <c r="E607" t="s">
        <v>3</v>
      </c>
      <c r="F607" t="s">
        <v>1728</v>
      </c>
      <c r="G607" t="s">
        <v>1674</v>
      </c>
      <c r="H607" s="4" t="str">
        <f t="shared" si="163"/>
        <v/>
      </c>
      <c r="I607" s="4" t="str">
        <f>IF(RIGHT(B607,1)="M",IF(AND(H607=1,E607="RFS",D607=INDEX('Station Depth Averages'!$A$3:$B$84,MATCH(B607,'Station Depth Averages'!$A$3:$A$84,0),2)),1,""),IF(AND(H607=1,OR(D607="SYN",D607="SRF",D607="MID")),1,IF(AND(H607=1,OR(E608="FDn",E608="LDn")),1,IF(AND(H607=1,OR(E607="FDn",E607="LDn")),1,""))))</f>
        <v/>
      </c>
      <c r="J607" s="4" t="str">
        <f t="shared" si="164"/>
        <v/>
      </c>
      <c r="K607" s="4" t="str">
        <f t="shared" si="165"/>
        <v/>
      </c>
      <c r="L607" s="4" t="str">
        <f t="shared" si="166"/>
        <v/>
      </c>
      <c r="M607" s="4" t="str">
        <f t="shared" si="167"/>
        <v/>
      </c>
      <c r="N607" s="4" t="str">
        <f t="shared" si="168"/>
        <v/>
      </c>
      <c r="O607" s="4" t="str">
        <f t="shared" si="169"/>
        <v/>
      </c>
      <c r="P607" s="4" t="str">
        <f t="shared" si="170"/>
        <v/>
      </c>
      <c r="Q607" s="4" t="str">
        <f t="shared" si="171"/>
        <v/>
      </c>
      <c r="R607" s="4" t="str">
        <f t="shared" si="172"/>
        <v/>
      </c>
      <c r="S607" s="4">
        <f t="shared" si="173"/>
        <v>1</v>
      </c>
      <c r="T607" s="4" t="str">
        <f t="shared" si="174"/>
        <v/>
      </c>
      <c r="U607">
        <f>IF(VLOOKUP(C607,'QA Table'!$Y$5:$Y$20,1,TRUE)=C607,1,0)</f>
        <v>0</v>
      </c>
      <c r="V607" t="str">
        <f t="shared" si="175"/>
        <v/>
      </c>
      <c r="W607" t="str">
        <f t="shared" si="176"/>
        <v/>
      </c>
      <c r="X607" t="str">
        <f t="shared" si="177"/>
        <v/>
      </c>
      <c r="Y607">
        <f t="shared" si="178"/>
        <v>0</v>
      </c>
      <c r="AA607" t="str">
        <f t="shared" si="179"/>
        <v/>
      </c>
    </row>
    <row r="608" spans="1:27" x14ac:dyDescent="0.2">
      <c r="A608" t="s">
        <v>61</v>
      </c>
      <c r="B608" t="s">
        <v>72</v>
      </c>
      <c r="C608" t="s">
        <v>1739</v>
      </c>
      <c r="D608" t="s">
        <v>1034</v>
      </c>
      <c r="E608" t="s">
        <v>19</v>
      </c>
      <c r="F608" t="s">
        <v>1728</v>
      </c>
      <c r="G608" t="s">
        <v>1674</v>
      </c>
      <c r="H608" s="4" t="str">
        <f t="shared" si="163"/>
        <v/>
      </c>
      <c r="I608" s="4" t="str">
        <f>IF(RIGHT(B608,1)="M",IF(AND(H608=1,E608="RFS",D608=INDEX('Station Depth Averages'!$A$3:$B$84,MATCH(B608,'Station Depth Averages'!$A$3:$A$84,0),2)),1,""),IF(AND(H608=1,OR(D608="SYN",D608="SRF",D608="MID")),1,IF(AND(H608=1,OR(E609="FDn",E609="LDn")),1,IF(AND(H608=1,OR(E608="FDn",E608="LDn")),1,""))))</f>
        <v/>
      </c>
      <c r="J608" s="4" t="str">
        <f t="shared" si="164"/>
        <v/>
      </c>
      <c r="K608" s="4" t="str">
        <f t="shared" si="165"/>
        <v/>
      </c>
      <c r="L608" s="4" t="str">
        <f t="shared" si="166"/>
        <v/>
      </c>
      <c r="M608" s="4" t="str">
        <f t="shared" si="167"/>
        <v/>
      </c>
      <c r="N608" s="4" t="str">
        <f t="shared" si="168"/>
        <v/>
      </c>
      <c r="O608" s="4" t="str">
        <f t="shared" si="169"/>
        <v/>
      </c>
      <c r="P608" s="4" t="str">
        <f t="shared" si="170"/>
        <v/>
      </c>
      <c r="Q608" s="4" t="str">
        <f t="shared" si="171"/>
        <v/>
      </c>
      <c r="R608" s="4" t="str">
        <f t="shared" si="172"/>
        <v/>
      </c>
      <c r="S608" s="4">
        <f t="shared" si="173"/>
        <v>1</v>
      </c>
      <c r="T608" s="4" t="str">
        <f t="shared" si="174"/>
        <v/>
      </c>
      <c r="U608">
        <f>IF(VLOOKUP(C608,'QA Table'!$Y$5:$Y$20,1,TRUE)=C608,1,0)</f>
        <v>0</v>
      </c>
      <c r="V608" t="str">
        <f t="shared" si="175"/>
        <v/>
      </c>
      <c r="W608" t="str">
        <f t="shared" si="176"/>
        <v/>
      </c>
      <c r="X608" t="str">
        <f t="shared" si="177"/>
        <v/>
      </c>
      <c r="Y608">
        <f t="shared" si="178"/>
        <v>0</v>
      </c>
      <c r="AA608" t="str">
        <f t="shared" si="179"/>
        <v/>
      </c>
    </row>
    <row r="609" spans="1:27" x14ac:dyDescent="0.2">
      <c r="A609" t="s">
        <v>61</v>
      </c>
      <c r="B609" t="s">
        <v>73</v>
      </c>
      <c r="C609" t="s">
        <v>1740</v>
      </c>
      <c r="D609" t="s">
        <v>14</v>
      </c>
      <c r="E609" t="s">
        <v>15</v>
      </c>
      <c r="F609" t="s">
        <v>1741</v>
      </c>
      <c r="G609" t="s">
        <v>1674</v>
      </c>
      <c r="H609" s="4">
        <f t="shared" si="163"/>
        <v>1</v>
      </c>
      <c r="I609" s="4">
        <f>IF(RIGHT(B609,1)="M",IF(AND(H609=1,E609="RFS",D609=INDEX('Station Depth Averages'!$A$3:$B$84,MATCH(B609,'Station Depth Averages'!$A$3:$A$84,0),2)),1,""),IF(AND(H609=1,OR(D609="SYN",D609="SRF",D609="MID")),1,IF(AND(H609=1,OR(E610="FDn",E610="LDn")),1,IF(AND(H609=1,OR(E609="FDn",E609="LDn")),1,""))))</f>
        <v>1</v>
      </c>
      <c r="J609" s="4">
        <f t="shared" si="164"/>
        <v>1</v>
      </c>
      <c r="K609" s="4" t="str">
        <f t="shared" si="165"/>
        <v/>
      </c>
      <c r="L609" s="4" t="str">
        <f t="shared" si="166"/>
        <v/>
      </c>
      <c r="M609" s="4" t="str">
        <f t="shared" si="167"/>
        <v/>
      </c>
      <c r="N609" s="4" t="str">
        <f t="shared" si="168"/>
        <v/>
      </c>
      <c r="O609" s="4" t="str">
        <f t="shared" si="169"/>
        <v/>
      </c>
      <c r="P609" s="4" t="str">
        <f t="shared" si="170"/>
        <v/>
      </c>
      <c r="Q609" s="4" t="str">
        <f t="shared" si="171"/>
        <v/>
      </c>
      <c r="R609" s="4" t="str">
        <f t="shared" si="172"/>
        <v/>
      </c>
      <c r="S609" s="4" t="str">
        <f t="shared" si="173"/>
        <v/>
      </c>
      <c r="T609" s="4" t="str">
        <f t="shared" si="174"/>
        <v/>
      </c>
      <c r="U609">
        <f>IF(VLOOKUP(C609,'QA Table'!$Y$5:$Y$20,1,TRUE)=C609,1,0)</f>
        <v>0</v>
      </c>
      <c r="V609" t="str">
        <f t="shared" si="175"/>
        <v/>
      </c>
      <c r="W609" t="str">
        <f t="shared" si="176"/>
        <v/>
      </c>
      <c r="X609">
        <f t="shared" si="177"/>
        <v>4</v>
      </c>
      <c r="Y609">
        <f t="shared" si="178"/>
        <v>0</v>
      </c>
      <c r="AA609">
        <f t="shared" si="179"/>
        <v>1</v>
      </c>
    </row>
    <row r="610" spans="1:27" x14ac:dyDescent="0.2">
      <c r="A610" t="s">
        <v>61</v>
      </c>
      <c r="B610" t="s">
        <v>73</v>
      </c>
      <c r="C610" t="s">
        <v>1113</v>
      </c>
      <c r="D610" t="s">
        <v>2</v>
      </c>
      <c r="E610" t="s">
        <v>3</v>
      </c>
      <c r="F610" t="s">
        <v>1741</v>
      </c>
      <c r="G610" t="s">
        <v>1674</v>
      </c>
      <c r="H610" s="4">
        <f t="shared" si="163"/>
        <v>1</v>
      </c>
      <c r="I610" s="4">
        <f>IF(RIGHT(B610,1)="M",IF(AND(H610=1,E610="RFS",D610=INDEX('Station Depth Averages'!$A$3:$B$84,MATCH(B610,'Station Depth Averages'!$A$3:$A$84,0),2)),1,""),IF(AND(H610=1,OR(D610="SYN",D610="SRF",D610="MID")),1,IF(AND(H610=1,OR(E611="FDn",E611="LDn")),1,IF(AND(H610=1,OR(E610="FDn",E610="LDn")),1,""))))</f>
        <v>1</v>
      </c>
      <c r="J610" s="4">
        <f t="shared" si="164"/>
        <v>1</v>
      </c>
      <c r="K610" s="4" t="str">
        <f t="shared" si="165"/>
        <v/>
      </c>
      <c r="L610" s="4" t="str">
        <f t="shared" si="166"/>
        <v/>
      </c>
      <c r="M610" s="4" t="str">
        <f t="shared" si="167"/>
        <v/>
      </c>
      <c r="N610" s="4" t="str">
        <f t="shared" si="168"/>
        <v/>
      </c>
      <c r="O610" s="4" t="str">
        <f t="shared" si="169"/>
        <v/>
      </c>
      <c r="P610" s="4" t="str">
        <f t="shared" si="170"/>
        <v/>
      </c>
      <c r="Q610" s="4" t="str">
        <f t="shared" si="171"/>
        <v/>
      </c>
      <c r="R610" s="4" t="str">
        <f t="shared" si="172"/>
        <v/>
      </c>
      <c r="S610" s="4" t="str">
        <f t="shared" si="173"/>
        <v/>
      </c>
      <c r="T610" s="4" t="str">
        <f t="shared" si="174"/>
        <v/>
      </c>
      <c r="U610">
        <f>IF(VLOOKUP(C610,'QA Table'!$Y$5:$Y$20,1,TRUE)=C610,1,0)</f>
        <v>0</v>
      </c>
      <c r="V610" t="str">
        <f t="shared" si="175"/>
        <v/>
      </c>
      <c r="W610" t="str">
        <f t="shared" si="176"/>
        <v/>
      </c>
      <c r="X610">
        <f t="shared" si="177"/>
        <v>4</v>
      </c>
      <c r="Y610">
        <f t="shared" si="178"/>
        <v>0</v>
      </c>
      <c r="AA610">
        <f t="shared" si="179"/>
        <v>1</v>
      </c>
    </row>
    <row r="611" spans="1:27" x14ac:dyDescent="0.2">
      <c r="A611" t="s">
        <v>61</v>
      </c>
      <c r="B611" t="s">
        <v>73</v>
      </c>
      <c r="C611" t="s">
        <v>1742</v>
      </c>
      <c r="D611" t="s">
        <v>1050</v>
      </c>
      <c r="E611" t="s">
        <v>3</v>
      </c>
      <c r="F611" t="s">
        <v>1741</v>
      </c>
      <c r="G611" t="s">
        <v>1674</v>
      </c>
      <c r="H611" s="4" t="str">
        <f t="shared" si="163"/>
        <v/>
      </c>
      <c r="I611" s="4" t="str">
        <f>IF(RIGHT(B611,1)="M",IF(AND(H611=1,E611="RFS",D611=INDEX('Station Depth Averages'!$A$3:$B$84,MATCH(B611,'Station Depth Averages'!$A$3:$A$84,0),2)),1,""),IF(AND(H611=1,OR(D611="SYN",D611="SRF",D611="MID")),1,IF(AND(H611=1,OR(E612="FDn",E612="LDn")),1,IF(AND(H611=1,OR(E611="FDn",E611="LDn")),1,""))))</f>
        <v/>
      </c>
      <c r="J611" s="4" t="str">
        <f t="shared" si="164"/>
        <v/>
      </c>
      <c r="K611" s="4" t="str">
        <f t="shared" si="165"/>
        <v/>
      </c>
      <c r="L611" s="4" t="str">
        <f t="shared" si="166"/>
        <v/>
      </c>
      <c r="M611" s="4" t="str">
        <f t="shared" si="167"/>
        <v/>
      </c>
      <c r="N611" s="4" t="str">
        <f t="shared" si="168"/>
        <v/>
      </c>
      <c r="O611" s="4" t="str">
        <f t="shared" si="169"/>
        <v/>
      </c>
      <c r="P611" s="4" t="str">
        <f t="shared" si="170"/>
        <v/>
      </c>
      <c r="Q611" s="4" t="str">
        <f t="shared" si="171"/>
        <v/>
      </c>
      <c r="R611" s="4" t="str">
        <f t="shared" si="172"/>
        <v/>
      </c>
      <c r="S611" s="4" t="str">
        <f t="shared" si="173"/>
        <v/>
      </c>
      <c r="T611" s="4" t="str">
        <f t="shared" si="174"/>
        <v/>
      </c>
      <c r="U611">
        <f>IF(VLOOKUP(C611,'QA Table'!$Y$5:$Y$20,1,TRUE)=C611,1,0)</f>
        <v>0</v>
      </c>
      <c r="V611" t="str">
        <f t="shared" si="175"/>
        <v/>
      </c>
      <c r="W611" t="str">
        <f t="shared" si="176"/>
        <v/>
      </c>
      <c r="X611" t="str">
        <f t="shared" si="177"/>
        <v/>
      </c>
      <c r="Y611">
        <f t="shared" si="178"/>
        <v>0</v>
      </c>
      <c r="AA611" t="str">
        <f t="shared" si="179"/>
        <v/>
      </c>
    </row>
    <row r="612" spans="1:27" x14ac:dyDescent="0.2">
      <c r="A612" t="s">
        <v>61</v>
      </c>
      <c r="B612" t="s">
        <v>73</v>
      </c>
      <c r="C612" t="s">
        <v>1743</v>
      </c>
      <c r="D612" t="s">
        <v>4</v>
      </c>
      <c r="E612" t="s">
        <v>3</v>
      </c>
      <c r="F612" t="s">
        <v>1741</v>
      </c>
      <c r="G612" t="s">
        <v>1674</v>
      </c>
      <c r="H612" s="4" t="str">
        <f t="shared" si="163"/>
        <v/>
      </c>
      <c r="I612" s="4" t="str">
        <f>IF(RIGHT(B612,1)="M",IF(AND(H612=1,E612="RFS",D612=INDEX('Station Depth Averages'!$A$3:$B$84,MATCH(B612,'Station Depth Averages'!$A$3:$A$84,0),2)),1,""),IF(AND(H612=1,OR(D612="SYN",D612="SRF",D612="MID")),1,IF(AND(H612=1,OR(E613="FDn",E613="LDn")),1,IF(AND(H612=1,OR(E612="FDn",E612="LDn")),1,""))))</f>
        <v/>
      </c>
      <c r="J612" s="4" t="str">
        <f t="shared" si="164"/>
        <v/>
      </c>
      <c r="K612" s="4" t="str">
        <f t="shared" si="165"/>
        <v/>
      </c>
      <c r="L612" s="4" t="str">
        <f t="shared" si="166"/>
        <v/>
      </c>
      <c r="M612" s="4" t="str">
        <f t="shared" si="167"/>
        <v/>
      </c>
      <c r="N612" s="4" t="str">
        <f t="shared" si="168"/>
        <v/>
      </c>
      <c r="O612" s="4" t="str">
        <f t="shared" si="169"/>
        <v/>
      </c>
      <c r="P612" s="4" t="str">
        <f t="shared" si="170"/>
        <v/>
      </c>
      <c r="Q612" s="4" t="str">
        <f t="shared" si="171"/>
        <v/>
      </c>
      <c r="R612" s="4" t="str">
        <f t="shared" si="172"/>
        <v/>
      </c>
      <c r="S612" s="4" t="str">
        <f t="shared" si="173"/>
        <v/>
      </c>
      <c r="T612" s="4" t="str">
        <f t="shared" si="174"/>
        <v/>
      </c>
      <c r="U612">
        <f>IF(VLOOKUP(C612,'QA Table'!$Y$5:$Y$20,1,TRUE)=C612,1,0)</f>
        <v>0</v>
      </c>
      <c r="V612" t="str">
        <f t="shared" si="175"/>
        <v/>
      </c>
      <c r="W612" t="str">
        <f t="shared" si="176"/>
        <v/>
      </c>
      <c r="X612" t="str">
        <f t="shared" si="177"/>
        <v/>
      </c>
      <c r="Y612">
        <f t="shared" si="178"/>
        <v>0</v>
      </c>
      <c r="AA612" t="str">
        <f t="shared" si="179"/>
        <v/>
      </c>
    </row>
    <row r="613" spans="1:27" x14ac:dyDescent="0.2">
      <c r="A613" t="s">
        <v>61</v>
      </c>
      <c r="B613" t="s">
        <v>73</v>
      </c>
      <c r="C613" t="s">
        <v>1744</v>
      </c>
      <c r="D613" t="s">
        <v>1051</v>
      </c>
      <c r="E613" t="s">
        <v>3</v>
      </c>
      <c r="F613" t="s">
        <v>1741</v>
      </c>
      <c r="G613" t="s">
        <v>1674</v>
      </c>
      <c r="H613" s="4" t="str">
        <f t="shared" si="163"/>
        <v/>
      </c>
      <c r="I613" s="4" t="str">
        <f>IF(RIGHT(B613,1)="M",IF(AND(H613=1,E613="RFS",D613=INDEX('Station Depth Averages'!$A$3:$B$84,MATCH(B613,'Station Depth Averages'!$A$3:$A$84,0),2)),1,""),IF(AND(H613=1,OR(D613="SYN",D613="SRF",D613="MID")),1,IF(AND(H613=1,OR(E614="FDn",E614="LDn")),1,IF(AND(H613=1,OR(E613="FDn",E613="LDn")),1,""))))</f>
        <v/>
      </c>
      <c r="J613" s="4" t="str">
        <f t="shared" si="164"/>
        <v/>
      </c>
      <c r="K613" s="4" t="str">
        <f t="shared" si="165"/>
        <v/>
      </c>
      <c r="L613" s="4" t="str">
        <f t="shared" si="166"/>
        <v/>
      </c>
      <c r="M613" s="4" t="str">
        <f t="shared" si="167"/>
        <v/>
      </c>
      <c r="N613" s="4" t="str">
        <f t="shared" si="168"/>
        <v/>
      </c>
      <c r="O613" s="4" t="str">
        <f t="shared" si="169"/>
        <v/>
      </c>
      <c r="P613" s="4" t="str">
        <f t="shared" si="170"/>
        <v/>
      </c>
      <c r="Q613" s="4" t="str">
        <f t="shared" si="171"/>
        <v/>
      </c>
      <c r="R613" s="4" t="str">
        <f t="shared" si="172"/>
        <v/>
      </c>
      <c r="S613" s="4" t="str">
        <f t="shared" si="173"/>
        <v/>
      </c>
      <c r="T613" s="4" t="str">
        <f t="shared" si="174"/>
        <v/>
      </c>
      <c r="U613">
        <f>IF(VLOOKUP(C613,'QA Table'!$Y$5:$Y$20,1,TRUE)=C613,1,0)</f>
        <v>0</v>
      </c>
      <c r="V613" t="str">
        <f t="shared" si="175"/>
        <v/>
      </c>
      <c r="W613" t="str">
        <f t="shared" si="176"/>
        <v/>
      </c>
      <c r="X613" t="str">
        <f t="shared" si="177"/>
        <v/>
      </c>
      <c r="Y613">
        <f t="shared" si="178"/>
        <v>0</v>
      </c>
      <c r="AA613" t="str">
        <f t="shared" si="179"/>
        <v/>
      </c>
    </row>
    <row r="614" spans="1:27" x14ac:dyDescent="0.2">
      <c r="A614" t="s">
        <v>61</v>
      </c>
      <c r="B614" t="s">
        <v>73</v>
      </c>
      <c r="C614" t="s">
        <v>1745</v>
      </c>
      <c r="D614" t="s">
        <v>119</v>
      </c>
      <c r="E614" t="s">
        <v>3</v>
      </c>
      <c r="F614" t="s">
        <v>1741</v>
      </c>
      <c r="G614" t="s">
        <v>1674</v>
      </c>
      <c r="H614" s="4">
        <f t="shared" si="163"/>
        <v>1</v>
      </c>
      <c r="I614" s="4">
        <f>IF(RIGHT(B614,1)="M",IF(AND(H614=1,E614="RFS",D614=INDEX('Station Depth Averages'!$A$3:$B$84,MATCH(B614,'Station Depth Averages'!$A$3:$A$84,0),2)),1,""),IF(AND(H614=1,OR(D614="SYN",D614="SRF",D614="MID")),1,IF(AND(H614=1,OR(E615="FDn",E615="LDn")),1,IF(AND(H614=1,OR(E614="FDn",E614="LDn")),1,""))))</f>
        <v>1</v>
      </c>
      <c r="J614" s="4">
        <f t="shared" si="164"/>
        <v>1</v>
      </c>
      <c r="K614" s="4" t="str">
        <f t="shared" si="165"/>
        <v/>
      </c>
      <c r="L614" s="4" t="str">
        <f t="shared" si="166"/>
        <v/>
      </c>
      <c r="M614" s="4" t="str">
        <f t="shared" si="167"/>
        <v/>
      </c>
      <c r="N614" s="4" t="str">
        <f t="shared" si="168"/>
        <v/>
      </c>
      <c r="O614" s="4" t="str">
        <f t="shared" si="169"/>
        <v/>
      </c>
      <c r="P614" s="4" t="str">
        <f t="shared" si="170"/>
        <v/>
      </c>
      <c r="Q614" s="4" t="str">
        <f t="shared" si="171"/>
        <v/>
      </c>
      <c r="R614" s="4" t="str">
        <f t="shared" si="172"/>
        <v/>
      </c>
      <c r="S614" s="4" t="str">
        <f t="shared" si="173"/>
        <v/>
      </c>
      <c r="T614" s="4" t="str">
        <f t="shared" si="174"/>
        <v/>
      </c>
      <c r="U614">
        <f>IF(VLOOKUP(C614,'QA Table'!$Y$5:$Y$20,1,TRUE)=C614,1,0)</f>
        <v>0</v>
      </c>
      <c r="V614" t="str">
        <f t="shared" si="175"/>
        <v/>
      </c>
      <c r="W614" t="str">
        <f t="shared" si="176"/>
        <v/>
      </c>
      <c r="X614">
        <f t="shared" si="177"/>
        <v>4</v>
      </c>
      <c r="Y614">
        <f t="shared" si="178"/>
        <v>0</v>
      </c>
      <c r="AA614">
        <f t="shared" si="179"/>
        <v>1</v>
      </c>
    </row>
    <row r="615" spans="1:27" x14ac:dyDescent="0.2">
      <c r="A615" t="s">
        <v>61</v>
      </c>
      <c r="B615" t="s">
        <v>73</v>
      </c>
      <c r="C615" t="s">
        <v>1746</v>
      </c>
      <c r="D615" t="s">
        <v>5</v>
      </c>
      <c r="E615" t="s">
        <v>3</v>
      </c>
      <c r="F615" t="s">
        <v>1741</v>
      </c>
      <c r="G615" t="s">
        <v>1674</v>
      </c>
      <c r="H615" s="4">
        <f t="shared" si="163"/>
        <v>1</v>
      </c>
      <c r="I615" s="4" t="str">
        <f>IF(RIGHT(B615,1)="M",IF(AND(H615=1,E615="RFS",D615=INDEX('Station Depth Averages'!$A$3:$B$84,MATCH(B615,'Station Depth Averages'!$A$3:$A$84,0),2)),1,""),IF(AND(H615=1,OR(D615="SYN",D615="SRF",D615="MID")),1,IF(AND(H615=1,OR(E616="FDn",E616="LDn")),1,IF(AND(H615=1,OR(E615="FDn",E615="LDn")),1,""))))</f>
        <v/>
      </c>
      <c r="J615" s="4">
        <f t="shared" si="164"/>
        <v>1</v>
      </c>
      <c r="K615" s="4" t="str">
        <f t="shared" si="165"/>
        <v/>
      </c>
      <c r="L615" s="4" t="str">
        <f t="shared" si="166"/>
        <v/>
      </c>
      <c r="M615" s="4" t="str">
        <f t="shared" si="167"/>
        <v/>
      </c>
      <c r="N615" s="4" t="str">
        <f t="shared" si="168"/>
        <v/>
      </c>
      <c r="O615" s="4" t="str">
        <f t="shared" si="169"/>
        <v/>
      </c>
      <c r="P615" s="4" t="str">
        <f t="shared" si="170"/>
        <v/>
      </c>
      <c r="Q615" s="4" t="str">
        <f t="shared" si="171"/>
        <v/>
      </c>
      <c r="R615" s="4" t="str">
        <f t="shared" si="172"/>
        <v/>
      </c>
      <c r="S615" s="4" t="str">
        <f t="shared" si="173"/>
        <v/>
      </c>
      <c r="T615" s="4" t="str">
        <f t="shared" si="174"/>
        <v/>
      </c>
      <c r="U615">
        <f>IF(VLOOKUP(C615,'QA Table'!$Y$5:$Y$20,1,TRUE)=C615,1,0)</f>
        <v>0</v>
      </c>
      <c r="V615" t="str">
        <f t="shared" si="175"/>
        <v/>
      </c>
      <c r="W615" t="str">
        <f t="shared" si="176"/>
        <v/>
      </c>
      <c r="X615">
        <f t="shared" si="177"/>
        <v>4</v>
      </c>
      <c r="Y615">
        <f t="shared" si="178"/>
        <v>0</v>
      </c>
      <c r="AA615">
        <f t="shared" si="179"/>
        <v>1</v>
      </c>
    </row>
    <row r="616" spans="1:27" x14ac:dyDescent="0.2">
      <c r="A616" t="s">
        <v>61</v>
      </c>
      <c r="B616" t="s">
        <v>73</v>
      </c>
      <c r="C616" t="s">
        <v>1747</v>
      </c>
      <c r="D616" t="s">
        <v>6</v>
      </c>
      <c r="E616" t="s">
        <v>3</v>
      </c>
      <c r="F616" t="s">
        <v>1741</v>
      </c>
      <c r="G616" t="s">
        <v>1674</v>
      </c>
      <c r="H616" s="4">
        <f t="shared" si="163"/>
        <v>1</v>
      </c>
      <c r="I616" s="4" t="str">
        <f>IF(RIGHT(B616,1)="M",IF(AND(H616=1,E616="RFS",D616=INDEX('Station Depth Averages'!$A$3:$B$84,MATCH(B616,'Station Depth Averages'!$A$3:$A$84,0),2)),1,""),IF(AND(H616=1,OR(D616="SYN",D616="SRF",D616="MID")),1,IF(AND(H616=1,OR(E617="FDn",E617="LDn")),1,IF(AND(H616=1,OR(E616="FDn",E616="LDn")),1,""))))</f>
        <v/>
      </c>
      <c r="J616" s="4">
        <f t="shared" si="164"/>
        <v>1</v>
      </c>
      <c r="K616" s="4" t="str">
        <f t="shared" si="165"/>
        <v/>
      </c>
      <c r="L616" s="4" t="str">
        <f t="shared" si="166"/>
        <v/>
      </c>
      <c r="M616" s="4" t="str">
        <f t="shared" si="167"/>
        <v/>
      </c>
      <c r="N616" s="4" t="str">
        <f t="shared" si="168"/>
        <v/>
      </c>
      <c r="O616" s="4" t="str">
        <f t="shared" si="169"/>
        <v/>
      </c>
      <c r="P616" s="4" t="str">
        <f t="shared" si="170"/>
        <v/>
      </c>
      <c r="Q616" s="4" t="str">
        <f t="shared" si="171"/>
        <v/>
      </c>
      <c r="R616" s="4" t="str">
        <f t="shared" si="172"/>
        <v/>
      </c>
      <c r="S616" s="4" t="str">
        <f t="shared" si="173"/>
        <v/>
      </c>
      <c r="T616" s="4" t="str">
        <f t="shared" si="174"/>
        <v/>
      </c>
      <c r="U616">
        <f>IF(VLOOKUP(C616,'QA Table'!$Y$5:$Y$20,1,TRUE)=C616,1,0)</f>
        <v>0</v>
      </c>
      <c r="V616" t="str">
        <f t="shared" si="175"/>
        <v/>
      </c>
      <c r="W616" t="str">
        <f t="shared" si="176"/>
        <v/>
      </c>
      <c r="X616">
        <f t="shared" si="177"/>
        <v>4</v>
      </c>
      <c r="Y616">
        <f t="shared" si="178"/>
        <v>0</v>
      </c>
      <c r="AA616">
        <f t="shared" si="179"/>
        <v>1</v>
      </c>
    </row>
    <row r="617" spans="1:27" x14ac:dyDescent="0.2">
      <c r="A617" t="s">
        <v>61</v>
      </c>
      <c r="B617" t="s">
        <v>73</v>
      </c>
      <c r="C617" t="s">
        <v>1748</v>
      </c>
      <c r="D617" t="s">
        <v>8</v>
      </c>
      <c r="E617" t="s">
        <v>3</v>
      </c>
      <c r="F617" t="s">
        <v>1741</v>
      </c>
      <c r="G617" t="s">
        <v>1674</v>
      </c>
      <c r="H617" s="4">
        <f t="shared" si="163"/>
        <v>1</v>
      </c>
      <c r="I617" s="4" t="str">
        <f>IF(RIGHT(B617,1)="M",IF(AND(H617=1,E617="RFS",D617=INDEX('Station Depth Averages'!$A$3:$B$84,MATCH(B617,'Station Depth Averages'!$A$3:$A$84,0),2)),1,""),IF(AND(H617=1,OR(D617="SYN",D617="SRF",D617="MID")),1,IF(AND(H617=1,OR(E618="FDn",E618="LDn")),1,IF(AND(H617=1,OR(E617="FDn",E617="LDn")),1,""))))</f>
        <v/>
      </c>
      <c r="J617" s="4" t="str">
        <f t="shared" si="164"/>
        <v/>
      </c>
      <c r="K617" s="4">
        <f t="shared" si="165"/>
        <v>1</v>
      </c>
      <c r="L617" s="4" t="str">
        <f t="shared" si="166"/>
        <v/>
      </c>
      <c r="M617" s="4" t="str">
        <f t="shared" si="167"/>
        <v/>
      </c>
      <c r="N617" s="4" t="str">
        <f t="shared" si="168"/>
        <v/>
      </c>
      <c r="O617" s="4" t="str">
        <f t="shared" si="169"/>
        <v/>
      </c>
      <c r="P617" s="4" t="str">
        <f t="shared" si="170"/>
        <v/>
      </c>
      <c r="Q617" s="4">
        <f t="shared" si="171"/>
        <v>2</v>
      </c>
      <c r="R617" s="4" t="str">
        <f t="shared" si="172"/>
        <v/>
      </c>
      <c r="S617" s="4" t="str">
        <f t="shared" si="173"/>
        <v/>
      </c>
      <c r="T617" s="4" t="str">
        <f t="shared" si="174"/>
        <v/>
      </c>
      <c r="U617">
        <f>IF(VLOOKUP(C617,'QA Table'!$Y$5:$Y$20,1,TRUE)=C617,1,0)</f>
        <v>0</v>
      </c>
      <c r="V617" t="str">
        <f t="shared" si="175"/>
        <v/>
      </c>
      <c r="W617" t="str">
        <f t="shared" si="176"/>
        <v/>
      </c>
      <c r="X617">
        <f t="shared" si="177"/>
        <v>4</v>
      </c>
      <c r="Y617">
        <f t="shared" si="178"/>
        <v>0</v>
      </c>
      <c r="AA617">
        <f t="shared" si="179"/>
        <v>1</v>
      </c>
    </row>
    <row r="618" spans="1:27" x14ac:dyDescent="0.2">
      <c r="A618" t="s">
        <v>61</v>
      </c>
      <c r="B618" t="s">
        <v>73</v>
      </c>
      <c r="C618" t="s">
        <v>1749</v>
      </c>
      <c r="D618" t="s">
        <v>9</v>
      </c>
      <c r="E618" t="s">
        <v>3</v>
      </c>
      <c r="F618" t="s">
        <v>1741</v>
      </c>
      <c r="G618" t="s">
        <v>1674</v>
      </c>
      <c r="H618" s="4" t="str">
        <f t="shared" si="163"/>
        <v/>
      </c>
      <c r="I618" s="4" t="str">
        <f>IF(RIGHT(B618,1)="M",IF(AND(H618=1,E618="RFS",D618=INDEX('Station Depth Averages'!$A$3:$B$84,MATCH(B618,'Station Depth Averages'!$A$3:$A$84,0),2)),1,""),IF(AND(H618=1,OR(D618="SYN",D618="SRF",D618="MID")),1,IF(AND(H618=1,OR(E619="FDn",E619="LDn")),1,IF(AND(H618=1,OR(E618="FDn",E618="LDn")),1,""))))</f>
        <v/>
      </c>
      <c r="J618" s="4" t="str">
        <f t="shared" si="164"/>
        <v/>
      </c>
      <c r="K618" s="4" t="str">
        <f t="shared" si="165"/>
        <v/>
      </c>
      <c r="L618" s="4" t="str">
        <f t="shared" si="166"/>
        <v/>
      </c>
      <c r="M618" s="4" t="str">
        <f t="shared" si="167"/>
        <v/>
      </c>
      <c r="N618" s="4" t="str">
        <f t="shared" si="168"/>
        <v/>
      </c>
      <c r="O618" s="4" t="str">
        <f t="shared" si="169"/>
        <v/>
      </c>
      <c r="P618" s="4" t="str">
        <f t="shared" si="170"/>
        <v/>
      </c>
      <c r="Q618" s="4" t="str">
        <f t="shared" si="171"/>
        <v/>
      </c>
      <c r="R618" s="4" t="str">
        <f t="shared" si="172"/>
        <v/>
      </c>
      <c r="S618" s="4" t="str">
        <f t="shared" si="173"/>
        <v/>
      </c>
      <c r="T618" s="4">
        <f t="shared" si="174"/>
        <v>1</v>
      </c>
      <c r="U618">
        <f>IF(VLOOKUP(C618,'QA Table'!$Y$5:$Y$20,1,TRUE)=C618,1,0)</f>
        <v>0</v>
      </c>
      <c r="V618" t="str">
        <f t="shared" si="175"/>
        <v/>
      </c>
      <c r="W618" t="str">
        <f t="shared" si="176"/>
        <v/>
      </c>
      <c r="X618" t="str">
        <f t="shared" si="177"/>
        <v/>
      </c>
      <c r="Y618">
        <f t="shared" si="178"/>
        <v>0</v>
      </c>
      <c r="AA618" t="str">
        <f t="shared" si="179"/>
        <v/>
      </c>
    </row>
    <row r="619" spans="1:27" x14ac:dyDescent="0.2">
      <c r="A619" t="s">
        <v>61</v>
      </c>
      <c r="B619" t="s">
        <v>73</v>
      </c>
      <c r="C619" t="s">
        <v>1750</v>
      </c>
      <c r="D619" t="s">
        <v>10</v>
      </c>
      <c r="E619" t="s">
        <v>3</v>
      </c>
      <c r="F619" t="s">
        <v>1741</v>
      </c>
      <c r="G619" t="s">
        <v>1674</v>
      </c>
      <c r="H619" s="4" t="str">
        <f t="shared" si="163"/>
        <v/>
      </c>
      <c r="I619" s="4" t="str">
        <f>IF(RIGHT(B619,1)="M",IF(AND(H619=1,E619="RFS",D619=INDEX('Station Depth Averages'!$A$3:$B$84,MATCH(B619,'Station Depth Averages'!$A$3:$A$84,0),2)),1,""),IF(AND(H619=1,OR(D619="SYN",D619="SRF",D619="MID")),1,IF(AND(H619=1,OR(E620="FDn",E620="LDn")),1,IF(AND(H619=1,OR(E619="FDn",E619="LDn")),1,""))))</f>
        <v/>
      </c>
      <c r="J619" s="4" t="str">
        <f t="shared" si="164"/>
        <v/>
      </c>
      <c r="K619" s="4" t="str">
        <f t="shared" si="165"/>
        <v/>
      </c>
      <c r="L619" s="4" t="str">
        <f t="shared" si="166"/>
        <v/>
      </c>
      <c r="M619" s="4" t="str">
        <f t="shared" si="167"/>
        <v/>
      </c>
      <c r="N619" s="4" t="str">
        <f t="shared" si="168"/>
        <v/>
      </c>
      <c r="O619" s="4" t="str">
        <f t="shared" si="169"/>
        <v/>
      </c>
      <c r="P619" s="4" t="str">
        <f t="shared" si="170"/>
        <v/>
      </c>
      <c r="Q619" s="4" t="str">
        <f t="shared" si="171"/>
        <v/>
      </c>
      <c r="R619" s="4" t="str">
        <f t="shared" si="172"/>
        <v/>
      </c>
      <c r="S619" s="4" t="str">
        <f t="shared" si="173"/>
        <v/>
      </c>
      <c r="T619" s="4">
        <f t="shared" si="174"/>
        <v>1</v>
      </c>
      <c r="U619">
        <f>IF(VLOOKUP(C619,'QA Table'!$Y$5:$Y$20,1,TRUE)=C619,1,0)</f>
        <v>0</v>
      </c>
      <c r="V619" t="str">
        <f t="shared" si="175"/>
        <v/>
      </c>
      <c r="W619" t="str">
        <f t="shared" si="176"/>
        <v/>
      </c>
      <c r="X619" t="str">
        <f t="shared" si="177"/>
        <v/>
      </c>
      <c r="Y619">
        <f t="shared" si="178"/>
        <v>0</v>
      </c>
      <c r="AA619" t="str">
        <f t="shared" si="179"/>
        <v/>
      </c>
    </row>
    <row r="620" spans="1:27" x14ac:dyDescent="0.2">
      <c r="A620" t="s">
        <v>61</v>
      </c>
      <c r="B620" t="s">
        <v>73</v>
      </c>
      <c r="C620" t="s">
        <v>1751</v>
      </c>
      <c r="D620" t="s">
        <v>1034</v>
      </c>
      <c r="E620" t="s">
        <v>3</v>
      </c>
      <c r="F620" t="s">
        <v>1741</v>
      </c>
      <c r="G620" t="s">
        <v>1674</v>
      </c>
      <c r="H620" s="4" t="str">
        <f t="shared" si="163"/>
        <v/>
      </c>
      <c r="I620" s="4" t="str">
        <f>IF(RIGHT(B620,1)="M",IF(AND(H620=1,E620="RFS",D620=INDEX('Station Depth Averages'!$A$3:$B$84,MATCH(B620,'Station Depth Averages'!$A$3:$A$84,0),2)),1,""),IF(AND(H620=1,OR(D620="SYN",D620="SRF",D620="MID")),1,IF(AND(H620=1,OR(E621="FDn",E621="LDn")),1,IF(AND(H620=1,OR(E620="FDn",E620="LDn")),1,""))))</f>
        <v/>
      </c>
      <c r="J620" s="4" t="str">
        <f t="shared" si="164"/>
        <v/>
      </c>
      <c r="K620" s="4" t="str">
        <f t="shared" si="165"/>
        <v/>
      </c>
      <c r="L620" s="4" t="str">
        <f t="shared" si="166"/>
        <v/>
      </c>
      <c r="M620" s="4" t="str">
        <f t="shared" si="167"/>
        <v/>
      </c>
      <c r="N620" s="4" t="str">
        <f t="shared" si="168"/>
        <v/>
      </c>
      <c r="O620" s="4" t="str">
        <f t="shared" si="169"/>
        <v/>
      </c>
      <c r="P620" s="4" t="str">
        <f t="shared" si="170"/>
        <v/>
      </c>
      <c r="Q620" s="4" t="str">
        <f t="shared" si="171"/>
        <v/>
      </c>
      <c r="R620" s="4" t="str">
        <f t="shared" si="172"/>
        <v/>
      </c>
      <c r="S620" s="4">
        <f t="shared" si="173"/>
        <v>1</v>
      </c>
      <c r="T620" s="4" t="str">
        <f t="shared" si="174"/>
        <v/>
      </c>
      <c r="U620">
        <f>IF(VLOOKUP(C620,'QA Table'!$Y$5:$Y$20,1,TRUE)=C620,1,0)</f>
        <v>0</v>
      </c>
      <c r="V620" t="str">
        <f t="shared" si="175"/>
        <v/>
      </c>
      <c r="W620" t="str">
        <f t="shared" si="176"/>
        <v/>
      </c>
      <c r="X620" t="str">
        <f t="shared" si="177"/>
        <v/>
      </c>
      <c r="Y620">
        <f t="shared" si="178"/>
        <v>0</v>
      </c>
      <c r="AA620" t="str">
        <f t="shared" si="179"/>
        <v/>
      </c>
    </row>
    <row r="621" spans="1:27" x14ac:dyDescent="0.2">
      <c r="A621" t="s">
        <v>61</v>
      </c>
      <c r="B621" t="s">
        <v>73</v>
      </c>
      <c r="C621" t="s">
        <v>1752</v>
      </c>
      <c r="D621" t="s">
        <v>1034</v>
      </c>
      <c r="E621" t="s">
        <v>19</v>
      </c>
      <c r="F621" t="s">
        <v>1741</v>
      </c>
      <c r="G621" t="s">
        <v>1674</v>
      </c>
      <c r="H621" s="4" t="str">
        <f t="shared" si="163"/>
        <v/>
      </c>
      <c r="I621" s="4" t="str">
        <f>IF(RIGHT(B621,1)="M",IF(AND(H621=1,E621="RFS",D621=INDEX('Station Depth Averages'!$A$3:$B$84,MATCH(B621,'Station Depth Averages'!$A$3:$A$84,0),2)),1,""),IF(AND(H621=1,OR(D621="SYN",D621="SRF",D621="MID")),1,IF(AND(H621=1,OR(E622="FDn",E622="LDn")),1,IF(AND(H621=1,OR(E621="FDn",E621="LDn")),1,""))))</f>
        <v/>
      </c>
      <c r="J621" s="4" t="str">
        <f t="shared" si="164"/>
        <v/>
      </c>
      <c r="K621" s="4" t="str">
        <f t="shared" si="165"/>
        <v/>
      </c>
      <c r="L621" s="4" t="str">
        <f t="shared" si="166"/>
        <v/>
      </c>
      <c r="M621" s="4" t="str">
        <f t="shared" si="167"/>
        <v/>
      </c>
      <c r="N621" s="4" t="str">
        <f t="shared" si="168"/>
        <v/>
      </c>
      <c r="O621" s="4" t="str">
        <f t="shared" si="169"/>
        <v/>
      </c>
      <c r="P621" s="4" t="str">
        <f t="shared" si="170"/>
        <v/>
      </c>
      <c r="Q621" s="4" t="str">
        <f t="shared" si="171"/>
        <v/>
      </c>
      <c r="R621" s="4" t="str">
        <f t="shared" si="172"/>
        <v/>
      </c>
      <c r="S621" s="4">
        <f t="shared" si="173"/>
        <v>1</v>
      </c>
      <c r="T621" s="4" t="str">
        <f t="shared" si="174"/>
        <v/>
      </c>
      <c r="U621">
        <f>IF(VLOOKUP(C621,'QA Table'!$Y$5:$Y$20,1,TRUE)=C621,1,0)</f>
        <v>0</v>
      </c>
      <c r="V621" t="str">
        <f t="shared" si="175"/>
        <v/>
      </c>
      <c r="W621" t="str">
        <f t="shared" si="176"/>
        <v/>
      </c>
      <c r="X621" t="str">
        <f t="shared" si="177"/>
        <v/>
      </c>
      <c r="Y621">
        <f t="shared" si="178"/>
        <v>0</v>
      </c>
      <c r="AA621" t="str">
        <f t="shared" si="179"/>
        <v/>
      </c>
    </row>
    <row r="622" spans="1:27" x14ac:dyDescent="0.2">
      <c r="A622" t="s">
        <v>61</v>
      </c>
      <c r="B622" t="s">
        <v>74</v>
      </c>
      <c r="C622" t="s">
        <v>1753</v>
      </c>
      <c r="D622" t="s">
        <v>2</v>
      </c>
      <c r="E622" t="s">
        <v>3</v>
      </c>
      <c r="F622" t="s">
        <v>1754</v>
      </c>
      <c r="G622" t="s">
        <v>1674</v>
      </c>
      <c r="H622" s="4">
        <f t="shared" si="163"/>
        <v>1</v>
      </c>
      <c r="I622" s="4" t="str">
        <f>IF(RIGHT(B622,1)="M",IF(AND(H622=1,E622="RFS",D622=INDEX('Station Depth Averages'!$A$3:$B$84,MATCH(B622,'Station Depth Averages'!$A$3:$A$84,0),2)),1,""),IF(AND(H622=1,OR(D622="SYN",D622="SRF",D622="MID")),1,IF(AND(H622=1,OR(E623="FDn",E623="LDn")),1,IF(AND(H622=1,OR(E622="FDn",E622="LDn")),1,""))))</f>
        <v/>
      </c>
      <c r="J622" s="4">
        <f t="shared" si="164"/>
        <v>1</v>
      </c>
      <c r="K622" s="4" t="str">
        <f t="shared" si="165"/>
        <v/>
      </c>
      <c r="L622" s="4" t="str">
        <f t="shared" si="166"/>
        <v/>
      </c>
      <c r="M622" s="4" t="str">
        <f t="shared" si="167"/>
        <v/>
      </c>
      <c r="N622" s="4" t="str">
        <f t="shared" si="168"/>
        <v/>
      </c>
      <c r="O622" s="4" t="str">
        <f t="shared" si="169"/>
        <v/>
      </c>
      <c r="P622" s="4" t="str">
        <f t="shared" si="170"/>
        <v/>
      </c>
      <c r="Q622" s="4" t="str">
        <f t="shared" si="171"/>
        <v/>
      </c>
      <c r="R622" s="4" t="str">
        <f t="shared" si="172"/>
        <v/>
      </c>
      <c r="S622" s="4" t="str">
        <f t="shared" si="173"/>
        <v/>
      </c>
      <c r="T622" s="4" t="str">
        <f t="shared" si="174"/>
        <v/>
      </c>
      <c r="U622">
        <f>IF(VLOOKUP(C622,'QA Table'!$Y$5:$Y$20,1,TRUE)=C622,1,0)</f>
        <v>0</v>
      </c>
      <c r="V622" t="str">
        <f t="shared" si="175"/>
        <v/>
      </c>
      <c r="W622" t="str">
        <f t="shared" si="176"/>
        <v/>
      </c>
      <c r="X622">
        <f t="shared" si="177"/>
        <v>4</v>
      </c>
      <c r="Y622">
        <f t="shared" si="178"/>
        <v>0</v>
      </c>
      <c r="AA622">
        <f t="shared" si="179"/>
        <v>1</v>
      </c>
    </row>
    <row r="623" spans="1:27" x14ac:dyDescent="0.2">
      <c r="A623" t="s">
        <v>61</v>
      </c>
      <c r="B623" t="s">
        <v>74</v>
      </c>
      <c r="C623" t="s">
        <v>1755</v>
      </c>
      <c r="D623" t="s">
        <v>1050</v>
      </c>
      <c r="E623" t="s">
        <v>3</v>
      </c>
      <c r="F623" t="s">
        <v>1754</v>
      </c>
      <c r="G623" t="s">
        <v>1674</v>
      </c>
      <c r="H623" s="4">
        <f t="shared" si="163"/>
        <v>1</v>
      </c>
      <c r="I623" s="4" t="str">
        <f>IF(RIGHT(B623,1)="M",IF(AND(H623=1,E623="RFS",D623=INDEX('Station Depth Averages'!$A$3:$B$84,MATCH(B623,'Station Depth Averages'!$A$3:$A$84,0),2)),1,""),IF(AND(H623=1,OR(D623="SYN",D623="SRF",D623="MID")),1,IF(AND(H623=1,OR(E624="FDn",E624="LDn")),1,IF(AND(H623=1,OR(E623="FDn",E623="LDn")),1,""))))</f>
        <v/>
      </c>
      <c r="J623" s="4">
        <f t="shared" si="164"/>
        <v>1</v>
      </c>
      <c r="K623" s="4" t="str">
        <f t="shared" si="165"/>
        <v/>
      </c>
      <c r="L623" s="4" t="str">
        <f t="shared" si="166"/>
        <v/>
      </c>
      <c r="M623" s="4" t="str">
        <f t="shared" si="167"/>
        <v/>
      </c>
      <c r="N623" s="4" t="str">
        <f t="shared" si="168"/>
        <v/>
      </c>
      <c r="O623" s="4" t="str">
        <f t="shared" si="169"/>
        <v/>
      </c>
      <c r="P623" s="4" t="str">
        <f t="shared" si="170"/>
        <v/>
      </c>
      <c r="Q623" s="4" t="str">
        <f t="shared" si="171"/>
        <v/>
      </c>
      <c r="R623" s="4" t="str">
        <f t="shared" si="172"/>
        <v/>
      </c>
      <c r="S623" s="4" t="str">
        <f t="shared" si="173"/>
        <v/>
      </c>
      <c r="T623" s="4" t="str">
        <f t="shared" si="174"/>
        <v/>
      </c>
      <c r="U623">
        <f>IF(VLOOKUP(C623,'QA Table'!$Y$5:$Y$20,1,TRUE)=C623,1,0)</f>
        <v>0</v>
      </c>
      <c r="V623" t="str">
        <f t="shared" si="175"/>
        <v/>
      </c>
      <c r="W623" t="str">
        <f t="shared" si="176"/>
        <v/>
      </c>
      <c r="X623">
        <f t="shared" si="177"/>
        <v>4</v>
      </c>
      <c r="Y623">
        <f t="shared" si="178"/>
        <v>0</v>
      </c>
      <c r="AA623">
        <f t="shared" si="179"/>
        <v>1</v>
      </c>
    </row>
    <row r="624" spans="1:27" x14ac:dyDescent="0.2">
      <c r="A624" t="s">
        <v>61</v>
      </c>
      <c r="B624" t="s">
        <v>74</v>
      </c>
      <c r="C624" t="s">
        <v>1756</v>
      </c>
      <c r="D624" t="s">
        <v>4</v>
      </c>
      <c r="E624" t="s">
        <v>3</v>
      </c>
      <c r="F624" t="s">
        <v>1754</v>
      </c>
      <c r="G624" t="s">
        <v>1674</v>
      </c>
      <c r="H624" s="4">
        <f t="shared" si="163"/>
        <v>1</v>
      </c>
      <c r="I624" s="4" t="str">
        <f>IF(RIGHT(B624,1)="M",IF(AND(H624=1,E624="RFS",D624=INDEX('Station Depth Averages'!$A$3:$B$84,MATCH(B624,'Station Depth Averages'!$A$3:$A$84,0),2)),1,""),IF(AND(H624=1,OR(D624="SYN",D624="SRF",D624="MID")),1,IF(AND(H624=1,OR(E625="FDn",E625="LDn")),1,IF(AND(H624=1,OR(E624="FDn",E624="LDn")),1,""))))</f>
        <v/>
      </c>
      <c r="J624" s="4">
        <f t="shared" si="164"/>
        <v>1</v>
      </c>
      <c r="K624" s="4" t="str">
        <f t="shared" si="165"/>
        <v/>
      </c>
      <c r="L624" s="4">
        <f t="shared" si="166"/>
        <v>1</v>
      </c>
      <c r="M624" s="4">
        <f t="shared" si="167"/>
        <v>1</v>
      </c>
      <c r="N624" s="4">
        <f t="shared" si="168"/>
        <v>1</v>
      </c>
      <c r="O624" s="4">
        <f t="shared" si="169"/>
        <v>1</v>
      </c>
      <c r="P624" s="4">
        <f t="shared" si="170"/>
        <v>1</v>
      </c>
      <c r="Q624" s="4" t="str">
        <f t="shared" si="171"/>
        <v/>
      </c>
      <c r="R624" s="4" t="str">
        <f t="shared" si="172"/>
        <v/>
      </c>
      <c r="S624" s="4" t="str">
        <f t="shared" si="173"/>
        <v/>
      </c>
      <c r="T624" s="4" t="str">
        <f t="shared" si="174"/>
        <v/>
      </c>
      <c r="U624">
        <f>IF(VLOOKUP(C624,'QA Table'!$Y$5:$Y$20,1,TRUE)=C624,1,0)</f>
        <v>0</v>
      </c>
      <c r="V624" t="str">
        <f t="shared" si="175"/>
        <v/>
      </c>
      <c r="W624" t="str">
        <f t="shared" si="176"/>
        <v/>
      </c>
      <c r="X624">
        <f t="shared" si="177"/>
        <v>4</v>
      </c>
      <c r="Y624">
        <f t="shared" si="178"/>
        <v>0</v>
      </c>
      <c r="AA624">
        <f t="shared" si="179"/>
        <v>1</v>
      </c>
    </row>
    <row r="625" spans="1:27" x14ac:dyDescent="0.2">
      <c r="A625" t="s">
        <v>61</v>
      </c>
      <c r="B625" t="s">
        <v>74</v>
      </c>
      <c r="C625" t="s">
        <v>1757</v>
      </c>
      <c r="D625" t="s">
        <v>1051</v>
      </c>
      <c r="E625" t="s">
        <v>3</v>
      </c>
      <c r="F625" t="s">
        <v>1754</v>
      </c>
      <c r="G625" t="s">
        <v>1674</v>
      </c>
      <c r="H625" s="4">
        <f t="shared" si="163"/>
        <v>1</v>
      </c>
      <c r="I625" s="4" t="str">
        <f>IF(RIGHT(B625,1)="M",IF(AND(H625=1,E625="RFS",D625=INDEX('Station Depth Averages'!$A$3:$B$84,MATCH(B625,'Station Depth Averages'!$A$3:$A$84,0),2)),1,""),IF(AND(H625=1,OR(D625="SYN",D625="SRF",D625="MID")),1,IF(AND(H625=1,OR(E626="FDn",E626="LDn")),1,IF(AND(H625=1,OR(E625="FDn",E625="LDn")),1,""))))</f>
        <v/>
      </c>
      <c r="J625" s="4">
        <f t="shared" si="164"/>
        <v>1</v>
      </c>
      <c r="K625" s="4" t="str">
        <f t="shared" si="165"/>
        <v/>
      </c>
      <c r="L625" s="4" t="str">
        <f t="shared" si="166"/>
        <v/>
      </c>
      <c r="M625" s="4" t="str">
        <f t="shared" si="167"/>
        <v/>
      </c>
      <c r="N625" s="4" t="str">
        <f t="shared" si="168"/>
        <v/>
      </c>
      <c r="O625" s="4" t="str">
        <f t="shared" si="169"/>
        <v/>
      </c>
      <c r="P625" s="4" t="str">
        <f t="shared" si="170"/>
        <v/>
      </c>
      <c r="Q625" s="4" t="str">
        <f t="shared" si="171"/>
        <v/>
      </c>
      <c r="R625" s="4" t="str">
        <f t="shared" si="172"/>
        <v/>
      </c>
      <c r="S625" s="4" t="str">
        <f t="shared" si="173"/>
        <v/>
      </c>
      <c r="T625" s="4" t="str">
        <f t="shared" si="174"/>
        <v/>
      </c>
      <c r="U625">
        <f>IF(VLOOKUP(C625,'QA Table'!$Y$5:$Y$20,1,TRUE)=C625,1,0)</f>
        <v>0</v>
      </c>
      <c r="V625" t="str">
        <f t="shared" si="175"/>
        <v/>
      </c>
      <c r="W625" t="str">
        <f t="shared" si="176"/>
        <v/>
      </c>
      <c r="X625">
        <f t="shared" si="177"/>
        <v>4</v>
      </c>
      <c r="Y625">
        <f t="shared" si="178"/>
        <v>0</v>
      </c>
      <c r="AA625">
        <f t="shared" si="179"/>
        <v>1</v>
      </c>
    </row>
    <row r="626" spans="1:27" x14ac:dyDescent="0.2">
      <c r="A626" t="s">
        <v>61</v>
      </c>
      <c r="B626" t="s">
        <v>74</v>
      </c>
      <c r="C626" t="s">
        <v>1758</v>
      </c>
      <c r="D626" t="s">
        <v>120</v>
      </c>
      <c r="E626" t="s">
        <v>3</v>
      </c>
      <c r="F626" t="s">
        <v>1754</v>
      </c>
      <c r="G626" t="s">
        <v>1674</v>
      </c>
      <c r="H626" s="4">
        <f t="shared" si="163"/>
        <v>1</v>
      </c>
      <c r="I626" s="4" t="str">
        <f>IF(RIGHT(B626,1)="M",IF(AND(H626=1,E626="RFS",D626=INDEX('Station Depth Averages'!$A$3:$B$84,MATCH(B626,'Station Depth Averages'!$A$3:$A$84,0),2)),1,""),IF(AND(H626=1,OR(D626="SYN",D626="SRF",D626="MID")),1,IF(AND(H626=1,OR(E627="FDn",E627="LDn")),1,IF(AND(H626=1,OR(E626="FDn",E626="LDn")),1,""))))</f>
        <v/>
      </c>
      <c r="J626" s="4">
        <f t="shared" si="164"/>
        <v>1</v>
      </c>
      <c r="K626" s="4" t="str">
        <f t="shared" si="165"/>
        <v/>
      </c>
      <c r="L626" s="4" t="str">
        <f t="shared" si="166"/>
        <v/>
      </c>
      <c r="M626" s="4" t="str">
        <f t="shared" si="167"/>
        <v/>
      </c>
      <c r="N626" s="4" t="str">
        <f t="shared" si="168"/>
        <v/>
      </c>
      <c r="O626" s="4" t="str">
        <f t="shared" si="169"/>
        <v/>
      </c>
      <c r="P626" s="4" t="str">
        <f t="shared" si="170"/>
        <v/>
      </c>
      <c r="Q626" s="4" t="str">
        <f t="shared" si="171"/>
        <v/>
      </c>
      <c r="R626" s="4" t="str">
        <f t="shared" si="172"/>
        <v/>
      </c>
      <c r="S626" s="4" t="str">
        <f t="shared" si="173"/>
        <v/>
      </c>
      <c r="T626" s="4" t="str">
        <f t="shared" si="174"/>
        <v/>
      </c>
      <c r="U626">
        <f>IF(VLOOKUP(C626,'QA Table'!$Y$5:$Y$20,1,TRUE)=C626,1,0)</f>
        <v>0</v>
      </c>
      <c r="V626" t="str">
        <f t="shared" si="175"/>
        <v/>
      </c>
      <c r="W626" t="str">
        <f t="shared" si="176"/>
        <v/>
      </c>
      <c r="X626">
        <f t="shared" si="177"/>
        <v>4</v>
      </c>
      <c r="Y626">
        <f t="shared" si="178"/>
        <v>0</v>
      </c>
      <c r="AA626">
        <f t="shared" si="179"/>
        <v>1</v>
      </c>
    </row>
    <row r="627" spans="1:27" x14ac:dyDescent="0.2">
      <c r="A627" t="s">
        <v>61</v>
      </c>
      <c r="B627" t="s">
        <v>74</v>
      </c>
      <c r="C627" t="s">
        <v>1759</v>
      </c>
      <c r="D627" t="s">
        <v>16</v>
      </c>
      <c r="E627" t="s">
        <v>3</v>
      </c>
      <c r="F627" t="s">
        <v>1754</v>
      </c>
      <c r="G627" t="s">
        <v>1674</v>
      </c>
      <c r="H627" s="4">
        <f t="shared" si="163"/>
        <v>1</v>
      </c>
      <c r="I627" s="4" t="str">
        <f>IF(RIGHT(B627,1)="M",IF(AND(H627=1,E627="RFS",D627=INDEX('Station Depth Averages'!$A$3:$B$84,MATCH(B627,'Station Depth Averages'!$A$3:$A$84,0),2)),1,""),IF(AND(H627=1,OR(D627="SYN",D627="SRF",D627="MID")),1,IF(AND(H627=1,OR(E628="FDn",E628="LDn")),1,IF(AND(H627=1,OR(E627="FDn",E627="LDn")),1,""))))</f>
        <v/>
      </c>
      <c r="J627" s="4">
        <f t="shared" si="164"/>
        <v>1</v>
      </c>
      <c r="K627" s="4" t="str">
        <f t="shared" si="165"/>
        <v/>
      </c>
      <c r="L627" s="4" t="str">
        <f t="shared" si="166"/>
        <v/>
      </c>
      <c r="M627" s="4" t="str">
        <f t="shared" si="167"/>
        <v/>
      </c>
      <c r="N627" s="4" t="str">
        <f t="shared" si="168"/>
        <v/>
      </c>
      <c r="O627" s="4" t="str">
        <f t="shared" si="169"/>
        <v/>
      </c>
      <c r="P627" s="4" t="str">
        <f t="shared" si="170"/>
        <v/>
      </c>
      <c r="Q627" s="4" t="str">
        <f t="shared" si="171"/>
        <v/>
      </c>
      <c r="R627" s="4" t="str">
        <f t="shared" si="172"/>
        <v/>
      </c>
      <c r="S627" s="4" t="str">
        <f t="shared" si="173"/>
        <v/>
      </c>
      <c r="T627" s="4" t="str">
        <f t="shared" si="174"/>
        <v/>
      </c>
      <c r="U627">
        <f>IF(VLOOKUP(C627,'QA Table'!$Y$5:$Y$20,1,TRUE)=C627,1,0)</f>
        <v>0</v>
      </c>
      <c r="V627" t="str">
        <f t="shared" si="175"/>
        <v/>
      </c>
      <c r="W627" t="str">
        <f t="shared" si="176"/>
        <v/>
      </c>
      <c r="X627">
        <f t="shared" si="177"/>
        <v>4</v>
      </c>
      <c r="Y627">
        <f t="shared" si="178"/>
        <v>0</v>
      </c>
      <c r="AA627">
        <f t="shared" si="179"/>
        <v>1</v>
      </c>
    </row>
    <row r="628" spans="1:27" x14ac:dyDescent="0.2">
      <c r="A628" t="s">
        <v>61</v>
      </c>
      <c r="B628" t="s">
        <v>74</v>
      </c>
      <c r="C628" t="s">
        <v>1760</v>
      </c>
      <c r="D628" t="s">
        <v>17</v>
      </c>
      <c r="E628" t="s">
        <v>3</v>
      </c>
      <c r="F628" t="s">
        <v>1754</v>
      </c>
      <c r="G628" t="s">
        <v>1674</v>
      </c>
      <c r="H628" s="4">
        <f t="shared" si="163"/>
        <v>1</v>
      </c>
      <c r="I628" s="4" t="str">
        <f>IF(RIGHT(B628,1)="M",IF(AND(H628=1,E628="RFS",D628=INDEX('Station Depth Averages'!$A$3:$B$84,MATCH(B628,'Station Depth Averages'!$A$3:$A$84,0),2)),1,""),IF(AND(H628=1,OR(D628="SYN",D628="SRF",D628="MID")),1,IF(AND(H628=1,OR(E629="FDn",E629="LDn")),1,IF(AND(H628=1,OR(E628="FDn",E628="LDn")),1,""))))</f>
        <v/>
      </c>
      <c r="J628" s="4">
        <f t="shared" si="164"/>
        <v>1</v>
      </c>
      <c r="K628" s="4" t="str">
        <f t="shared" si="165"/>
        <v/>
      </c>
      <c r="L628" s="4" t="str">
        <f t="shared" si="166"/>
        <v/>
      </c>
      <c r="M628" s="4" t="str">
        <f t="shared" si="167"/>
        <v/>
      </c>
      <c r="N628" s="4" t="str">
        <f t="shared" si="168"/>
        <v/>
      </c>
      <c r="O628" s="4" t="str">
        <f t="shared" si="169"/>
        <v/>
      </c>
      <c r="P628" s="4" t="str">
        <f t="shared" si="170"/>
        <v/>
      </c>
      <c r="Q628" s="4" t="str">
        <f t="shared" si="171"/>
        <v/>
      </c>
      <c r="R628" s="4" t="str">
        <f t="shared" si="172"/>
        <v/>
      </c>
      <c r="S628" s="4" t="str">
        <f t="shared" si="173"/>
        <v/>
      </c>
      <c r="T628" s="4" t="str">
        <f t="shared" si="174"/>
        <v/>
      </c>
      <c r="U628">
        <f>IF(VLOOKUP(C628,'QA Table'!$Y$5:$Y$20,1,TRUE)=C628,1,0)</f>
        <v>0</v>
      </c>
      <c r="V628" t="str">
        <f t="shared" si="175"/>
        <v/>
      </c>
      <c r="W628" t="str">
        <f t="shared" si="176"/>
        <v/>
      </c>
      <c r="X628">
        <f t="shared" si="177"/>
        <v>4</v>
      </c>
      <c r="Y628">
        <f t="shared" si="178"/>
        <v>0</v>
      </c>
      <c r="AA628">
        <f t="shared" si="179"/>
        <v>1</v>
      </c>
    </row>
    <row r="629" spans="1:27" x14ac:dyDescent="0.2">
      <c r="A629" t="s">
        <v>61</v>
      </c>
      <c r="B629" t="s">
        <v>74</v>
      </c>
      <c r="C629" t="s">
        <v>1761</v>
      </c>
      <c r="D629" t="s">
        <v>18</v>
      </c>
      <c r="E629" t="s">
        <v>3</v>
      </c>
      <c r="F629" t="s">
        <v>1754</v>
      </c>
      <c r="G629" t="s">
        <v>1674</v>
      </c>
      <c r="H629" s="4">
        <f t="shared" si="163"/>
        <v>1</v>
      </c>
      <c r="I629" s="4">
        <f>IF(RIGHT(B629,1)="M",IF(AND(H629=1,E629="RFS",D629=INDEX('Station Depth Averages'!$A$3:$B$84,MATCH(B629,'Station Depth Averages'!$A$3:$A$84,0),2)),1,""),IF(AND(H629=1,OR(D629="SYN",D629="SRF",D629="MID")),1,IF(AND(H629=1,OR(E630="FDn",E630="LDn")),1,IF(AND(H629=1,OR(E629="FDn",E629="LDn")),1,""))))</f>
        <v>1</v>
      </c>
      <c r="J629" s="4">
        <f t="shared" si="164"/>
        <v>1</v>
      </c>
      <c r="K629" s="4" t="str">
        <f t="shared" si="165"/>
        <v/>
      </c>
      <c r="L629" s="4" t="str">
        <f t="shared" si="166"/>
        <v/>
      </c>
      <c r="M629" s="4" t="str">
        <f t="shared" si="167"/>
        <v/>
      </c>
      <c r="N629" s="4" t="str">
        <f t="shared" si="168"/>
        <v/>
      </c>
      <c r="O629" s="4" t="str">
        <f t="shared" si="169"/>
        <v/>
      </c>
      <c r="P629" s="4" t="str">
        <f t="shared" si="170"/>
        <v/>
      </c>
      <c r="Q629" s="4" t="str">
        <f t="shared" si="171"/>
        <v/>
      </c>
      <c r="R629" s="4" t="str">
        <f t="shared" si="172"/>
        <v/>
      </c>
      <c r="S629" s="4" t="str">
        <f t="shared" si="173"/>
        <v/>
      </c>
      <c r="T629" s="4" t="str">
        <f t="shared" si="174"/>
        <v/>
      </c>
      <c r="U629">
        <f>IF(VLOOKUP(C629,'QA Table'!$Y$5:$Y$20,1,TRUE)=C629,1,0)</f>
        <v>0</v>
      </c>
      <c r="V629" t="str">
        <f t="shared" si="175"/>
        <v/>
      </c>
      <c r="W629" t="str">
        <f t="shared" si="176"/>
        <v/>
      </c>
      <c r="X629">
        <f t="shared" si="177"/>
        <v>4</v>
      </c>
      <c r="Y629">
        <f t="shared" si="178"/>
        <v>0</v>
      </c>
      <c r="AA629">
        <f t="shared" si="179"/>
        <v>1</v>
      </c>
    </row>
    <row r="630" spans="1:27" x14ac:dyDescent="0.2">
      <c r="A630" t="s">
        <v>61</v>
      </c>
      <c r="B630" t="s">
        <v>74</v>
      </c>
      <c r="C630" t="s">
        <v>1762</v>
      </c>
      <c r="D630" t="s">
        <v>5</v>
      </c>
      <c r="E630" t="s">
        <v>3</v>
      </c>
      <c r="F630" t="s">
        <v>1754</v>
      </c>
      <c r="G630" t="s">
        <v>1674</v>
      </c>
      <c r="H630" s="4">
        <f t="shared" si="163"/>
        <v>1</v>
      </c>
      <c r="I630" s="4" t="str">
        <f>IF(RIGHT(B630,1)="M",IF(AND(H630=1,E630="RFS",D630=INDEX('Station Depth Averages'!$A$3:$B$84,MATCH(B630,'Station Depth Averages'!$A$3:$A$84,0),2)),1,""),IF(AND(H630=1,OR(D630="SYN",D630="SRF",D630="MID")),1,IF(AND(H630=1,OR(E631="FDn",E631="LDn")),1,IF(AND(H630=1,OR(E630="FDn",E630="LDn")),1,""))))</f>
        <v/>
      </c>
      <c r="J630" s="4">
        <f t="shared" si="164"/>
        <v>1</v>
      </c>
      <c r="K630" s="4" t="str">
        <f t="shared" si="165"/>
        <v/>
      </c>
      <c r="L630" s="4" t="str">
        <f t="shared" si="166"/>
        <v/>
      </c>
      <c r="M630" s="4" t="str">
        <f t="shared" si="167"/>
        <v/>
      </c>
      <c r="N630" s="4" t="str">
        <f t="shared" si="168"/>
        <v/>
      </c>
      <c r="O630" s="4" t="str">
        <f t="shared" si="169"/>
        <v/>
      </c>
      <c r="P630" s="4" t="str">
        <f t="shared" si="170"/>
        <v/>
      </c>
      <c r="Q630" s="4" t="str">
        <f t="shared" si="171"/>
        <v/>
      </c>
      <c r="R630" s="4" t="str">
        <f t="shared" si="172"/>
        <v/>
      </c>
      <c r="S630" s="4" t="str">
        <f t="shared" si="173"/>
        <v/>
      </c>
      <c r="T630" s="4" t="str">
        <f t="shared" si="174"/>
        <v/>
      </c>
      <c r="U630">
        <f>IF(VLOOKUP(C630,'QA Table'!$Y$5:$Y$20,1,TRUE)=C630,1,0)</f>
        <v>0</v>
      </c>
      <c r="V630" t="str">
        <f t="shared" si="175"/>
        <v/>
      </c>
      <c r="W630" t="str">
        <f t="shared" si="176"/>
        <v/>
      </c>
      <c r="X630">
        <f t="shared" si="177"/>
        <v>4</v>
      </c>
      <c r="Y630">
        <f t="shared" si="178"/>
        <v>0</v>
      </c>
      <c r="AA630">
        <f t="shared" si="179"/>
        <v>1</v>
      </c>
    </row>
    <row r="631" spans="1:27" x14ac:dyDescent="0.2">
      <c r="A631" t="s">
        <v>61</v>
      </c>
      <c r="B631" t="s">
        <v>74</v>
      </c>
      <c r="C631" t="s">
        <v>1114</v>
      </c>
      <c r="D631" t="s">
        <v>6</v>
      </c>
      <c r="E631" t="s">
        <v>3</v>
      </c>
      <c r="F631" t="s">
        <v>1754</v>
      </c>
      <c r="G631" t="s">
        <v>1674</v>
      </c>
      <c r="H631" s="4">
        <f t="shared" si="163"/>
        <v>1</v>
      </c>
      <c r="I631" s="4" t="str">
        <f>IF(RIGHT(B631,1)="M",IF(AND(H631=1,E631="RFS",D631=INDEX('Station Depth Averages'!$A$3:$B$84,MATCH(B631,'Station Depth Averages'!$A$3:$A$84,0),2)),1,""),IF(AND(H631=1,OR(D631="SYN",D631="SRF",D631="MID")),1,IF(AND(H631=1,OR(E632="FDn",E632="LDn")),1,IF(AND(H631=1,OR(E631="FDn",E631="LDn")),1,""))))</f>
        <v/>
      </c>
      <c r="J631" s="4">
        <f t="shared" si="164"/>
        <v>1</v>
      </c>
      <c r="K631" s="4" t="str">
        <f t="shared" si="165"/>
        <v/>
      </c>
      <c r="L631" s="4" t="str">
        <f t="shared" si="166"/>
        <v/>
      </c>
      <c r="M631" s="4" t="str">
        <f t="shared" si="167"/>
        <v/>
      </c>
      <c r="N631" s="4" t="str">
        <f t="shared" si="168"/>
        <v/>
      </c>
      <c r="O631" s="4" t="str">
        <f t="shared" si="169"/>
        <v/>
      </c>
      <c r="P631" s="4" t="str">
        <f t="shared" si="170"/>
        <v/>
      </c>
      <c r="Q631" s="4" t="str">
        <f t="shared" si="171"/>
        <v/>
      </c>
      <c r="R631" s="4" t="str">
        <f t="shared" si="172"/>
        <v/>
      </c>
      <c r="S631" s="4" t="str">
        <f t="shared" si="173"/>
        <v/>
      </c>
      <c r="T631" s="4" t="str">
        <f t="shared" si="174"/>
        <v/>
      </c>
      <c r="U631">
        <f>IF(VLOOKUP(C631,'QA Table'!$Y$5:$Y$20,1,TRUE)=C631,1,0)</f>
        <v>0</v>
      </c>
      <c r="V631" t="str">
        <f t="shared" si="175"/>
        <v/>
      </c>
      <c r="W631" t="str">
        <f t="shared" si="176"/>
        <v/>
      </c>
      <c r="X631">
        <f t="shared" si="177"/>
        <v>4</v>
      </c>
      <c r="Y631">
        <f t="shared" si="178"/>
        <v>0</v>
      </c>
      <c r="AA631">
        <f t="shared" si="179"/>
        <v>1</v>
      </c>
    </row>
    <row r="632" spans="1:27" x14ac:dyDescent="0.2">
      <c r="A632" t="s">
        <v>61</v>
      </c>
      <c r="B632" t="s">
        <v>74</v>
      </c>
      <c r="C632" t="s">
        <v>1763</v>
      </c>
      <c r="D632" t="s">
        <v>6</v>
      </c>
      <c r="E632" t="s">
        <v>12</v>
      </c>
      <c r="F632" t="s">
        <v>1754</v>
      </c>
      <c r="G632" t="s">
        <v>1674</v>
      </c>
      <c r="H632" s="4">
        <f t="shared" si="163"/>
        <v>1</v>
      </c>
      <c r="I632" s="4" t="str">
        <f>IF(RIGHT(B632,1)="M",IF(AND(H632=1,E632="RFS",D632=INDEX('Station Depth Averages'!$A$3:$B$84,MATCH(B632,'Station Depth Averages'!$A$3:$A$84,0),2)),1,""),IF(AND(H632=1,OR(D632="SYN",D632="SRF",D632="MID")),1,IF(AND(H632=1,OR(E633="FDn",E633="LDn")),1,IF(AND(H632=1,OR(E632="FDn",E632="LDn")),1,""))))</f>
        <v/>
      </c>
      <c r="J632" s="4" t="str">
        <f t="shared" si="164"/>
        <v/>
      </c>
      <c r="K632" s="4" t="str">
        <f t="shared" si="165"/>
        <v/>
      </c>
      <c r="L632" s="4" t="str">
        <f t="shared" si="166"/>
        <v/>
      </c>
      <c r="M632" s="4" t="str">
        <f t="shared" si="167"/>
        <v/>
      </c>
      <c r="N632" s="4" t="str">
        <f t="shared" si="168"/>
        <v/>
      </c>
      <c r="O632" s="4" t="str">
        <f t="shared" si="169"/>
        <v/>
      </c>
      <c r="P632" s="4" t="str">
        <f t="shared" si="170"/>
        <v/>
      </c>
      <c r="Q632" s="4" t="str">
        <f t="shared" si="171"/>
        <v/>
      </c>
      <c r="R632" s="4" t="str">
        <f t="shared" si="172"/>
        <v/>
      </c>
      <c r="S632" s="4" t="str">
        <f t="shared" si="173"/>
        <v/>
      </c>
      <c r="T632" s="4" t="str">
        <f t="shared" si="174"/>
        <v/>
      </c>
      <c r="U632">
        <f>IF(VLOOKUP(C632,'QA Table'!$Y$5:$Y$20,1,TRUE)=C632,1,0)</f>
        <v>0</v>
      </c>
      <c r="V632" t="str">
        <f t="shared" si="175"/>
        <v/>
      </c>
      <c r="W632" t="str">
        <f t="shared" si="176"/>
        <v/>
      </c>
      <c r="X632">
        <f t="shared" si="177"/>
        <v>4</v>
      </c>
      <c r="Y632">
        <f t="shared" si="178"/>
        <v>0</v>
      </c>
      <c r="AA632">
        <f t="shared" si="179"/>
        <v>1</v>
      </c>
    </row>
    <row r="633" spans="1:27" x14ac:dyDescent="0.2">
      <c r="A633" t="s">
        <v>61</v>
      </c>
      <c r="B633" t="s">
        <v>74</v>
      </c>
      <c r="C633" t="s">
        <v>1764</v>
      </c>
      <c r="D633" t="s">
        <v>8</v>
      </c>
      <c r="E633" t="s">
        <v>3</v>
      </c>
      <c r="F633" t="s">
        <v>1754</v>
      </c>
      <c r="G633" t="s">
        <v>1674</v>
      </c>
      <c r="H633" s="4">
        <f t="shared" si="163"/>
        <v>1</v>
      </c>
      <c r="I633" s="4" t="str">
        <f>IF(RIGHT(B633,1)="M",IF(AND(H633=1,E633="RFS",D633=INDEX('Station Depth Averages'!$A$3:$B$84,MATCH(B633,'Station Depth Averages'!$A$3:$A$84,0),2)),1,""),IF(AND(H633=1,OR(D633="SYN",D633="SRF",D633="MID")),1,IF(AND(H633=1,OR(E634="FDn",E634="LDn")),1,IF(AND(H633=1,OR(E633="FDn",E633="LDn")),1,""))))</f>
        <v/>
      </c>
      <c r="J633" s="4" t="str">
        <f t="shared" si="164"/>
        <v/>
      </c>
      <c r="K633" s="4">
        <f t="shared" si="165"/>
        <v>1</v>
      </c>
      <c r="L633" s="4" t="str">
        <f t="shared" si="166"/>
        <v/>
      </c>
      <c r="M633" s="4" t="str">
        <f t="shared" si="167"/>
        <v/>
      </c>
      <c r="N633" s="4" t="str">
        <f t="shared" si="168"/>
        <v/>
      </c>
      <c r="O633" s="4" t="str">
        <f t="shared" si="169"/>
        <v/>
      </c>
      <c r="P633" s="4" t="str">
        <f t="shared" si="170"/>
        <v/>
      </c>
      <c r="Q633" s="4">
        <f t="shared" si="171"/>
        <v>2</v>
      </c>
      <c r="R633" s="4" t="str">
        <f t="shared" si="172"/>
        <v/>
      </c>
      <c r="S633" s="4" t="str">
        <f t="shared" si="173"/>
        <v/>
      </c>
      <c r="T633" s="4" t="str">
        <f t="shared" si="174"/>
        <v/>
      </c>
      <c r="U633">
        <f>IF(VLOOKUP(C633,'QA Table'!$Y$5:$Y$20,1,TRUE)=C633,1,0)</f>
        <v>0</v>
      </c>
      <c r="V633" t="str">
        <f t="shared" si="175"/>
        <v/>
      </c>
      <c r="W633" t="str">
        <f t="shared" si="176"/>
        <v/>
      </c>
      <c r="X633">
        <f t="shared" si="177"/>
        <v>4</v>
      </c>
      <c r="Y633">
        <f t="shared" si="178"/>
        <v>0</v>
      </c>
      <c r="AA633">
        <f t="shared" si="179"/>
        <v>1</v>
      </c>
    </row>
    <row r="634" spans="1:27" x14ac:dyDescent="0.2">
      <c r="A634" t="s">
        <v>61</v>
      </c>
      <c r="B634" t="s">
        <v>74</v>
      </c>
      <c r="C634" t="s">
        <v>1765</v>
      </c>
      <c r="D634" t="s">
        <v>9</v>
      </c>
      <c r="E634" t="s">
        <v>3</v>
      </c>
      <c r="F634" t="s">
        <v>1754</v>
      </c>
      <c r="G634" t="s">
        <v>1674</v>
      </c>
      <c r="H634" s="4" t="str">
        <f t="shared" si="163"/>
        <v/>
      </c>
      <c r="I634" s="4" t="str">
        <f>IF(RIGHT(B634,1)="M",IF(AND(H634=1,E634="RFS",D634=INDEX('Station Depth Averages'!$A$3:$B$84,MATCH(B634,'Station Depth Averages'!$A$3:$A$84,0),2)),1,""),IF(AND(H634=1,OR(D634="SYN",D634="SRF",D634="MID")),1,IF(AND(H634=1,OR(E635="FDn",E635="LDn")),1,IF(AND(H634=1,OR(E634="FDn",E634="LDn")),1,""))))</f>
        <v/>
      </c>
      <c r="J634" s="4" t="str">
        <f t="shared" si="164"/>
        <v/>
      </c>
      <c r="K634" s="4" t="str">
        <f t="shared" si="165"/>
        <v/>
      </c>
      <c r="L634" s="4" t="str">
        <f t="shared" si="166"/>
        <v/>
      </c>
      <c r="M634" s="4" t="str">
        <f t="shared" si="167"/>
        <v/>
      </c>
      <c r="N634" s="4" t="str">
        <f t="shared" si="168"/>
        <v/>
      </c>
      <c r="O634" s="4" t="str">
        <f t="shared" si="169"/>
        <v/>
      </c>
      <c r="P634" s="4" t="str">
        <f t="shared" si="170"/>
        <v/>
      </c>
      <c r="Q634" s="4" t="str">
        <f t="shared" si="171"/>
        <v/>
      </c>
      <c r="R634" s="4" t="str">
        <f t="shared" si="172"/>
        <v/>
      </c>
      <c r="S634" s="4" t="str">
        <f t="shared" si="173"/>
        <v/>
      </c>
      <c r="T634" s="4">
        <f t="shared" si="174"/>
        <v>1</v>
      </c>
      <c r="U634">
        <f>IF(VLOOKUP(C634,'QA Table'!$Y$5:$Y$20,1,TRUE)=C634,1,0)</f>
        <v>0</v>
      </c>
      <c r="V634" t="str">
        <f t="shared" si="175"/>
        <v/>
      </c>
      <c r="W634" t="str">
        <f t="shared" si="176"/>
        <v/>
      </c>
      <c r="X634" t="str">
        <f t="shared" si="177"/>
        <v/>
      </c>
      <c r="Y634">
        <f t="shared" si="178"/>
        <v>0</v>
      </c>
      <c r="AA634" t="str">
        <f t="shared" si="179"/>
        <v/>
      </c>
    </row>
    <row r="635" spans="1:27" x14ac:dyDescent="0.2">
      <c r="A635" t="s">
        <v>61</v>
      </c>
      <c r="B635" t="s">
        <v>74</v>
      </c>
      <c r="C635" t="s">
        <v>1766</v>
      </c>
      <c r="D635" t="s">
        <v>10</v>
      </c>
      <c r="E635" t="s">
        <v>3</v>
      </c>
      <c r="F635" t="s">
        <v>1754</v>
      </c>
      <c r="G635" t="s">
        <v>1674</v>
      </c>
      <c r="H635" s="4" t="str">
        <f t="shared" si="163"/>
        <v/>
      </c>
      <c r="I635" s="4" t="str">
        <f>IF(RIGHT(B635,1)="M",IF(AND(H635=1,E635="RFS",D635=INDEX('Station Depth Averages'!$A$3:$B$84,MATCH(B635,'Station Depth Averages'!$A$3:$A$84,0),2)),1,""),IF(AND(H635=1,OR(D635="SYN",D635="SRF",D635="MID")),1,IF(AND(H635=1,OR(E636="FDn",E636="LDn")),1,IF(AND(H635=1,OR(E635="FDn",E635="LDn")),1,""))))</f>
        <v/>
      </c>
      <c r="J635" s="4" t="str">
        <f t="shared" si="164"/>
        <v/>
      </c>
      <c r="K635" s="4" t="str">
        <f t="shared" si="165"/>
        <v/>
      </c>
      <c r="L635" s="4" t="str">
        <f t="shared" si="166"/>
        <v/>
      </c>
      <c r="M635" s="4" t="str">
        <f t="shared" si="167"/>
        <v/>
      </c>
      <c r="N635" s="4" t="str">
        <f t="shared" si="168"/>
        <v/>
      </c>
      <c r="O635" s="4" t="str">
        <f t="shared" si="169"/>
        <v/>
      </c>
      <c r="P635" s="4" t="str">
        <f t="shared" si="170"/>
        <v/>
      </c>
      <c r="Q635" s="4" t="str">
        <f t="shared" si="171"/>
        <v/>
      </c>
      <c r="R635" s="4" t="str">
        <f t="shared" si="172"/>
        <v/>
      </c>
      <c r="S635" s="4" t="str">
        <f t="shared" si="173"/>
        <v/>
      </c>
      <c r="T635" s="4">
        <f t="shared" si="174"/>
        <v>1</v>
      </c>
      <c r="U635">
        <f>IF(VLOOKUP(C635,'QA Table'!$Y$5:$Y$20,1,TRUE)=C635,1,0)</f>
        <v>0</v>
      </c>
      <c r="V635" t="str">
        <f t="shared" si="175"/>
        <v/>
      </c>
      <c r="W635" t="str">
        <f t="shared" si="176"/>
        <v/>
      </c>
      <c r="X635" t="str">
        <f t="shared" si="177"/>
        <v/>
      </c>
      <c r="Y635">
        <f t="shared" si="178"/>
        <v>0</v>
      </c>
      <c r="AA635" t="str">
        <f t="shared" si="179"/>
        <v/>
      </c>
    </row>
    <row r="636" spans="1:27" x14ac:dyDescent="0.2">
      <c r="A636" t="s">
        <v>61</v>
      </c>
      <c r="B636" t="s">
        <v>74</v>
      </c>
      <c r="C636" t="s">
        <v>1767</v>
      </c>
      <c r="D636" t="s">
        <v>1034</v>
      </c>
      <c r="E636" t="s">
        <v>3</v>
      </c>
      <c r="F636" t="s">
        <v>1754</v>
      </c>
      <c r="G636" t="s">
        <v>1674</v>
      </c>
      <c r="H636" s="4" t="str">
        <f t="shared" si="163"/>
        <v/>
      </c>
      <c r="I636" s="4" t="str">
        <f>IF(RIGHT(B636,1)="M",IF(AND(H636=1,E636="RFS",D636=INDEX('Station Depth Averages'!$A$3:$B$84,MATCH(B636,'Station Depth Averages'!$A$3:$A$84,0),2)),1,""),IF(AND(H636=1,OR(D636="SYN",D636="SRF",D636="MID")),1,IF(AND(H636=1,OR(E637="FDn",E637="LDn")),1,IF(AND(H636=1,OR(E636="FDn",E636="LDn")),1,""))))</f>
        <v/>
      </c>
      <c r="J636" s="4" t="str">
        <f t="shared" si="164"/>
        <v/>
      </c>
      <c r="K636" s="4" t="str">
        <f t="shared" si="165"/>
        <v/>
      </c>
      <c r="L636" s="4" t="str">
        <f t="shared" si="166"/>
        <v/>
      </c>
      <c r="M636" s="4" t="str">
        <f t="shared" si="167"/>
        <v/>
      </c>
      <c r="N636" s="4" t="str">
        <f t="shared" si="168"/>
        <v/>
      </c>
      <c r="O636" s="4" t="str">
        <f t="shared" si="169"/>
        <v/>
      </c>
      <c r="P636" s="4" t="str">
        <f t="shared" si="170"/>
        <v/>
      </c>
      <c r="Q636" s="4" t="str">
        <f t="shared" si="171"/>
        <v/>
      </c>
      <c r="R636" s="4" t="str">
        <f t="shared" si="172"/>
        <v/>
      </c>
      <c r="S636" s="4">
        <f t="shared" si="173"/>
        <v>1</v>
      </c>
      <c r="T636" s="4" t="str">
        <f t="shared" si="174"/>
        <v/>
      </c>
      <c r="U636">
        <f>IF(VLOOKUP(C636,'QA Table'!$Y$5:$Y$20,1,TRUE)=C636,1,0)</f>
        <v>0</v>
      </c>
      <c r="V636" t="str">
        <f t="shared" si="175"/>
        <v/>
      </c>
      <c r="W636" t="str">
        <f t="shared" si="176"/>
        <v/>
      </c>
      <c r="X636" t="str">
        <f t="shared" si="177"/>
        <v/>
      </c>
      <c r="Y636">
        <f t="shared" si="178"/>
        <v>0</v>
      </c>
      <c r="AA636" t="str">
        <f t="shared" si="179"/>
        <v/>
      </c>
    </row>
    <row r="637" spans="1:27" x14ac:dyDescent="0.2">
      <c r="A637" t="s">
        <v>61</v>
      </c>
      <c r="B637" t="s">
        <v>74</v>
      </c>
      <c r="C637" t="s">
        <v>1768</v>
      </c>
      <c r="D637" t="s">
        <v>1034</v>
      </c>
      <c r="E637" t="s">
        <v>19</v>
      </c>
      <c r="F637" t="s">
        <v>1754</v>
      </c>
      <c r="G637" t="s">
        <v>1674</v>
      </c>
      <c r="H637" s="4" t="str">
        <f t="shared" si="163"/>
        <v/>
      </c>
      <c r="I637" s="4" t="str">
        <f>IF(RIGHT(B637,1)="M",IF(AND(H637=1,E637="RFS",D637=INDEX('Station Depth Averages'!$A$3:$B$84,MATCH(B637,'Station Depth Averages'!$A$3:$A$84,0),2)),1,""),IF(AND(H637=1,OR(D637="SYN",D637="SRF",D637="MID")),1,IF(AND(H637=1,OR(E638="FDn",E638="LDn")),1,IF(AND(H637=1,OR(E637="FDn",E637="LDn")),1,""))))</f>
        <v/>
      </c>
      <c r="J637" s="4" t="str">
        <f t="shared" si="164"/>
        <v/>
      </c>
      <c r="K637" s="4" t="str">
        <f t="shared" si="165"/>
        <v/>
      </c>
      <c r="L637" s="4" t="str">
        <f t="shared" si="166"/>
        <v/>
      </c>
      <c r="M637" s="4" t="str">
        <f t="shared" si="167"/>
        <v/>
      </c>
      <c r="N637" s="4" t="str">
        <f t="shared" si="168"/>
        <v/>
      </c>
      <c r="O637" s="4" t="str">
        <f t="shared" si="169"/>
        <v/>
      </c>
      <c r="P637" s="4" t="str">
        <f t="shared" si="170"/>
        <v/>
      </c>
      <c r="Q637" s="4" t="str">
        <f t="shared" si="171"/>
        <v/>
      </c>
      <c r="R637" s="4" t="str">
        <f t="shared" si="172"/>
        <v/>
      </c>
      <c r="S637" s="4">
        <f t="shared" si="173"/>
        <v>1</v>
      </c>
      <c r="T637" s="4" t="str">
        <f t="shared" si="174"/>
        <v/>
      </c>
      <c r="U637">
        <f>IF(VLOOKUP(C637,'QA Table'!$Y$5:$Y$20,1,TRUE)=C637,1,0)</f>
        <v>0</v>
      </c>
      <c r="V637" t="str">
        <f t="shared" si="175"/>
        <v/>
      </c>
      <c r="W637" t="str">
        <f t="shared" si="176"/>
        <v/>
      </c>
      <c r="X637" t="str">
        <f t="shared" si="177"/>
        <v/>
      </c>
      <c r="Y637">
        <f t="shared" si="178"/>
        <v>0</v>
      </c>
      <c r="AA637" t="str">
        <f t="shared" si="179"/>
        <v/>
      </c>
    </row>
    <row r="638" spans="1:27" x14ac:dyDescent="0.2">
      <c r="A638" t="s">
        <v>61</v>
      </c>
      <c r="B638" t="s">
        <v>75</v>
      </c>
      <c r="C638" t="s">
        <v>1769</v>
      </c>
      <c r="D638" t="s">
        <v>2</v>
      </c>
      <c r="E638" t="s">
        <v>3</v>
      </c>
      <c r="F638" t="s">
        <v>1770</v>
      </c>
      <c r="G638" t="s">
        <v>1674</v>
      </c>
      <c r="H638" s="4">
        <f t="shared" si="163"/>
        <v>1</v>
      </c>
      <c r="I638" s="4">
        <f>IF(RIGHT(B638,1)="M",IF(AND(H638=1,E638="RFS",D638=INDEX('Station Depth Averages'!$A$3:$B$84,MATCH(B638,'Station Depth Averages'!$A$3:$A$84,0),2)),1,""),IF(AND(H638=1,OR(D638="SYN",D638="SRF",D638="MID")),1,IF(AND(H638=1,OR(E639="FDn",E639="LDn")),1,IF(AND(H638=1,OR(E638="FDn",E638="LDn")),1,""))))</f>
        <v>1</v>
      </c>
      <c r="J638" s="4">
        <f t="shared" si="164"/>
        <v>1</v>
      </c>
      <c r="K638" s="4" t="str">
        <f t="shared" si="165"/>
        <v/>
      </c>
      <c r="L638" s="4" t="str">
        <f t="shared" si="166"/>
        <v/>
      </c>
      <c r="M638" s="4" t="str">
        <f t="shared" si="167"/>
        <v/>
      </c>
      <c r="N638" s="4" t="str">
        <f t="shared" si="168"/>
        <v/>
      </c>
      <c r="O638" s="4" t="str">
        <f t="shared" si="169"/>
        <v/>
      </c>
      <c r="P638" s="4" t="str">
        <f t="shared" si="170"/>
        <v/>
      </c>
      <c r="Q638" s="4" t="str">
        <f t="shared" si="171"/>
        <v/>
      </c>
      <c r="R638" s="4" t="str">
        <f t="shared" si="172"/>
        <v/>
      </c>
      <c r="S638" s="4" t="str">
        <f t="shared" si="173"/>
        <v/>
      </c>
      <c r="T638" s="4" t="str">
        <f t="shared" si="174"/>
        <v/>
      </c>
      <c r="U638">
        <f>IF(VLOOKUP(C638,'QA Table'!$Y$5:$Y$20,1,TRUE)=C638,1,0)</f>
        <v>0</v>
      </c>
      <c r="V638" t="str">
        <f t="shared" si="175"/>
        <v/>
      </c>
      <c r="W638" t="str">
        <f t="shared" si="176"/>
        <v/>
      </c>
      <c r="X638">
        <f t="shared" si="177"/>
        <v>4</v>
      </c>
      <c r="Y638">
        <f t="shared" si="178"/>
        <v>0</v>
      </c>
      <c r="AA638">
        <f t="shared" si="179"/>
        <v>1</v>
      </c>
    </row>
    <row r="639" spans="1:27" x14ac:dyDescent="0.2">
      <c r="A639" t="s">
        <v>61</v>
      </c>
      <c r="B639" t="s">
        <v>75</v>
      </c>
      <c r="C639" t="s">
        <v>1771</v>
      </c>
      <c r="D639" t="s">
        <v>1050</v>
      </c>
      <c r="E639" t="s">
        <v>3</v>
      </c>
      <c r="F639" t="s">
        <v>1770</v>
      </c>
      <c r="G639" t="s">
        <v>1674</v>
      </c>
      <c r="H639" s="4" t="str">
        <f t="shared" si="163"/>
        <v/>
      </c>
      <c r="I639" s="4" t="str">
        <f>IF(RIGHT(B639,1)="M",IF(AND(H639=1,E639="RFS",D639=INDEX('Station Depth Averages'!$A$3:$B$84,MATCH(B639,'Station Depth Averages'!$A$3:$A$84,0),2)),1,""),IF(AND(H639=1,OR(D639="SYN",D639="SRF",D639="MID")),1,IF(AND(H639=1,OR(E640="FDn",E640="LDn")),1,IF(AND(H639=1,OR(E639="FDn",E639="LDn")),1,""))))</f>
        <v/>
      </c>
      <c r="J639" s="4" t="str">
        <f t="shared" si="164"/>
        <v/>
      </c>
      <c r="K639" s="4" t="str">
        <f t="shared" si="165"/>
        <v/>
      </c>
      <c r="L639" s="4" t="str">
        <f t="shared" si="166"/>
        <v/>
      </c>
      <c r="M639" s="4" t="str">
        <f t="shared" si="167"/>
        <v/>
      </c>
      <c r="N639" s="4" t="str">
        <f t="shared" si="168"/>
        <v/>
      </c>
      <c r="O639" s="4" t="str">
        <f t="shared" si="169"/>
        <v/>
      </c>
      <c r="P639" s="4" t="str">
        <f t="shared" si="170"/>
        <v/>
      </c>
      <c r="Q639" s="4" t="str">
        <f t="shared" si="171"/>
        <v/>
      </c>
      <c r="R639" s="4" t="str">
        <f t="shared" si="172"/>
        <v/>
      </c>
      <c r="S639" s="4" t="str">
        <f t="shared" si="173"/>
        <v/>
      </c>
      <c r="T639" s="4" t="str">
        <f t="shared" si="174"/>
        <v/>
      </c>
      <c r="U639">
        <f>IF(VLOOKUP(C639,'QA Table'!$Y$5:$Y$20,1,TRUE)=C639,1,0)</f>
        <v>0</v>
      </c>
      <c r="V639" t="str">
        <f t="shared" si="175"/>
        <v/>
      </c>
      <c r="W639" t="str">
        <f t="shared" si="176"/>
        <v/>
      </c>
      <c r="X639" t="str">
        <f t="shared" si="177"/>
        <v/>
      </c>
      <c r="Y639">
        <f t="shared" si="178"/>
        <v>0</v>
      </c>
      <c r="AA639" t="str">
        <f t="shared" si="179"/>
        <v/>
      </c>
    </row>
    <row r="640" spans="1:27" x14ac:dyDescent="0.2">
      <c r="A640" t="s">
        <v>61</v>
      </c>
      <c r="B640" t="s">
        <v>75</v>
      </c>
      <c r="C640" t="s">
        <v>1772</v>
      </c>
      <c r="D640" t="s">
        <v>4</v>
      </c>
      <c r="E640" t="s">
        <v>3</v>
      </c>
      <c r="F640" t="s">
        <v>1770</v>
      </c>
      <c r="G640" t="s">
        <v>1674</v>
      </c>
      <c r="H640" s="4" t="str">
        <f t="shared" si="163"/>
        <v/>
      </c>
      <c r="I640" s="4" t="str">
        <f>IF(RIGHT(B640,1)="M",IF(AND(H640=1,E640="RFS",D640=INDEX('Station Depth Averages'!$A$3:$B$84,MATCH(B640,'Station Depth Averages'!$A$3:$A$84,0),2)),1,""),IF(AND(H640=1,OR(D640="SYN",D640="SRF",D640="MID")),1,IF(AND(H640=1,OR(E641="FDn",E641="LDn")),1,IF(AND(H640=1,OR(E640="FDn",E640="LDn")),1,""))))</f>
        <v/>
      </c>
      <c r="J640" s="4" t="str">
        <f t="shared" si="164"/>
        <v/>
      </c>
      <c r="K640" s="4" t="str">
        <f t="shared" si="165"/>
        <v/>
      </c>
      <c r="L640" s="4" t="str">
        <f t="shared" si="166"/>
        <v/>
      </c>
      <c r="M640" s="4" t="str">
        <f t="shared" si="167"/>
        <v/>
      </c>
      <c r="N640" s="4" t="str">
        <f t="shared" si="168"/>
        <v/>
      </c>
      <c r="O640" s="4" t="str">
        <f t="shared" si="169"/>
        <v/>
      </c>
      <c r="P640" s="4" t="str">
        <f t="shared" si="170"/>
        <v/>
      </c>
      <c r="Q640" s="4" t="str">
        <f t="shared" si="171"/>
        <v/>
      </c>
      <c r="R640" s="4" t="str">
        <f t="shared" si="172"/>
        <v/>
      </c>
      <c r="S640" s="4" t="str">
        <f t="shared" si="173"/>
        <v/>
      </c>
      <c r="T640" s="4" t="str">
        <f t="shared" si="174"/>
        <v/>
      </c>
      <c r="U640">
        <f>IF(VLOOKUP(C640,'QA Table'!$Y$5:$Y$20,1,TRUE)=C640,1,0)</f>
        <v>0</v>
      </c>
      <c r="V640" t="str">
        <f t="shared" si="175"/>
        <v/>
      </c>
      <c r="W640" t="str">
        <f t="shared" si="176"/>
        <v/>
      </c>
      <c r="X640" t="str">
        <f t="shared" si="177"/>
        <v/>
      </c>
      <c r="Y640">
        <f t="shared" si="178"/>
        <v>0</v>
      </c>
      <c r="AA640" t="str">
        <f t="shared" si="179"/>
        <v/>
      </c>
    </row>
    <row r="641" spans="1:27" x14ac:dyDescent="0.2">
      <c r="A641" t="s">
        <v>61</v>
      </c>
      <c r="B641" t="s">
        <v>75</v>
      </c>
      <c r="C641" t="s">
        <v>1773</v>
      </c>
      <c r="D641" t="s">
        <v>1051</v>
      </c>
      <c r="E641" t="s">
        <v>3</v>
      </c>
      <c r="F641" t="s">
        <v>1770</v>
      </c>
      <c r="G641" t="s">
        <v>1674</v>
      </c>
      <c r="H641" s="4" t="str">
        <f t="shared" si="163"/>
        <v/>
      </c>
      <c r="I641" s="4" t="str">
        <f>IF(RIGHT(B641,1)="M",IF(AND(H641=1,E641="RFS",D641=INDEX('Station Depth Averages'!$A$3:$B$84,MATCH(B641,'Station Depth Averages'!$A$3:$A$84,0),2)),1,""),IF(AND(H641=1,OR(D641="SYN",D641="SRF",D641="MID")),1,IF(AND(H641=1,OR(E642="FDn",E642="LDn")),1,IF(AND(H641=1,OR(E641="FDn",E641="LDn")),1,""))))</f>
        <v/>
      </c>
      <c r="J641" s="4" t="str">
        <f t="shared" si="164"/>
        <v/>
      </c>
      <c r="K641" s="4" t="str">
        <f t="shared" si="165"/>
        <v/>
      </c>
      <c r="L641" s="4" t="str">
        <f t="shared" si="166"/>
        <v/>
      </c>
      <c r="M641" s="4" t="str">
        <f t="shared" si="167"/>
        <v/>
      </c>
      <c r="N641" s="4" t="str">
        <f t="shared" si="168"/>
        <v/>
      </c>
      <c r="O641" s="4" t="str">
        <f t="shared" si="169"/>
        <v/>
      </c>
      <c r="P641" s="4" t="str">
        <f t="shared" si="170"/>
        <v/>
      </c>
      <c r="Q641" s="4" t="str">
        <f t="shared" si="171"/>
        <v/>
      </c>
      <c r="R641" s="4" t="str">
        <f t="shared" si="172"/>
        <v/>
      </c>
      <c r="S641" s="4" t="str">
        <f t="shared" si="173"/>
        <v/>
      </c>
      <c r="T641" s="4" t="str">
        <f t="shared" si="174"/>
        <v/>
      </c>
      <c r="U641">
        <f>IF(VLOOKUP(C641,'QA Table'!$Y$5:$Y$20,1,TRUE)=C641,1,0)</f>
        <v>0</v>
      </c>
      <c r="V641" t="str">
        <f t="shared" si="175"/>
        <v/>
      </c>
      <c r="W641" t="str">
        <f t="shared" si="176"/>
        <v/>
      </c>
      <c r="X641" t="str">
        <f t="shared" si="177"/>
        <v/>
      </c>
      <c r="Y641">
        <f t="shared" si="178"/>
        <v>0</v>
      </c>
      <c r="AA641" t="str">
        <f t="shared" si="179"/>
        <v/>
      </c>
    </row>
    <row r="642" spans="1:27" x14ac:dyDescent="0.2">
      <c r="A642" t="s">
        <v>61</v>
      </c>
      <c r="B642" t="s">
        <v>75</v>
      </c>
      <c r="C642" t="s">
        <v>1116</v>
      </c>
      <c r="D642" t="s">
        <v>119</v>
      </c>
      <c r="E642" t="s">
        <v>3</v>
      </c>
      <c r="F642" t="s">
        <v>1770</v>
      </c>
      <c r="G642" t="s">
        <v>1674</v>
      </c>
      <c r="H642" s="4">
        <f t="shared" si="163"/>
        <v>1</v>
      </c>
      <c r="I642" s="4">
        <f>IF(RIGHT(B642,1)="M",IF(AND(H642=1,E642="RFS",D642=INDEX('Station Depth Averages'!$A$3:$B$84,MATCH(B642,'Station Depth Averages'!$A$3:$A$84,0),2)),1,""),IF(AND(H642=1,OR(D642="SYN",D642="SRF",D642="MID")),1,IF(AND(H642=1,OR(E643="FDn",E643="LDn")),1,IF(AND(H642=1,OR(E642="FDn",E642="LDn")),1,""))))</f>
        <v>1</v>
      </c>
      <c r="J642" s="4">
        <f t="shared" si="164"/>
        <v>1</v>
      </c>
      <c r="K642" s="4" t="str">
        <f t="shared" si="165"/>
        <v/>
      </c>
      <c r="L642" s="4" t="str">
        <f t="shared" si="166"/>
        <v/>
      </c>
      <c r="M642" s="4" t="str">
        <f t="shared" si="167"/>
        <v/>
      </c>
      <c r="N642" s="4" t="str">
        <f t="shared" si="168"/>
        <v/>
      </c>
      <c r="O642" s="4" t="str">
        <f t="shared" si="169"/>
        <v/>
      </c>
      <c r="P642" s="4" t="str">
        <f t="shared" si="170"/>
        <v/>
      </c>
      <c r="Q642" s="4" t="str">
        <f t="shared" si="171"/>
        <v/>
      </c>
      <c r="R642" s="4" t="str">
        <f t="shared" si="172"/>
        <v/>
      </c>
      <c r="S642" s="4" t="str">
        <f t="shared" si="173"/>
        <v/>
      </c>
      <c r="T642" s="4" t="str">
        <f t="shared" si="174"/>
        <v/>
      </c>
      <c r="U642">
        <f>IF(VLOOKUP(C642,'QA Table'!$Y$5:$Y$20,1,TRUE)=C642,1,0)</f>
        <v>1</v>
      </c>
      <c r="V642" t="str">
        <f t="shared" si="175"/>
        <v/>
      </c>
      <c r="W642" t="str">
        <f t="shared" si="176"/>
        <v/>
      </c>
      <c r="X642">
        <f t="shared" si="177"/>
        <v>4</v>
      </c>
      <c r="Y642">
        <f t="shared" si="178"/>
        <v>1</v>
      </c>
      <c r="AA642">
        <f t="shared" si="179"/>
        <v>1</v>
      </c>
    </row>
    <row r="643" spans="1:27" x14ac:dyDescent="0.2">
      <c r="A643" t="s">
        <v>61</v>
      </c>
      <c r="B643" t="s">
        <v>75</v>
      </c>
      <c r="C643" t="s">
        <v>1774</v>
      </c>
      <c r="D643" t="s">
        <v>5</v>
      </c>
      <c r="E643" t="s">
        <v>3</v>
      </c>
      <c r="F643" t="s">
        <v>1770</v>
      </c>
      <c r="G643" t="s">
        <v>1674</v>
      </c>
      <c r="H643" s="4">
        <f t="shared" si="163"/>
        <v>1</v>
      </c>
      <c r="I643" s="4" t="str">
        <f>IF(RIGHT(B643,1)="M",IF(AND(H643=1,E643="RFS",D643=INDEX('Station Depth Averages'!$A$3:$B$84,MATCH(B643,'Station Depth Averages'!$A$3:$A$84,0),2)),1,""),IF(AND(H643=1,OR(D643="SYN",D643="SRF",D643="MID")),1,IF(AND(H643=1,OR(E644="FDn",E644="LDn")),1,IF(AND(H643=1,OR(E643="FDn",E643="LDn")),1,""))))</f>
        <v/>
      </c>
      <c r="J643" s="4">
        <f t="shared" si="164"/>
        <v>1</v>
      </c>
      <c r="K643" s="4" t="str">
        <f t="shared" si="165"/>
        <v/>
      </c>
      <c r="L643" s="4" t="str">
        <f t="shared" si="166"/>
        <v/>
      </c>
      <c r="M643" s="4" t="str">
        <f t="shared" si="167"/>
        <v/>
      </c>
      <c r="N643" s="4" t="str">
        <f t="shared" si="168"/>
        <v/>
      </c>
      <c r="O643" s="4" t="str">
        <f t="shared" si="169"/>
        <v/>
      </c>
      <c r="P643" s="4" t="str">
        <f t="shared" si="170"/>
        <v/>
      </c>
      <c r="Q643" s="4" t="str">
        <f t="shared" si="171"/>
        <v/>
      </c>
      <c r="R643" s="4" t="str">
        <f t="shared" si="172"/>
        <v/>
      </c>
      <c r="S643" s="4" t="str">
        <f t="shared" si="173"/>
        <v/>
      </c>
      <c r="T643" s="4" t="str">
        <f t="shared" si="174"/>
        <v/>
      </c>
      <c r="U643">
        <f>IF(VLOOKUP(C643,'QA Table'!$Y$5:$Y$20,1,TRUE)=C643,1,0)</f>
        <v>0</v>
      </c>
      <c r="V643" t="str">
        <f t="shared" si="175"/>
        <v/>
      </c>
      <c r="W643" t="str">
        <f t="shared" si="176"/>
        <v/>
      </c>
      <c r="X643">
        <f t="shared" si="177"/>
        <v>4</v>
      </c>
      <c r="Y643">
        <f t="shared" si="178"/>
        <v>0</v>
      </c>
      <c r="AA643">
        <f t="shared" si="179"/>
        <v>1</v>
      </c>
    </row>
    <row r="644" spans="1:27" x14ac:dyDescent="0.2">
      <c r="A644" t="s">
        <v>61</v>
      </c>
      <c r="B644" t="s">
        <v>75</v>
      </c>
      <c r="C644" t="s">
        <v>1775</v>
      </c>
      <c r="D644" t="s">
        <v>6</v>
      </c>
      <c r="E644" t="s">
        <v>3</v>
      </c>
      <c r="F644" t="s">
        <v>1770</v>
      </c>
      <c r="G644" t="s">
        <v>1674</v>
      </c>
      <c r="H644" s="4">
        <f t="shared" si="163"/>
        <v>1</v>
      </c>
      <c r="I644" s="4" t="str">
        <f>IF(RIGHT(B644,1)="M",IF(AND(H644=1,E644="RFS",D644=INDEX('Station Depth Averages'!$A$3:$B$84,MATCH(B644,'Station Depth Averages'!$A$3:$A$84,0),2)),1,""),IF(AND(H644=1,OR(D644="SYN",D644="SRF",D644="MID")),1,IF(AND(H644=1,OR(E645="FDn",E645="LDn")),1,IF(AND(H644=1,OR(E644="FDn",E644="LDn")),1,""))))</f>
        <v/>
      </c>
      <c r="J644" s="4">
        <f t="shared" si="164"/>
        <v>1</v>
      </c>
      <c r="K644" s="4" t="str">
        <f t="shared" si="165"/>
        <v/>
      </c>
      <c r="L644" s="4" t="str">
        <f t="shared" si="166"/>
        <v/>
      </c>
      <c r="M644" s="4" t="str">
        <f t="shared" si="167"/>
        <v/>
      </c>
      <c r="N644" s="4" t="str">
        <f t="shared" si="168"/>
        <v/>
      </c>
      <c r="O644" s="4" t="str">
        <f t="shared" si="169"/>
        <v/>
      </c>
      <c r="P644" s="4" t="str">
        <f t="shared" si="170"/>
        <v/>
      </c>
      <c r="Q644" s="4" t="str">
        <f t="shared" si="171"/>
        <v/>
      </c>
      <c r="R644" s="4" t="str">
        <f t="shared" si="172"/>
        <v/>
      </c>
      <c r="S644" s="4" t="str">
        <f t="shared" si="173"/>
        <v/>
      </c>
      <c r="T644" s="4" t="str">
        <f t="shared" si="174"/>
        <v/>
      </c>
      <c r="U644">
        <f>IF(VLOOKUP(C644,'QA Table'!$Y$5:$Y$20,1,TRUE)=C644,1,0)</f>
        <v>0</v>
      </c>
      <c r="V644" t="str">
        <f t="shared" si="175"/>
        <v/>
      </c>
      <c r="W644" t="str">
        <f t="shared" si="176"/>
        <v/>
      </c>
      <c r="X644">
        <f t="shared" si="177"/>
        <v>4</v>
      </c>
      <c r="Y644">
        <f t="shared" si="178"/>
        <v>0</v>
      </c>
      <c r="AA644">
        <f t="shared" si="179"/>
        <v>1</v>
      </c>
    </row>
    <row r="645" spans="1:27" x14ac:dyDescent="0.2">
      <c r="A645" t="s">
        <v>61</v>
      </c>
      <c r="B645" t="s">
        <v>75</v>
      </c>
      <c r="C645" t="s">
        <v>1776</v>
      </c>
      <c r="D645" t="s">
        <v>8</v>
      </c>
      <c r="E645" t="s">
        <v>3</v>
      </c>
      <c r="F645" t="s">
        <v>1770</v>
      </c>
      <c r="G645" t="s">
        <v>1674</v>
      </c>
      <c r="H645" s="4">
        <f t="shared" si="163"/>
        <v>1</v>
      </c>
      <c r="I645" s="4" t="str">
        <f>IF(RIGHT(B645,1)="M",IF(AND(H645=1,E645="RFS",D645=INDEX('Station Depth Averages'!$A$3:$B$84,MATCH(B645,'Station Depth Averages'!$A$3:$A$84,0),2)),1,""),IF(AND(H645=1,OR(D645="SYN",D645="SRF",D645="MID")),1,IF(AND(H645=1,OR(E646="FDn",E646="LDn")),1,IF(AND(H645=1,OR(E645="FDn",E645="LDn")),1,""))))</f>
        <v/>
      </c>
      <c r="J645" s="4" t="str">
        <f t="shared" si="164"/>
        <v/>
      </c>
      <c r="K645" s="4">
        <f t="shared" si="165"/>
        <v>1</v>
      </c>
      <c r="L645" s="4" t="str">
        <f t="shared" si="166"/>
        <v/>
      </c>
      <c r="M645" s="4" t="str">
        <f t="shared" si="167"/>
        <v/>
      </c>
      <c r="N645" s="4" t="str">
        <f t="shared" si="168"/>
        <v/>
      </c>
      <c r="O645" s="4" t="str">
        <f t="shared" si="169"/>
        <v/>
      </c>
      <c r="P645" s="4" t="str">
        <f t="shared" si="170"/>
        <v/>
      </c>
      <c r="Q645" s="4">
        <f t="shared" si="171"/>
        <v>2</v>
      </c>
      <c r="R645" s="4" t="str">
        <f t="shared" si="172"/>
        <v/>
      </c>
      <c r="S645" s="4" t="str">
        <f t="shared" si="173"/>
        <v/>
      </c>
      <c r="T645" s="4" t="str">
        <f t="shared" si="174"/>
        <v/>
      </c>
      <c r="U645">
        <f>IF(VLOOKUP(C645,'QA Table'!$Y$5:$Y$20,1,TRUE)=C645,1,0)</f>
        <v>0</v>
      </c>
      <c r="V645" t="str">
        <f t="shared" si="175"/>
        <v/>
      </c>
      <c r="W645" t="str">
        <f t="shared" si="176"/>
        <v/>
      </c>
      <c r="X645">
        <f t="shared" si="177"/>
        <v>4</v>
      </c>
      <c r="Y645">
        <f t="shared" si="178"/>
        <v>0</v>
      </c>
      <c r="AA645">
        <f t="shared" si="179"/>
        <v>1</v>
      </c>
    </row>
    <row r="646" spans="1:27" x14ac:dyDescent="0.2">
      <c r="A646" t="s">
        <v>61</v>
      </c>
      <c r="B646" t="s">
        <v>75</v>
      </c>
      <c r="C646" t="s">
        <v>1777</v>
      </c>
      <c r="D646" t="s">
        <v>9</v>
      </c>
      <c r="E646" t="s">
        <v>3</v>
      </c>
      <c r="F646" t="s">
        <v>1770</v>
      </c>
      <c r="G646" t="s">
        <v>1674</v>
      </c>
      <c r="H646" s="4" t="str">
        <f t="shared" si="163"/>
        <v/>
      </c>
      <c r="I646" s="4" t="str">
        <f>IF(RIGHT(B646,1)="M",IF(AND(H646=1,E646="RFS",D646=INDEX('Station Depth Averages'!$A$3:$B$84,MATCH(B646,'Station Depth Averages'!$A$3:$A$84,0),2)),1,""),IF(AND(H646=1,OR(D646="SYN",D646="SRF",D646="MID")),1,IF(AND(H646=1,OR(E647="FDn",E647="LDn")),1,IF(AND(H646=1,OR(E646="FDn",E646="LDn")),1,""))))</f>
        <v/>
      </c>
      <c r="J646" s="4" t="str">
        <f t="shared" si="164"/>
        <v/>
      </c>
      <c r="K646" s="4" t="str">
        <f t="shared" si="165"/>
        <v/>
      </c>
      <c r="L646" s="4" t="str">
        <f t="shared" si="166"/>
        <v/>
      </c>
      <c r="M646" s="4" t="str">
        <f t="shared" si="167"/>
        <v/>
      </c>
      <c r="N646" s="4" t="str">
        <f t="shared" si="168"/>
        <v/>
      </c>
      <c r="O646" s="4" t="str">
        <f t="shared" si="169"/>
        <v/>
      </c>
      <c r="P646" s="4" t="str">
        <f t="shared" si="170"/>
        <v/>
      </c>
      <c r="Q646" s="4" t="str">
        <f t="shared" si="171"/>
        <v/>
      </c>
      <c r="R646" s="4" t="str">
        <f t="shared" si="172"/>
        <v/>
      </c>
      <c r="S646" s="4" t="str">
        <f t="shared" si="173"/>
        <v/>
      </c>
      <c r="T646" s="4">
        <f t="shared" si="174"/>
        <v>1</v>
      </c>
      <c r="U646">
        <f>IF(VLOOKUP(C646,'QA Table'!$Y$5:$Y$20,1,TRUE)=C646,1,0)</f>
        <v>0</v>
      </c>
      <c r="V646" t="str">
        <f t="shared" si="175"/>
        <v/>
      </c>
      <c r="W646" t="str">
        <f t="shared" si="176"/>
        <v/>
      </c>
      <c r="X646" t="str">
        <f t="shared" si="177"/>
        <v/>
      </c>
      <c r="Y646">
        <f t="shared" si="178"/>
        <v>0</v>
      </c>
      <c r="AA646" t="str">
        <f t="shared" si="179"/>
        <v/>
      </c>
    </row>
    <row r="647" spans="1:27" x14ac:dyDescent="0.2">
      <c r="A647" t="s">
        <v>61</v>
      </c>
      <c r="B647" t="s">
        <v>75</v>
      </c>
      <c r="C647" t="s">
        <v>1778</v>
      </c>
      <c r="D647" t="s">
        <v>10</v>
      </c>
      <c r="E647" t="s">
        <v>3</v>
      </c>
      <c r="F647" t="s">
        <v>1770</v>
      </c>
      <c r="G647" t="s">
        <v>1674</v>
      </c>
      <c r="H647" s="4" t="str">
        <f t="shared" ref="H647:H710" si="180">IF(OR(RIGHT(C647,1)="A",RIGHT(C647,1)="B",RIGHT(C647,1)="C",D647="Benthos",D647="Sediment",D647="Sediments",D647="D100",D647="D20",D647="Mysis",E647="FD1",E647="LD1"),"",1)</f>
        <v/>
      </c>
      <c r="I647" s="4" t="str">
        <f>IF(RIGHT(B647,1)="M",IF(AND(H647=1,E647="RFS",D647=INDEX('Station Depth Averages'!$A$3:$B$84,MATCH(B647,'Station Depth Averages'!$A$3:$A$84,0),2)),1,""),IF(AND(H647=1,OR(D647="SYN",D647="SRF",D647="MID")),1,IF(AND(H647=1,OR(E648="FDn",E648="LDn")),1,IF(AND(H647=1,OR(E647="FDn",E647="LDn")),1,""))))</f>
        <v/>
      </c>
      <c r="J647" s="4" t="str">
        <f t="shared" ref="J647:J710" si="181">IF(OR(D647="INT",D647="Benthos",D647="D100",D647="D20",E647="LDn",D647="mysis",D647="sediment",D647="sediments",OR(RIGHT(C647,1)="A",RIGHT(C647,1)="B",RIGHT(C647,1)="C",E647="FD1",E647="LD1")),"",1)</f>
        <v/>
      </c>
      <c r="K647" s="4" t="str">
        <f t="shared" ref="K647:K710" si="182">IF(D647="INT",1,"")</f>
        <v/>
      </c>
      <c r="L647" s="4" t="str">
        <f t="shared" ref="L647:L710" si="183">IF(AND(LEFT(B647,1)="E",A647&lt;&gt;"E",RIGHT(B647,1)="M"),IF(AND(A647="w",D647="MID",E647="RFS"),1,IF(AND(A647="C",D647="5M",E647="RFS"),1,"")),IF(AND(RIGHT(B647,1)="M",D647="10M",E647="RFS"),1,""))</f>
        <v/>
      </c>
      <c r="M647" s="4" t="str">
        <f t="shared" ref="M647:M710" si="184">IF(L647=1,1,"")</f>
        <v/>
      </c>
      <c r="N647" s="4" t="str">
        <f t="shared" ref="N647:N710" si="185">IF(M647=1,1,"")</f>
        <v/>
      </c>
      <c r="O647" s="4" t="str">
        <f t="shared" ref="O647:O710" si="186">IF(N647=1,1,"")</f>
        <v/>
      </c>
      <c r="P647" s="4" t="str">
        <f t="shared" ref="P647:P710" si="187">IF(O647=1,1,"")</f>
        <v/>
      </c>
      <c r="Q647" s="4" t="str">
        <f t="shared" ref="Q647:Q710" si="188">IF(AND(OR(D647="INT",D647="DCL"),OR(LEFT(B647,2)="SU",LEFT(B647,2)="HU",LEFT(B647,2)="MI",LEFT(B647,2)="CS",LEFT(B647,2)="ON")),2,IF(AND(OR(D647="INT",D647="DCL"),LEFT(B647,2)="ER"),1,""))</f>
        <v/>
      </c>
      <c r="R647" s="4" t="str">
        <f t="shared" ref="R647:R710" si="189">IF(D647="benthos",1,"")</f>
        <v/>
      </c>
      <c r="S647" s="4" t="str">
        <f t="shared" ref="S647:S710" si="190">IF(D647="mysis",1,"")</f>
        <v/>
      </c>
      <c r="T647" s="4">
        <f t="shared" ref="T647:T710" si="191">IF(AND(OR(D647="d20",D647="d100"),LEFT(B647,2)="SU"),2,IF(OR(D647="D20",D647="d100"),1,""))</f>
        <v>1</v>
      </c>
      <c r="U647">
        <f>IF(VLOOKUP(C647,'QA Table'!$Y$5:$Y$20,1,TRUE)=C647,1,0)</f>
        <v>0</v>
      </c>
      <c r="V647" t="str">
        <f t="shared" ref="V647:V710" si="192">IF(AND(D647="Sediment",RIGHT(C647,1)="8"),1,"")</f>
        <v/>
      </c>
      <c r="W647" t="str">
        <f t="shared" ref="W647:W710" si="193">IF(AND(D647="Sediment",RIGHT(C647,1)="9"),1,"")</f>
        <v/>
      </c>
      <c r="X647" t="str">
        <f t="shared" ref="X647:X710" si="194">IF(AND(H647=1,OR(LEFT(B647,1)="M",LEFT(B647,1)="E",LEFT(B647,1)="O",LEFT(B647,1)="C")),4,IF(AND(H647=1,OR(LEFT(B647,1)="H",LEFT(B647,1)="S")),3,""))</f>
        <v/>
      </c>
      <c r="Y647">
        <f t="shared" ref="Y647:Y710" si="195">IF(U647=1,1,IF(AND(E647="LD1",U646=1),1,IF(AND(E647="FD1",U645=1),1,0)))</f>
        <v>0</v>
      </c>
      <c r="AA647" t="str">
        <f t="shared" ref="AA647:AA710" si="196">IF(X647&lt;&gt;"",1,"")</f>
        <v/>
      </c>
    </row>
    <row r="648" spans="1:27" x14ac:dyDescent="0.2">
      <c r="A648" t="s">
        <v>61</v>
      </c>
      <c r="B648" t="s">
        <v>75</v>
      </c>
      <c r="C648" t="s">
        <v>1779</v>
      </c>
      <c r="D648" t="s">
        <v>1034</v>
      </c>
      <c r="E648" t="s">
        <v>3</v>
      </c>
      <c r="F648" t="s">
        <v>1770</v>
      </c>
      <c r="G648" t="s">
        <v>1674</v>
      </c>
      <c r="H648" s="4" t="str">
        <f t="shared" si="180"/>
        <v/>
      </c>
      <c r="I648" s="4" t="str">
        <f>IF(RIGHT(B648,1)="M",IF(AND(H648=1,E648="RFS",D648=INDEX('Station Depth Averages'!$A$3:$B$84,MATCH(B648,'Station Depth Averages'!$A$3:$A$84,0),2)),1,""),IF(AND(H648=1,OR(D648="SYN",D648="SRF",D648="MID")),1,IF(AND(H648=1,OR(E649="FDn",E649="LDn")),1,IF(AND(H648=1,OR(E648="FDn",E648="LDn")),1,""))))</f>
        <v/>
      </c>
      <c r="J648" s="4" t="str">
        <f t="shared" si="181"/>
        <v/>
      </c>
      <c r="K648" s="4" t="str">
        <f t="shared" si="182"/>
        <v/>
      </c>
      <c r="L648" s="4" t="str">
        <f t="shared" si="183"/>
        <v/>
      </c>
      <c r="M648" s="4" t="str">
        <f t="shared" si="184"/>
        <v/>
      </c>
      <c r="N648" s="4" t="str">
        <f t="shared" si="185"/>
        <v/>
      </c>
      <c r="O648" s="4" t="str">
        <f t="shared" si="186"/>
        <v/>
      </c>
      <c r="P648" s="4" t="str">
        <f t="shared" si="187"/>
        <v/>
      </c>
      <c r="Q648" s="4" t="str">
        <f t="shared" si="188"/>
        <v/>
      </c>
      <c r="R648" s="4" t="str">
        <f t="shared" si="189"/>
        <v/>
      </c>
      <c r="S648" s="4">
        <f t="shared" si="190"/>
        <v>1</v>
      </c>
      <c r="T648" s="4" t="str">
        <f t="shared" si="191"/>
        <v/>
      </c>
      <c r="U648">
        <f>IF(VLOOKUP(C648,'QA Table'!$Y$5:$Y$20,1,TRUE)=C648,1,0)</f>
        <v>0</v>
      </c>
      <c r="V648" t="str">
        <f t="shared" si="192"/>
        <v/>
      </c>
      <c r="W648" t="str">
        <f t="shared" si="193"/>
        <v/>
      </c>
      <c r="X648" t="str">
        <f t="shared" si="194"/>
        <v/>
      </c>
      <c r="Y648">
        <f t="shared" si="195"/>
        <v>0</v>
      </c>
      <c r="AA648" t="str">
        <f t="shared" si="196"/>
        <v/>
      </c>
    </row>
    <row r="649" spans="1:27" x14ac:dyDescent="0.2">
      <c r="A649" t="s">
        <v>61</v>
      </c>
      <c r="B649" t="s">
        <v>75</v>
      </c>
      <c r="C649" t="s">
        <v>1780</v>
      </c>
      <c r="D649" t="s">
        <v>1034</v>
      </c>
      <c r="E649" t="s">
        <v>19</v>
      </c>
      <c r="F649" t="s">
        <v>1770</v>
      </c>
      <c r="G649" t="s">
        <v>1674</v>
      </c>
      <c r="H649" s="4" t="str">
        <f t="shared" si="180"/>
        <v/>
      </c>
      <c r="I649" s="4" t="str">
        <f>IF(RIGHT(B649,1)="M",IF(AND(H649=1,E649="RFS",D649=INDEX('Station Depth Averages'!$A$3:$B$84,MATCH(B649,'Station Depth Averages'!$A$3:$A$84,0),2)),1,""),IF(AND(H649=1,OR(D649="SYN",D649="SRF",D649="MID")),1,IF(AND(H649=1,OR(E650="FDn",E650="LDn")),1,IF(AND(H649=1,OR(E649="FDn",E649="LDn")),1,""))))</f>
        <v/>
      </c>
      <c r="J649" s="4" t="str">
        <f t="shared" si="181"/>
        <v/>
      </c>
      <c r="K649" s="4" t="str">
        <f t="shared" si="182"/>
        <v/>
      </c>
      <c r="L649" s="4" t="str">
        <f t="shared" si="183"/>
        <v/>
      </c>
      <c r="M649" s="4" t="str">
        <f t="shared" si="184"/>
        <v/>
      </c>
      <c r="N649" s="4" t="str">
        <f t="shared" si="185"/>
        <v/>
      </c>
      <c r="O649" s="4" t="str">
        <f t="shared" si="186"/>
        <v/>
      </c>
      <c r="P649" s="4" t="str">
        <f t="shared" si="187"/>
        <v/>
      </c>
      <c r="Q649" s="4" t="str">
        <f t="shared" si="188"/>
        <v/>
      </c>
      <c r="R649" s="4" t="str">
        <f t="shared" si="189"/>
        <v/>
      </c>
      <c r="S649" s="4">
        <f t="shared" si="190"/>
        <v>1</v>
      </c>
      <c r="T649" s="4" t="str">
        <f t="shared" si="191"/>
        <v/>
      </c>
      <c r="U649">
        <f>IF(VLOOKUP(C649,'QA Table'!$Y$5:$Y$20,1,TRUE)=C649,1,0)</f>
        <v>0</v>
      </c>
      <c r="V649" t="str">
        <f t="shared" si="192"/>
        <v/>
      </c>
      <c r="W649" t="str">
        <f t="shared" si="193"/>
        <v/>
      </c>
      <c r="X649" t="str">
        <f t="shared" si="194"/>
        <v/>
      </c>
      <c r="Y649">
        <f t="shared" si="195"/>
        <v>0</v>
      </c>
      <c r="AA649" t="str">
        <f t="shared" si="196"/>
        <v/>
      </c>
    </row>
    <row r="650" spans="1:27" x14ac:dyDescent="0.2">
      <c r="A650" t="s">
        <v>46</v>
      </c>
      <c r="B650" t="s">
        <v>76</v>
      </c>
      <c r="C650" t="s">
        <v>1781</v>
      </c>
      <c r="D650" t="s">
        <v>2</v>
      </c>
      <c r="E650" t="s">
        <v>3</v>
      </c>
      <c r="F650" t="s">
        <v>1782</v>
      </c>
      <c r="G650" t="s">
        <v>1783</v>
      </c>
      <c r="H650" s="4">
        <f t="shared" si="180"/>
        <v>1</v>
      </c>
      <c r="I650" s="4" t="str">
        <f>IF(RIGHT(B650,1)="M",IF(AND(H650=1,E650="RFS",D650=INDEX('Station Depth Averages'!$A$3:$B$84,MATCH(B650,'Station Depth Averages'!$A$3:$A$84,0),2)),1,""),IF(AND(H650=1,OR(D650="SYN",D650="SRF",D650="MID")),1,IF(AND(H650=1,OR(E651="FDn",E651="LDn")),1,IF(AND(H650=1,OR(E650="FDn",E650="LDn")),1,""))))</f>
        <v/>
      </c>
      <c r="J650" s="4">
        <f t="shared" si="181"/>
        <v>1</v>
      </c>
      <c r="K650" s="4" t="str">
        <f t="shared" si="182"/>
        <v/>
      </c>
      <c r="L650" s="4" t="str">
        <f t="shared" si="183"/>
        <v/>
      </c>
      <c r="M650" s="4" t="str">
        <f t="shared" si="184"/>
        <v/>
      </c>
      <c r="N650" s="4" t="str">
        <f t="shared" si="185"/>
        <v/>
      </c>
      <c r="O650" s="4" t="str">
        <f t="shared" si="186"/>
        <v/>
      </c>
      <c r="P650" s="4" t="str">
        <f t="shared" si="187"/>
        <v/>
      </c>
      <c r="Q650" s="4" t="str">
        <f t="shared" si="188"/>
        <v/>
      </c>
      <c r="R650" s="4" t="str">
        <f t="shared" si="189"/>
        <v/>
      </c>
      <c r="S650" s="4" t="str">
        <f t="shared" si="190"/>
        <v/>
      </c>
      <c r="T650" s="4" t="str">
        <f t="shared" si="191"/>
        <v/>
      </c>
      <c r="U650">
        <f>IF(VLOOKUP(C650,'QA Table'!$Y$5:$Y$20,1,TRUE)=C650,1,0)</f>
        <v>0</v>
      </c>
      <c r="V650" t="str">
        <f t="shared" si="192"/>
        <v/>
      </c>
      <c r="W650" t="str">
        <f t="shared" si="193"/>
        <v/>
      </c>
      <c r="X650">
        <f t="shared" si="194"/>
        <v>3</v>
      </c>
      <c r="Y650">
        <f t="shared" si="195"/>
        <v>0</v>
      </c>
      <c r="AA650">
        <f t="shared" si="196"/>
        <v>1</v>
      </c>
    </row>
    <row r="651" spans="1:27" x14ac:dyDescent="0.2">
      <c r="A651" t="s">
        <v>46</v>
      </c>
      <c r="B651" t="s">
        <v>76</v>
      </c>
      <c r="C651" t="s">
        <v>1784</v>
      </c>
      <c r="D651" t="s">
        <v>1050</v>
      </c>
      <c r="E651" t="s">
        <v>3</v>
      </c>
      <c r="F651" t="s">
        <v>1782</v>
      </c>
      <c r="G651" t="s">
        <v>1783</v>
      </c>
      <c r="H651" s="4">
        <f t="shared" si="180"/>
        <v>1</v>
      </c>
      <c r="I651" s="4" t="str">
        <f>IF(RIGHT(B651,1)="M",IF(AND(H651=1,E651="RFS",D651=INDEX('Station Depth Averages'!$A$3:$B$84,MATCH(B651,'Station Depth Averages'!$A$3:$A$84,0),2)),1,""),IF(AND(H651=1,OR(D651="SYN",D651="SRF",D651="MID")),1,IF(AND(H651=1,OR(E652="FDn",E652="LDn")),1,IF(AND(H651=1,OR(E651="FDn",E651="LDn")),1,""))))</f>
        <v/>
      </c>
      <c r="J651" s="4">
        <f t="shared" si="181"/>
        <v>1</v>
      </c>
      <c r="K651" s="4" t="str">
        <f t="shared" si="182"/>
        <v/>
      </c>
      <c r="L651" s="4" t="str">
        <f t="shared" si="183"/>
        <v/>
      </c>
      <c r="M651" s="4" t="str">
        <f t="shared" si="184"/>
        <v/>
      </c>
      <c r="N651" s="4" t="str">
        <f t="shared" si="185"/>
        <v/>
      </c>
      <c r="O651" s="4" t="str">
        <f t="shared" si="186"/>
        <v/>
      </c>
      <c r="P651" s="4" t="str">
        <f t="shared" si="187"/>
        <v/>
      </c>
      <c r="Q651" s="4" t="str">
        <f t="shared" si="188"/>
        <v/>
      </c>
      <c r="R651" s="4" t="str">
        <f t="shared" si="189"/>
        <v/>
      </c>
      <c r="S651" s="4" t="str">
        <f t="shared" si="190"/>
        <v/>
      </c>
      <c r="T651" s="4" t="str">
        <f t="shared" si="191"/>
        <v/>
      </c>
      <c r="U651">
        <f>IF(VLOOKUP(C651,'QA Table'!$Y$5:$Y$20,1,TRUE)=C651,1,0)</f>
        <v>0</v>
      </c>
      <c r="V651" t="str">
        <f t="shared" si="192"/>
        <v/>
      </c>
      <c r="W651" t="str">
        <f t="shared" si="193"/>
        <v/>
      </c>
      <c r="X651">
        <f t="shared" si="194"/>
        <v>3</v>
      </c>
      <c r="Y651">
        <f t="shared" si="195"/>
        <v>0</v>
      </c>
      <c r="AA651">
        <f t="shared" si="196"/>
        <v>1</v>
      </c>
    </row>
    <row r="652" spans="1:27" x14ac:dyDescent="0.2">
      <c r="A652" t="s">
        <v>46</v>
      </c>
      <c r="B652" t="s">
        <v>76</v>
      </c>
      <c r="C652" t="s">
        <v>1120</v>
      </c>
      <c r="D652" t="s">
        <v>4</v>
      </c>
      <c r="E652" t="s">
        <v>3</v>
      </c>
      <c r="F652" t="s">
        <v>1782</v>
      </c>
      <c r="G652" t="s">
        <v>1783</v>
      </c>
      <c r="H652" s="4">
        <f t="shared" si="180"/>
        <v>1</v>
      </c>
      <c r="I652" s="4" t="str">
        <f>IF(RIGHT(B652,1)="M",IF(AND(H652=1,E652="RFS",D652=INDEX('Station Depth Averages'!$A$3:$B$84,MATCH(B652,'Station Depth Averages'!$A$3:$A$84,0),2)),1,""),IF(AND(H652=1,OR(D652="SYN",D652="SRF",D652="MID")),1,IF(AND(H652=1,OR(E653="FDn",E653="LDn")),1,IF(AND(H652=1,OR(E652="FDn",E652="LDn")),1,""))))</f>
        <v/>
      </c>
      <c r="J652" s="4">
        <f t="shared" si="181"/>
        <v>1</v>
      </c>
      <c r="K652" s="4" t="str">
        <f t="shared" si="182"/>
        <v/>
      </c>
      <c r="L652" s="4">
        <f t="shared" si="183"/>
        <v>1</v>
      </c>
      <c r="M652" s="4">
        <f t="shared" si="184"/>
        <v>1</v>
      </c>
      <c r="N652" s="4">
        <f t="shared" si="185"/>
        <v>1</v>
      </c>
      <c r="O652" s="4">
        <f t="shared" si="186"/>
        <v>1</v>
      </c>
      <c r="P652" s="4">
        <f t="shared" si="187"/>
        <v>1</v>
      </c>
      <c r="Q652" s="4" t="str">
        <f t="shared" si="188"/>
        <v/>
      </c>
      <c r="R652" s="4" t="str">
        <f t="shared" si="189"/>
        <v/>
      </c>
      <c r="S652" s="4" t="str">
        <f t="shared" si="190"/>
        <v/>
      </c>
      <c r="T652" s="4" t="str">
        <f t="shared" si="191"/>
        <v/>
      </c>
      <c r="U652">
        <f>IF(VLOOKUP(C652,'QA Table'!$Y$5:$Y$20,1,TRUE)=C652,1,0)</f>
        <v>1</v>
      </c>
      <c r="V652" t="str">
        <f t="shared" si="192"/>
        <v/>
      </c>
      <c r="W652" t="str">
        <f t="shared" si="193"/>
        <v/>
      </c>
      <c r="X652">
        <f t="shared" si="194"/>
        <v>3</v>
      </c>
      <c r="Y652">
        <f t="shared" si="195"/>
        <v>1</v>
      </c>
      <c r="AA652">
        <f t="shared" si="196"/>
        <v>1</v>
      </c>
    </row>
    <row r="653" spans="1:27" x14ac:dyDescent="0.2">
      <c r="A653" t="s">
        <v>46</v>
      </c>
      <c r="B653" t="s">
        <v>76</v>
      </c>
      <c r="C653" t="s">
        <v>1785</v>
      </c>
      <c r="D653" t="s">
        <v>1051</v>
      </c>
      <c r="E653" t="s">
        <v>3</v>
      </c>
      <c r="F653" t="s">
        <v>1782</v>
      </c>
      <c r="G653" t="s">
        <v>1783</v>
      </c>
      <c r="H653" s="4">
        <f t="shared" si="180"/>
        <v>1</v>
      </c>
      <c r="I653" s="4" t="str">
        <f>IF(RIGHT(B653,1)="M",IF(AND(H653=1,E653="RFS",D653=INDEX('Station Depth Averages'!$A$3:$B$84,MATCH(B653,'Station Depth Averages'!$A$3:$A$84,0),2)),1,""),IF(AND(H653=1,OR(D653="SYN",D653="SRF",D653="MID")),1,IF(AND(H653=1,OR(E654="FDn",E654="LDn")),1,IF(AND(H653=1,OR(E653="FDn",E653="LDn")),1,""))))</f>
        <v/>
      </c>
      <c r="J653" s="4">
        <f t="shared" si="181"/>
        <v>1</v>
      </c>
      <c r="K653" s="4" t="str">
        <f t="shared" si="182"/>
        <v/>
      </c>
      <c r="L653" s="4" t="str">
        <f t="shared" si="183"/>
        <v/>
      </c>
      <c r="M653" s="4" t="str">
        <f t="shared" si="184"/>
        <v/>
      </c>
      <c r="N653" s="4" t="str">
        <f t="shared" si="185"/>
        <v/>
      </c>
      <c r="O653" s="4" t="str">
        <f t="shared" si="186"/>
        <v/>
      </c>
      <c r="P653" s="4" t="str">
        <f t="shared" si="187"/>
        <v/>
      </c>
      <c r="Q653" s="4" t="str">
        <f t="shared" si="188"/>
        <v/>
      </c>
      <c r="R653" s="4" t="str">
        <f t="shared" si="189"/>
        <v/>
      </c>
      <c r="S653" s="4" t="str">
        <f t="shared" si="190"/>
        <v/>
      </c>
      <c r="T653" s="4" t="str">
        <f t="shared" si="191"/>
        <v/>
      </c>
      <c r="U653">
        <f>IF(VLOOKUP(C653,'QA Table'!$Y$5:$Y$20,1,TRUE)=C653,1,0)</f>
        <v>0</v>
      </c>
      <c r="V653" t="str">
        <f t="shared" si="192"/>
        <v/>
      </c>
      <c r="W653" t="str">
        <f t="shared" si="193"/>
        <v/>
      </c>
      <c r="X653">
        <f t="shared" si="194"/>
        <v>3</v>
      </c>
      <c r="Y653">
        <f t="shared" si="195"/>
        <v>0</v>
      </c>
      <c r="AA653">
        <f t="shared" si="196"/>
        <v>1</v>
      </c>
    </row>
    <row r="654" spans="1:27" x14ac:dyDescent="0.2">
      <c r="A654" t="s">
        <v>46</v>
      </c>
      <c r="B654" t="s">
        <v>76</v>
      </c>
      <c r="C654" t="s">
        <v>1786</v>
      </c>
      <c r="D654" t="s">
        <v>120</v>
      </c>
      <c r="E654" t="s">
        <v>3</v>
      </c>
      <c r="F654" t="s">
        <v>1782</v>
      </c>
      <c r="G654" t="s">
        <v>1783</v>
      </c>
      <c r="H654" s="4">
        <f t="shared" si="180"/>
        <v>1</v>
      </c>
      <c r="I654" s="4" t="str">
        <f>IF(RIGHT(B654,1)="M",IF(AND(H654=1,E654="RFS",D654=INDEX('Station Depth Averages'!$A$3:$B$84,MATCH(B654,'Station Depth Averages'!$A$3:$A$84,0),2)),1,""),IF(AND(H654=1,OR(D654="SYN",D654="SRF",D654="MID")),1,IF(AND(H654=1,OR(E655="FDn",E655="LDn")),1,IF(AND(H654=1,OR(E654="FDn",E654="LDn")),1,""))))</f>
        <v/>
      </c>
      <c r="J654" s="4">
        <f t="shared" si="181"/>
        <v>1</v>
      </c>
      <c r="K654" s="4" t="str">
        <f t="shared" si="182"/>
        <v/>
      </c>
      <c r="L654" s="4" t="str">
        <f t="shared" si="183"/>
        <v/>
      </c>
      <c r="M654" s="4" t="str">
        <f t="shared" si="184"/>
        <v/>
      </c>
      <c r="N654" s="4" t="str">
        <f t="shared" si="185"/>
        <v/>
      </c>
      <c r="O654" s="4" t="str">
        <f t="shared" si="186"/>
        <v/>
      </c>
      <c r="P654" s="4" t="str">
        <f t="shared" si="187"/>
        <v/>
      </c>
      <c r="Q654" s="4" t="str">
        <f t="shared" si="188"/>
        <v/>
      </c>
      <c r="R654" s="4" t="str">
        <f t="shared" si="189"/>
        <v/>
      </c>
      <c r="S654" s="4" t="str">
        <f t="shared" si="190"/>
        <v/>
      </c>
      <c r="T654" s="4" t="str">
        <f t="shared" si="191"/>
        <v/>
      </c>
      <c r="U654">
        <f>IF(VLOOKUP(C654,'QA Table'!$Y$5:$Y$20,1,TRUE)=C654,1,0)</f>
        <v>0</v>
      </c>
      <c r="V654" t="str">
        <f t="shared" si="192"/>
        <v/>
      </c>
      <c r="W654" t="str">
        <f t="shared" si="193"/>
        <v/>
      </c>
      <c r="X654">
        <f t="shared" si="194"/>
        <v>3</v>
      </c>
      <c r="Y654">
        <f t="shared" si="195"/>
        <v>0</v>
      </c>
      <c r="AA654">
        <f t="shared" si="196"/>
        <v>1</v>
      </c>
    </row>
    <row r="655" spans="1:27" x14ac:dyDescent="0.2">
      <c r="A655" t="s">
        <v>46</v>
      </c>
      <c r="B655" t="s">
        <v>76</v>
      </c>
      <c r="C655" t="s">
        <v>1118</v>
      </c>
      <c r="D655" t="s">
        <v>16</v>
      </c>
      <c r="E655" t="s">
        <v>3</v>
      </c>
      <c r="F655" t="s">
        <v>1782</v>
      </c>
      <c r="G655" t="s">
        <v>1783</v>
      </c>
      <c r="H655" s="4">
        <f t="shared" si="180"/>
        <v>1</v>
      </c>
      <c r="I655" s="4" t="str">
        <f>IF(RIGHT(B655,1)="M",IF(AND(H655=1,E655="RFS",D655=INDEX('Station Depth Averages'!$A$3:$B$84,MATCH(B655,'Station Depth Averages'!$A$3:$A$84,0),2)),1,""),IF(AND(H655=1,OR(D655="SYN",D655="SRF",D655="MID")),1,IF(AND(H655=1,OR(E656="FDn",E656="LDn")),1,IF(AND(H655=1,OR(E655="FDn",E655="LDn")),1,""))))</f>
        <v/>
      </c>
      <c r="J655" s="4">
        <f t="shared" si="181"/>
        <v>1</v>
      </c>
      <c r="K655" s="4" t="str">
        <f t="shared" si="182"/>
        <v/>
      </c>
      <c r="L655" s="4" t="str">
        <f t="shared" si="183"/>
        <v/>
      </c>
      <c r="M655" s="4" t="str">
        <f t="shared" si="184"/>
        <v/>
      </c>
      <c r="N655" s="4" t="str">
        <f t="shared" si="185"/>
        <v/>
      </c>
      <c r="O655" s="4" t="str">
        <f t="shared" si="186"/>
        <v/>
      </c>
      <c r="P655" s="4" t="str">
        <f t="shared" si="187"/>
        <v/>
      </c>
      <c r="Q655" s="4" t="str">
        <f t="shared" si="188"/>
        <v/>
      </c>
      <c r="R655" s="4" t="str">
        <f t="shared" si="189"/>
        <v/>
      </c>
      <c r="S655" s="4" t="str">
        <f t="shared" si="190"/>
        <v/>
      </c>
      <c r="T655" s="4" t="str">
        <f t="shared" si="191"/>
        <v/>
      </c>
      <c r="U655">
        <f>IF(VLOOKUP(C655,'QA Table'!$Y$5:$Y$20,1,TRUE)=C655,1,0)</f>
        <v>0</v>
      </c>
      <c r="V655" t="str">
        <f t="shared" si="192"/>
        <v/>
      </c>
      <c r="W655" t="str">
        <f t="shared" si="193"/>
        <v/>
      </c>
      <c r="X655">
        <f t="shared" si="194"/>
        <v>3</v>
      </c>
      <c r="Y655">
        <f t="shared" si="195"/>
        <v>0</v>
      </c>
      <c r="AA655">
        <f t="shared" si="196"/>
        <v>1</v>
      </c>
    </row>
    <row r="656" spans="1:27" x14ac:dyDescent="0.2">
      <c r="A656" t="s">
        <v>46</v>
      </c>
      <c r="B656" t="s">
        <v>76</v>
      </c>
      <c r="C656" t="s">
        <v>1787</v>
      </c>
      <c r="D656" t="s">
        <v>16</v>
      </c>
      <c r="E656" t="s">
        <v>12</v>
      </c>
      <c r="F656" t="s">
        <v>1782</v>
      </c>
      <c r="G656" t="s">
        <v>1783</v>
      </c>
      <c r="H656" s="4">
        <f t="shared" si="180"/>
        <v>1</v>
      </c>
      <c r="I656" s="4" t="str">
        <f>IF(RIGHT(B656,1)="M",IF(AND(H656=1,E656="RFS",D656=INDEX('Station Depth Averages'!$A$3:$B$84,MATCH(B656,'Station Depth Averages'!$A$3:$A$84,0),2)),1,""),IF(AND(H656=1,OR(D656="SYN",D656="SRF",D656="MID")),1,IF(AND(H656=1,OR(E657="FDn",E657="LDn")),1,IF(AND(H656=1,OR(E656="FDn",E656="LDn")),1,""))))</f>
        <v/>
      </c>
      <c r="J656" s="4" t="str">
        <f t="shared" si="181"/>
        <v/>
      </c>
      <c r="K656" s="4" t="str">
        <f t="shared" si="182"/>
        <v/>
      </c>
      <c r="L656" s="4" t="str">
        <f t="shared" si="183"/>
        <v/>
      </c>
      <c r="M656" s="4" t="str">
        <f t="shared" si="184"/>
        <v/>
      </c>
      <c r="N656" s="4" t="str">
        <f t="shared" si="185"/>
        <v/>
      </c>
      <c r="O656" s="4" t="str">
        <f t="shared" si="186"/>
        <v/>
      </c>
      <c r="P656" s="4" t="str">
        <f t="shared" si="187"/>
        <v/>
      </c>
      <c r="Q656" s="4" t="str">
        <f t="shared" si="188"/>
        <v/>
      </c>
      <c r="R656" s="4" t="str">
        <f t="shared" si="189"/>
        <v/>
      </c>
      <c r="S656" s="4" t="str">
        <f t="shared" si="190"/>
        <v/>
      </c>
      <c r="T656" s="4" t="str">
        <f t="shared" si="191"/>
        <v/>
      </c>
      <c r="U656">
        <f>IF(VLOOKUP(C656,'QA Table'!$Y$5:$Y$20,1,TRUE)=C656,1,0)</f>
        <v>0</v>
      </c>
      <c r="V656" t="str">
        <f t="shared" si="192"/>
        <v/>
      </c>
      <c r="W656" t="str">
        <f t="shared" si="193"/>
        <v/>
      </c>
      <c r="X656">
        <f t="shared" si="194"/>
        <v>3</v>
      </c>
      <c r="Y656">
        <f t="shared" si="195"/>
        <v>0</v>
      </c>
      <c r="AA656">
        <f t="shared" si="196"/>
        <v>1</v>
      </c>
    </row>
    <row r="657" spans="1:27" x14ac:dyDescent="0.2">
      <c r="A657" t="s">
        <v>46</v>
      </c>
      <c r="B657" t="s">
        <v>76</v>
      </c>
      <c r="C657" t="s">
        <v>1788</v>
      </c>
      <c r="D657" t="s">
        <v>17</v>
      </c>
      <c r="E657" t="s">
        <v>3</v>
      </c>
      <c r="F657" t="s">
        <v>1782</v>
      </c>
      <c r="G657" t="s">
        <v>1783</v>
      </c>
      <c r="H657" s="4">
        <f t="shared" si="180"/>
        <v>1</v>
      </c>
      <c r="I657" s="4">
        <f>IF(RIGHT(B657,1)="M",IF(AND(H657=1,E657="RFS",D657=INDEX('Station Depth Averages'!$A$3:$B$84,MATCH(B657,'Station Depth Averages'!$A$3:$A$84,0),2)),1,""),IF(AND(H657=1,OR(D657="SYN",D657="SRF",D657="MID")),1,IF(AND(H657=1,OR(E658="FDn",E658="LDn")),1,IF(AND(H657=1,OR(E657="FDn",E657="LDn")),1,""))))</f>
        <v>1</v>
      </c>
      <c r="J657" s="4">
        <f t="shared" si="181"/>
        <v>1</v>
      </c>
      <c r="K657" s="4" t="str">
        <f t="shared" si="182"/>
        <v/>
      </c>
      <c r="L657" s="4" t="str">
        <f t="shared" si="183"/>
        <v/>
      </c>
      <c r="M657" s="4" t="str">
        <f t="shared" si="184"/>
        <v/>
      </c>
      <c r="N657" s="4" t="str">
        <f t="shared" si="185"/>
        <v/>
      </c>
      <c r="O657" s="4" t="str">
        <f t="shared" si="186"/>
        <v/>
      </c>
      <c r="P657" s="4" t="str">
        <f t="shared" si="187"/>
        <v/>
      </c>
      <c r="Q657" s="4" t="str">
        <f t="shared" si="188"/>
        <v/>
      </c>
      <c r="R657" s="4" t="str">
        <f t="shared" si="189"/>
        <v/>
      </c>
      <c r="S657" s="4" t="str">
        <f t="shared" si="190"/>
        <v/>
      </c>
      <c r="T657" s="4" t="str">
        <f t="shared" si="191"/>
        <v/>
      </c>
      <c r="U657">
        <f>IF(VLOOKUP(C657,'QA Table'!$Y$5:$Y$20,1,TRUE)=C657,1,0)</f>
        <v>0</v>
      </c>
      <c r="V657" t="str">
        <f t="shared" si="192"/>
        <v/>
      </c>
      <c r="W657" t="str">
        <f t="shared" si="193"/>
        <v/>
      </c>
      <c r="X657">
        <f t="shared" si="194"/>
        <v>3</v>
      </c>
      <c r="Y657">
        <f t="shared" si="195"/>
        <v>0</v>
      </c>
      <c r="AA657">
        <f t="shared" si="196"/>
        <v>1</v>
      </c>
    </row>
    <row r="658" spans="1:27" x14ac:dyDescent="0.2">
      <c r="A658" t="s">
        <v>46</v>
      </c>
      <c r="B658" t="s">
        <v>76</v>
      </c>
      <c r="C658" t="s">
        <v>1789</v>
      </c>
      <c r="D658" t="s">
        <v>5</v>
      </c>
      <c r="E658" t="s">
        <v>3</v>
      </c>
      <c r="F658" t="s">
        <v>1782</v>
      </c>
      <c r="G658" t="s">
        <v>1783</v>
      </c>
      <c r="H658" s="4">
        <f t="shared" si="180"/>
        <v>1</v>
      </c>
      <c r="I658" s="4" t="str">
        <f>IF(RIGHT(B658,1)="M",IF(AND(H658=1,E658="RFS",D658=INDEX('Station Depth Averages'!$A$3:$B$84,MATCH(B658,'Station Depth Averages'!$A$3:$A$84,0),2)),1,""),IF(AND(H658=1,OR(D658="SYN",D658="SRF",D658="MID")),1,IF(AND(H658=1,OR(E659="FDn",E659="LDn")),1,IF(AND(H658=1,OR(E658="FDn",E658="LDn")),1,""))))</f>
        <v/>
      </c>
      <c r="J658" s="4">
        <f t="shared" si="181"/>
        <v>1</v>
      </c>
      <c r="K658" s="4" t="str">
        <f t="shared" si="182"/>
        <v/>
      </c>
      <c r="L658" s="4" t="str">
        <f t="shared" si="183"/>
        <v/>
      </c>
      <c r="M658" s="4" t="str">
        <f t="shared" si="184"/>
        <v/>
      </c>
      <c r="N658" s="4" t="str">
        <f t="shared" si="185"/>
        <v/>
      </c>
      <c r="O658" s="4" t="str">
        <f t="shared" si="186"/>
        <v/>
      </c>
      <c r="P658" s="4" t="str">
        <f t="shared" si="187"/>
        <v/>
      </c>
      <c r="Q658" s="4" t="str">
        <f t="shared" si="188"/>
        <v/>
      </c>
      <c r="R658" s="4" t="str">
        <f t="shared" si="189"/>
        <v/>
      </c>
      <c r="S658" s="4" t="str">
        <f t="shared" si="190"/>
        <v/>
      </c>
      <c r="T658" s="4" t="str">
        <f t="shared" si="191"/>
        <v/>
      </c>
      <c r="U658">
        <f>IF(VLOOKUP(C658,'QA Table'!$Y$5:$Y$20,1,TRUE)=C658,1,0)</f>
        <v>0</v>
      </c>
      <c r="V658" t="str">
        <f t="shared" si="192"/>
        <v/>
      </c>
      <c r="W658" t="str">
        <f t="shared" si="193"/>
        <v/>
      </c>
      <c r="X658">
        <f t="shared" si="194"/>
        <v>3</v>
      </c>
      <c r="Y658">
        <f t="shared" si="195"/>
        <v>0</v>
      </c>
      <c r="AA658">
        <f t="shared" si="196"/>
        <v>1</v>
      </c>
    </row>
    <row r="659" spans="1:27" x14ac:dyDescent="0.2">
      <c r="A659" t="s">
        <v>46</v>
      </c>
      <c r="B659" t="s">
        <v>76</v>
      </c>
      <c r="C659" t="s">
        <v>1790</v>
      </c>
      <c r="D659" t="s">
        <v>6</v>
      </c>
      <c r="E659" t="s">
        <v>3</v>
      </c>
      <c r="F659" t="s">
        <v>1782</v>
      </c>
      <c r="G659" t="s">
        <v>1783</v>
      </c>
      <c r="H659" s="4">
        <f t="shared" si="180"/>
        <v>1</v>
      </c>
      <c r="I659" s="4" t="str">
        <f>IF(RIGHT(B659,1)="M",IF(AND(H659=1,E659="RFS",D659=INDEX('Station Depth Averages'!$A$3:$B$84,MATCH(B659,'Station Depth Averages'!$A$3:$A$84,0),2)),1,""),IF(AND(H659=1,OR(D659="SYN",D659="SRF",D659="MID")),1,IF(AND(H659=1,OR(E660="FDn",E660="LDn")),1,IF(AND(H659=1,OR(E659="FDn",E659="LDn")),1,""))))</f>
        <v/>
      </c>
      <c r="J659" s="4">
        <f t="shared" si="181"/>
        <v>1</v>
      </c>
      <c r="K659" s="4" t="str">
        <f t="shared" si="182"/>
        <v/>
      </c>
      <c r="L659" s="4" t="str">
        <f t="shared" si="183"/>
        <v/>
      </c>
      <c r="M659" s="4" t="str">
        <f t="shared" si="184"/>
        <v/>
      </c>
      <c r="N659" s="4" t="str">
        <f t="shared" si="185"/>
        <v/>
      </c>
      <c r="O659" s="4" t="str">
        <f t="shared" si="186"/>
        <v/>
      </c>
      <c r="P659" s="4" t="str">
        <f t="shared" si="187"/>
        <v/>
      </c>
      <c r="Q659" s="4" t="str">
        <f t="shared" si="188"/>
        <v/>
      </c>
      <c r="R659" s="4" t="str">
        <f t="shared" si="189"/>
        <v/>
      </c>
      <c r="S659" s="4" t="str">
        <f t="shared" si="190"/>
        <v/>
      </c>
      <c r="T659" s="4" t="str">
        <f t="shared" si="191"/>
        <v/>
      </c>
      <c r="U659">
        <f>IF(VLOOKUP(C659,'QA Table'!$Y$5:$Y$20,1,TRUE)=C659,1,0)</f>
        <v>0</v>
      </c>
      <c r="V659" t="str">
        <f t="shared" si="192"/>
        <v/>
      </c>
      <c r="W659" t="str">
        <f t="shared" si="193"/>
        <v/>
      </c>
      <c r="X659">
        <f t="shared" si="194"/>
        <v>3</v>
      </c>
      <c r="Y659">
        <f t="shared" si="195"/>
        <v>0</v>
      </c>
      <c r="AA659">
        <f t="shared" si="196"/>
        <v>1</v>
      </c>
    </row>
    <row r="660" spans="1:27" x14ac:dyDescent="0.2">
      <c r="A660" t="s">
        <v>46</v>
      </c>
      <c r="B660" t="s">
        <v>76</v>
      </c>
      <c r="C660" t="s">
        <v>1791</v>
      </c>
      <c r="D660" t="s">
        <v>8</v>
      </c>
      <c r="E660" t="s">
        <v>3</v>
      </c>
      <c r="F660" t="s">
        <v>1782</v>
      </c>
      <c r="G660" t="s">
        <v>1783</v>
      </c>
      <c r="H660" s="4">
        <f t="shared" si="180"/>
        <v>1</v>
      </c>
      <c r="I660" s="4" t="str">
        <f>IF(RIGHT(B660,1)="M",IF(AND(H660=1,E660="RFS",D660=INDEX('Station Depth Averages'!$A$3:$B$84,MATCH(B660,'Station Depth Averages'!$A$3:$A$84,0),2)),1,""),IF(AND(H660=1,OR(D660="SYN",D660="SRF",D660="MID")),1,IF(AND(H660=1,OR(E661="FDn",E661="LDn")),1,IF(AND(H660=1,OR(E660="FDn",E660="LDn")),1,""))))</f>
        <v/>
      </c>
      <c r="J660" s="4" t="str">
        <f t="shared" si="181"/>
        <v/>
      </c>
      <c r="K660" s="4">
        <f t="shared" si="182"/>
        <v>1</v>
      </c>
      <c r="L660" s="4" t="str">
        <f t="shared" si="183"/>
        <v/>
      </c>
      <c r="M660" s="4" t="str">
        <f t="shared" si="184"/>
        <v/>
      </c>
      <c r="N660" s="4" t="str">
        <f t="shared" si="185"/>
        <v/>
      </c>
      <c r="O660" s="4" t="str">
        <f t="shared" si="186"/>
        <v/>
      </c>
      <c r="P660" s="4" t="str">
        <f t="shared" si="187"/>
        <v/>
      </c>
      <c r="Q660" s="4">
        <f t="shared" si="188"/>
        <v>2</v>
      </c>
      <c r="R660" s="4" t="str">
        <f t="shared" si="189"/>
        <v/>
      </c>
      <c r="S660" s="4" t="str">
        <f t="shared" si="190"/>
        <v/>
      </c>
      <c r="T660" s="4" t="str">
        <f t="shared" si="191"/>
        <v/>
      </c>
      <c r="U660">
        <f>IF(VLOOKUP(C660,'QA Table'!$Y$5:$Y$20,1,TRUE)=C660,1,0)</f>
        <v>0</v>
      </c>
      <c r="V660" t="str">
        <f t="shared" si="192"/>
        <v/>
      </c>
      <c r="W660" t="str">
        <f t="shared" si="193"/>
        <v/>
      </c>
      <c r="X660">
        <f t="shared" si="194"/>
        <v>3</v>
      </c>
      <c r="Y660">
        <f t="shared" si="195"/>
        <v>0</v>
      </c>
      <c r="AA660">
        <f t="shared" si="196"/>
        <v>1</v>
      </c>
    </row>
    <row r="661" spans="1:27" x14ac:dyDescent="0.2">
      <c r="A661" t="s">
        <v>46</v>
      </c>
      <c r="B661" t="s">
        <v>76</v>
      </c>
      <c r="C661" t="s">
        <v>1792</v>
      </c>
      <c r="D661" t="s">
        <v>9</v>
      </c>
      <c r="E661" t="s">
        <v>3</v>
      </c>
      <c r="F661" t="s">
        <v>1782</v>
      </c>
      <c r="G661" t="s">
        <v>1783</v>
      </c>
      <c r="H661" s="4" t="str">
        <f t="shared" si="180"/>
        <v/>
      </c>
      <c r="I661" s="4" t="str">
        <f>IF(RIGHT(B661,1)="M",IF(AND(H661=1,E661="RFS",D661=INDEX('Station Depth Averages'!$A$3:$B$84,MATCH(B661,'Station Depth Averages'!$A$3:$A$84,0),2)),1,""),IF(AND(H661=1,OR(D661="SYN",D661="SRF",D661="MID")),1,IF(AND(H661=1,OR(E662="FDn",E662="LDn")),1,IF(AND(H661=1,OR(E661="FDn",E661="LDn")),1,""))))</f>
        <v/>
      </c>
      <c r="J661" s="4" t="str">
        <f t="shared" si="181"/>
        <v/>
      </c>
      <c r="K661" s="4" t="str">
        <f t="shared" si="182"/>
        <v/>
      </c>
      <c r="L661" s="4" t="str">
        <f t="shared" si="183"/>
        <v/>
      </c>
      <c r="M661" s="4" t="str">
        <f t="shared" si="184"/>
        <v/>
      </c>
      <c r="N661" s="4" t="str">
        <f t="shared" si="185"/>
        <v/>
      </c>
      <c r="O661" s="4" t="str">
        <f t="shared" si="186"/>
        <v/>
      </c>
      <c r="P661" s="4" t="str">
        <f t="shared" si="187"/>
        <v/>
      </c>
      <c r="Q661" s="4" t="str">
        <f t="shared" si="188"/>
        <v/>
      </c>
      <c r="R661" s="4" t="str">
        <f t="shared" si="189"/>
        <v/>
      </c>
      <c r="S661" s="4" t="str">
        <f t="shared" si="190"/>
        <v/>
      </c>
      <c r="T661" s="4">
        <f t="shared" si="191"/>
        <v>2</v>
      </c>
      <c r="U661">
        <f>IF(VLOOKUP(C661,'QA Table'!$Y$5:$Y$20,1,TRUE)=C661,1,0)</f>
        <v>0</v>
      </c>
      <c r="V661" t="str">
        <f t="shared" si="192"/>
        <v/>
      </c>
      <c r="W661" t="str">
        <f t="shared" si="193"/>
        <v/>
      </c>
      <c r="X661" t="str">
        <f t="shared" si="194"/>
        <v/>
      </c>
      <c r="Y661">
        <f t="shared" si="195"/>
        <v>0</v>
      </c>
      <c r="AA661" t="str">
        <f t="shared" si="196"/>
        <v/>
      </c>
    </row>
    <row r="662" spans="1:27" x14ac:dyDescent="0.2">
      <c r="A662" t="s">
        <v>46</v>
      </c>
      <c r="B662" t="s">
        <v>76</v>
      </c>
      <c r="C662" t="s">
        <v>1793</v>
      </c>
      <c r="D662" t="s">
        <v>10</v>
      </c>
      <c r="E662" t="s">
        <v>3</v>
      </c>
      <c r="F662" t="s">
        <v>1782</v>
      </c>
      <c r="G662" t="s">
        <v>1783</v>
      </c>
      <c r="H662" s="4" t="str">
        <f t="shared" si="180"/>
        <v/>
      </c>
      <c r="I662" s="4" t="str">
        <f>IF(RIGHT(B662,1)="M",IF(AND(H662=1,E662="RFS",D662=INDEX('Station Depth Averages'!$A$3:$B$84,MATCH(B662,'Station Depth Averages'!$A$3:$A$84,0),2)),1,""),IF(AND(H662=1,OR(D662="SYN",D662="SRF",D662="MID")),1,IF(AND(H662=1,OR(E663="FDn",E663="LDn")),1,IF(AND(H662=1,OR(E662="FDn",E662="LDn")),1,""))))</f>
        <v/>
      </c>
      <c r="J662" s="4" t="str">
        <f t="shared" si="181"/>
        <v/>
      </c>
      <c r="K662" s="4" t="str">
        <f t="shared" si="182"/>
        <v/>
      </c>
      <c r="L662" s="4" t="str">
        <f t="shared" si="183"/>
        <v/>
      </c>
      <c r="M662" s="4" t="str">
        <f t="shared" si="184"/>
        <v/>
      </c>
      <c r="N662" s="4" t="str">
        <f t="shared" si="185"/>
        <v/>
      </c>
      <c r="O662" s="4" t="str">
        <f t="shared" si="186"/>
        <v/>
      </c>
      <c r="P662" s="4" t="str">
        <f t="shared" si="187"/>
        <v/>
      </c>
      <c r="Q662" s="4" t="str">
        <f t="shared" si="188"/>
        <v/>
      </c>
      <c r="R662" s="4" t="str">
        <f t="shared" si="189"/>
        <v/>
      </c>
      <c r="S662" s="4" t="str">
        <f t="shared" si="190"/>
        <v/>
      </c>
      <c r="T662" s="4">
        <f t="shared" si="191"/>
        <v>2</v>
      </c>
      <c r="U662">
        <f>IF(VLOOKUP(C662,'QA Table'!$Y$5:$Y$20,1,TRUE)=C662,1,0)</f>
        <v>0</v>
      </c>
      <c r="V662" t="str">
        <f t="shared" si="192"/>
        <v/>
      </c>
      <c r="W662" t="str">
        <f t="shared" si="193"/>
        <v/>
      </c>
      <c r="X662" t="str">
        <f t="shared" si="194"/>
        <v/>
      </c>
      <c r="Y662">
        <f t="shared" si="195"/>
        <v>0</v>
      </c>
      <c r="AA662" t="str">
        <f t="shared" si="196"/>
        <v/>
      </c>
    </row>
    <row r="663" spans="1:27" x14ac:dyDescent="0.2">
      <c r="A663" t="s">
        <v>46</v>
      </c>
      <c r="B663" t="s">
        <v>76</v>
      </c>
      <c r="C663" t="s">
        <v>1794</v>
      </c>
      <c r="D663" t="s">
        <v>1034</v>
      </c>
      <c r="E663" t="s">
        <v>3</v>
      </c>
      <c r="F663" t="s">
        <v>1782</v>
      </c>
      <c r="G663" t="s">
        <v>1783</v>
      </c>
      <c r="H663" s="4" t="str">
        <f t="shared" si="180"/>
        <v/>
      </c>
      <c r="I663" s="4" t="str">
        <f>IF(RIGHT(B663,1)="M",IF(AND(H663=1,E663="RFS",D663=INDEX('Station Depth Averages'!$A$3:$B$84,MATCH(B663,'Station Depth Averages'!$A$3:$A$84,0),2)),1,""),IF(AND(H663=1,OR(D663="SYN",D663="SRF",D663="MID")),1,IF(AND(H663=1,OR(E664="FDn",E664="LDn")),1,IF(AND(H663=1,OR(E663="FDn",E663="LDn")),1,""))))</f>
        <v/>
      </c>
      <c r="J663" s="4" t="str">
        <f t="shared" si="181"/>
        <v/>
      </c>
      <c r="K663" s="4" t="str">
        <f t="shared" si="182"/>
        <v/>
      </c>
      <c r="L663" s="4" t="str">
        <f t="shared" si="183"/>
        <v/>
      </c>
      <c r="M663" s="4" t="str">
        <f t="shared" si="184"/>
        <v/>
      </c>
      <c r="N663" s="4" t="str">
        <f t="shared" si="185"/>
        <v/>
      </c>
      <c r="O663" s="4" t="str">
        <f t="shared" si="186"/>
        <v/>
      </c>
      <c r="P663" s="4" t="str">
        <f t="shared" si="187"/>
        <v/>
      </c>
      <c r="Q663" s="4" t="str">
        <f t="shared" si="188"/>
        <v/>
      </c>
      <c r="R663" s="4" t="str">
        <f t="shared" si="189"/>
        <v/>
      </c>
      <c r="S663" s="4">
        <f t="shared" si="190"/>
        <v>1</v>
      </c>
      <c r="T663" s="4" t="str">
        <f t="shared" si="191"/>
        <v/>
      </c>
      <c r="U663">
        <f>IF(VLOOKUP(C663,'QA Table'!$Y$5:$Y$20,1,TRUE)=C663,1,0)</f>
        <v>0</v>
      </c>
      <c r="V663" t="str">
        <f t="shared" si="192"/>
        <v/>
      </c>
      <c r="W663" t="str">
        <f t="shared" si="193"/>
        <v/>
      </c>
      <c r="X663" t="str">
        <f t="shared" si="194"/>
        <v/>
      </c>
      <c r="Y663">
        <f t="shared" si="195"/>
        <v>0</v>
      </c>
      <c r="AA663" t="str">
        <f t="shared" si="196"/>
        <v/>
      </c>
    </row>
    <row r="664" spans="1:27" x14ac:dyDescent="0.2">
      <c r="A664" t="s">
        <v>46</v>
      </c>
      <c r="B664" t="s">
        <v>76</v>
      </c>
      <c r="C664" t="s">
        <v>1795</v>
      </c>
      <c r="D664" t="s">
        <v>1034</v>
      </c>
      <c r="E664" t="s">
        <v>19</v>
      </c>
      <c r="F664" t="s">
        <v>1782</v>
      </c>
      <c r="G664" t="s">
        <v>1783</v>
      </c>
      <c r="H664" s="4" t="str">
        <f t="shared" si="180"/>
        <v/>
      </c>
      <c r="I664" s="4" t="str">
        <f>IF(RIGHT(B664,1)="M",IF(AND(H664=1,E664="RFS",D664=INDEX('Station Depth Averages'!$A$3:$B$84,MATCH(B664,'Station Depth Averages'!$A$3:$A$84,0),2)),1,""),IF(AND(H664=1,OR(D664="SYN",D664="SRF",D664="MID")),1,IF(AND(H664=1,OR(E665="FDn",E665="LDn")),1,IF(AND(H664=1,OR(E664="FDn",E664="LDn")),1,""))))</f>
        <v/>
      </c>
      <c r="J664" s="4" t="str">
        <f t="shared" si="181"/>
        <v/>
      </c>
      <c r="K664" s="4" t="str">
        <f t="shared" si="182"/>
        <v/>
      </c>
      <c r="L664" s="4" t="str">
        <f t="shared" si="183"/>
        <v/>
      </c>
      <c r="M664" s="4" t="str">
        <f t="shared" si="184"/>
        <v/>
      </c>
      <c r="N664" s="4" t="str">
        <f t="shared" si="185"/>
        <v/>
      </c>
      <c r="O664" s="4" t="str">
        <f t="shared" si="186"/>
        <v/>
      </c>
      <c r="P664" s="4" t="str">
        <f t="shared" si="187"/>
        <v/>
      </c>
      <c r="Q664" s="4" t="str">
        <f t="shared" si="188"/>
        <v/>
      </c>
      <c r="R664" s="4" t="str">
        <f t="shared" si="189"/>
        <v/>
      </c>
      <c r="S664" s="4">
        <f t="shared" si="190"/>
        <v>1</v>
      </c>
      <c r="T664" s="4" t="str">
        <f t="shared" si="191"/>
        <v/>
      </c>
      <c r="U664">
        <f>IF(VLOOKUP(C664,'QA Table'!$Y$5:$Y$20,1,TRUE)=C664,1,0)</f>
        <v>0</v>
      </c>
      <c r="V664" t="str">
        <f t="shared" si="192"/>
        <v/>
      </c>
      <c r="W664" t="str">
        <f t="shared" si="193"/>
        <v/>
      </c>
      <c r="X664" t="str">
        <f t="shared" si="194"/>
        <v/>
      </c>
      <c r="Y664">
        <f t="shared" si="195"/>
        <v>0</v>
      </c>
      <c r="AA664" t="str">
        <f t="shared" si="196"/>
        <v/>
      </c>
    </row>
    <row r="665" spans="1:27" x14ac:dyDescent="0.2">
      <c r="A665" t="s">
        <v>46</v>
      </c>
      <c r="B665" t="s">
        <v>77</v>
      </c>
      <c r="C665" t="s">
        <v>1796</v>
      </c>
      <c r="D665" t="s">
        <v>2</v>
      </c>
      <c r="E665" t="s">
        <v>3</v>
      </c>
      <c r="F665" t="s">
        <v>1797</v>
      </c>
      <c r="G665" t="s">
        <v>1783</v>
      </c>
      <c r="H665" s="4">
        <f t="shared" si="180"/>
        <v>1</v>
      </c>
      <c r="I665" s="4">
        <f>IF(RIGHT(B665,1)="M",IF(AND(H665=1,E665="RFS",D665=INDEX('Station Depth Averages'!$A$3:$B$84,MATCH(B665,'Station Depth Averages'!$A$3:$A$84,0),2)),1,""),IF(AND(H665=1,OR(D665="SYN",D665="SRF",D665="MID")),1,IF(AND(H665=1,OR(E666="FDn",E666="LDn")),1,IF(AND(H665=1,OR(E665="FDn",E665="LDn")),1,""))))</f>
        <v>1</v>
      </c>
      <c r="J665" s="4">
        <f t="shared" si="181"/>
        <v>1</v>
      </c>
      <c r="K665" s="4" t="str">
        <f t="shared" si="182"/>
        <v/>
      </c>
      <c r="L665" s="4" t="str">
        <f t="shared" si="183"/>
        <v/>
      </c>
      <c r="M665" s="4" t="str">
        <f t="shared" si="184"/>
        <v/>
      </c>
      <c r="N665" s="4" t="str">
        <f t="shared" si="185"/>
        <v/>
      </c>
      <c r="O665" s="4" t="str">
        <f t="shared" si="186"/>
        <v/>
      </c>
      <c r="P665" s="4" t="str">
        <f t="shared" si="187"/>
        <v/>
      </c>
      <c r="Q665" s="4" t="str">
        <f t="shared" si="188"/>
        <v/>
      </c>
      <c r="R665" s="4" t="str">
        <f t="shared" si="189"/>
        <v/>
      </c>
      <c r="S665" s="4" t="str">
        <f t="shared" si="190"/>
        <v/>
      </c>
      <c r="T665" s="4" t="str">
        <f t="shared" si="191"/>
        <v/>
      </c>
      <c r="U665">
        <f>IF(VLOOKUP(C665,'QA Table'!$Y$5:$Y$20,1,TRUE)=C665,1,0)</f>
        <v>0</v>
      </c>
      <c r="V665" t="str">
        <f t="shared" si="192"/>
        <v/>
      </c>
      <c r="W665" t="str">
        <f t="shared" si="193"/>
        <v/>
      </c>
      <c r="X665">
        <f t="shared" si="194"/>
        <v>3</v>
      </c>
      <c r="Y665">
        <f t="shared" si="195"/>
        <v>0</v>
      </c>
      <c r="AA665">
        <f t="shared" si="196"/>
        <v>1</v>
      </c>
    </row>
    <row r="666" spans="1:27" x14ac:dyDescent="0.2">
      <c r="A666" t="s">
        <v>46</v>
      </c>
      <c r="B666" t="s">
        <v>77</v>
      </c>
      <c r="C666" t="s">
        <v>1798</v>
      </c>
      <c r="D666" t="s">
        <v>1050</v>
      </c>
      <c r="E666" t="s">
        <v>3</v>
      </c>
      <c r="F666" t="s">
        <v>1797</v>
      </c>
      <c r="G666" t="s">
        <v>1783</v>
      </c>
      <c r="H666" s="4" t="str">
        <f t="shared" si="180"/>
        <v/>
      </c>
      <c r="I666" s="4" t="str">
        <f>IF(RIGHT(B666,1)="M",IF(AND(H666=1,E666="RFS",D666=INDEX('Station Depth Averages'!$A$3:$B$84,MATCH(B666,'Station Depth Averages'!$A$3:$A$84,0),2)),1,""),IF(AND(H666=1,OR(D666="SYN",D666="SRF",D666="MID")),1,IF(AND(H666=1,OR(E667="FDn",E667="LDn")),1,IF(AND(H666=1,OR(E666="FDn",E666="LDn")),1,""))))</f>
        <v/>
      </c>
      <c r="J666" s="4" t="str">
        <f t="shared" si="181"/>
        <v/>
      </c>
      <c r="K666" s="4" t="str">
        <f t="shared" si="182"/>
        <v/>
      </c>
      <c r="L666" s="4" t="str">
        <f t="shared" si="183"/>
        <v/>
      </c>
      <c r="M666" s="4" t="str">
        <f t="shared" si="184"/>
        <v/>
      </c>
      <c r="N666" s="4" t="str">
        <f t="shared" si="185"/>
        <v/>
      </c>
      <c r="O666" s="4" t="str">
        <f t="shared" si="186"/>
        <v/>
      </c>
      <c r="P666" s="4" t="str">
        <f t="shared" si="187"/>
        <v/>
      </c>
      <c r="Q666" s="4" t="str">
        <f t="shared" si="188"/>
        <v/>
      </c>
      <c r="R666" s="4" t="str">
        <f t="shared" si="189"/>
        <v/>
      </c>
      <c r="S666" s="4" t="str">
        <f t="shared" si="190"/>
        <v/>
      </c>
      <c r="T666" s="4" t="str">
        <f t="shared" si="191"/>
        <v/>
      </c>
      <c r="U666">
        <f>IF(VLOOKUP(C666,'QA Table'!$Y$5:$Y$20,1,TRUE)=C666,1,0)</f>
        <v>0</v>
      </c>
      <c r="V666" t="str">
        <f t="shared" si="192"/>
        <v/>
      </c>
      <c r="W666" t="str">
        <f t="shared" si="193"/>
        <v/>
      </c>
      <c r="X666" t="str">
        <f t="shared" si="194"/>
        <v/>
      </c>
      <c r="Y666">
        <f t="shared" si="195"/>
        <v>0</v>
      </c>
      <c r="AA666" t="str">
        <f t="shared" si="196"/>
        <v/>
      </c>
    </row>
    <row r="667" spans="1:27" x14ac:dyDescent="0.2">
      <c r="A667" t="s">
        <v>46</v>
      </c>
      <c r="B667" t="s">
        <v>77</v>
      </c>
      <c r="C667" t="s">
        <v>1799</v>
      </c>
      <c r="D667" t="s">
        <v>4</v>
      </c>
      <c r="E667" t="s">
        <v>3</v>
      </c>
      <c r="F667" t="s">
        <v>1797</v>
      </c>
      <c r="G667" t="s">
        <v>1783</v>
      </c>
      <c r="H667" s="4" t="str">
        <f t="shared" si="180"/>
        <v/>
      </c>
      <c r="I667" s="4" t="str">
        <f>IF(RIGHT(B667,1)="M",IF(AND(H667=1,E667="RFS",D667=INDEX('Station Depth Averages'!$A$3:$B$84,MATCH(B667,'Station Depth Averages'!$A$3:$A$84,0),2)),1,""),IF(AND(H667=1,OR(D667="SYN",D667="SRF",D667="MID")),1,IF(AND(H667=1,OR(E668="FDn",E668="LDn")),1,IF(AND(H667=1,OR(E667="FDn",E667="LDn")),1,""))))</f>
        <v/>
      </c>
      <c r="J667" s="4" t="str">
        <f t="shared" si="181"/>
        <v/>
      </c>
      <c r="K667" s="4" t="str">
        <f t="shared" si="182"/>
        <v/>
      </c>
      <c r="L667" s="4" t="str">
        <f t="shared" si="183"/>
        <v/>
      </c>
      <c r="M667" s="4" t="str">
        <f t="shared" si="184"/>
        <v/>
      </c>
      <c r="N667" s="4" t="str">
        <f t="shared" si="185"/>
        <v/>
      </c>
      <c r="O667" s="4" t="str">
        <f t="shared" si="186"/>
        <v/>
      </c>
      <c r="P667" s="4" t="str">
        <f t="shared" si="187"/>
        <v/>
      </c>
      <c r="Q667" s="4" t="str">
        <f t="shared" si="188"/>
        <v/>
      </c>
      <c r="R667" s="4" t="str">
        <f t="shared" si="189"/>
        <v/>
      </c>
      <c r="S667" s="4" t="str">
        <f t="shared" si="190"/>
        <v/>
      </c>
      <c r="T667" s="4" t="str">
        <f t="shared" si="191"/>
        <v/>
      </c>
      <c r="U667">
        <f>IF(VLOOKUP(C667,'QA Table'!$Y$5:$Y$20,1,TRUE)=C667,1,0)</f>
        <v>0</v>
      </c>
      <c r="V667" t="str">
        <f t="shared" si="192"/>
        <v/>
      </c>
      <c r="W667" t="str">
        <f t="shared" si="193"/>
        <v/>
      </c>
      <c r="X667" t="str">
        <f t="shared" si="194"/>
        <v/>
      </c>
      <c r="Y667">
        <f t="shared" si="195"/>
        <v>0</v>
      </c>
      <c r="AA667" t="str">
        <f t="shared" si="196"/>
        <v/>
      </c>
    </row>
    <row r="668" spans="1:27" x14ac:dyDescent="0.2">
      <c r="A668" t="s">
        <v>46</v>
      </c>
      <c r="B668" t="s">
        <v>77</v>
      </c>
      <c r="C668" t="s">
        <v>1800</v>
      </c>
      <c r="D668" t="s">
        <v>1051</v>
      </c>
      <c r="E668" t="s">
        <v>3</v>
      </c>
      <c r="F668" t="s">
        <v>1797</v>
      </c>
      <c r="G668" t="s">
        <v>1783</v>
      </c>
      <c r="H668" s="4" t="str">
        <f t="shared" si="180"/>
        <v/>
      </c>
      <c r="I668" s="4" t="str">
        <f>IF(RIGHT(B668,1)="M",IF(AND(H668=1,E668="RFS",D668=INDEX('Station Depth Averages'!$A$3:$B$84,MATCH(B668,'Station Depth Averages'!$A$3:$A$84,0),2)),1,""),IF(AND(H668=1,OR(D668="SYN",D668="SRF",D668="MID")),1,IF(AND(H668=1,OR(E669="FDn",E669="LDn")),1,IF(AND(H668=1,OR(E668="FDn",E668="LDn")),1,""))))</f>
        <v/>
      </c>
      <c r="J668" s="4" t="str">
        <f t="shared" si="181"/>
        <v/>
      </c>
      <c r="K668" s="4" t="str">
        <f t="shared" si="182"/>
        <v/>
      </c>
      <c r="L668" s="4" t="str">
        <f t="shared" si="183"/>
        <v/>
      </c>
      <c r="M668" s="4" t="str">
        <f t="shared" si="184"/>
        <v/>
      </c>
      <c r="N668" s="4" t="str">
        <f t="shared" si="185"/>
        <v/>
      </c>
      <c r="O668" s="4" t="str">
        <f t="shared" si="186"/>
        <v/>
      </c>
      <c r="P668" s="4" t="str">
        <f t="shared" si="187"/>
        <v/>
      </c>
      <c r="Q668" s="4" t="str">
        <f t="shared" si="188"/>
        <v/>
      </c>
      <c r="R668" s="4" t="str">
        <f t="shared" si="189"/>
        <v/>
      </c>
      <c r="S668" s="4" t="str">
        <f t="shared" si="190"/>
        <v/>
      </c>
      <c r="T668" s="4" t="str">
        <f t="shared" si="191"/>
        <v/>
      </c>
      <c r="U668">
        <f>IF(VLOOKUP(C668,'QA Table'!$Y$5:$Y$20,1,TRUE)=C668,1,0)</f>
        <v>0</v>
      </c>
      <c r="V668" t="str">
        <f t="shared" si="192"/>
        <v/>
      </c>
      <c r="W668" t="str">
        <f t="shared" si="193"/>
        <v/>
      </c>
      <c r="X668" t="str">
        <f t="shared" si="194"/>
        <v/>
      </c>
      <c r="Y668">
        <f t="shared" si="195"/>
        <v>0</v>
      </c>
      <c r="AA668" t="str">
        <f t="shared" si="196"/>
        <v/>
      </c>
    </row>
    <row r="669" spans="1:27" x14ac:dyDescent="0.2">
      <c r="A669" t="s">
        <v>46</v>
      </c>
      <c r="B669" t="s">
        <v>77</v>
      </c>
      <c r="C669" t="s">
        <v>1801</v>
      </c>
      <c r="D669" t="s">
        <v>119</v>
      </c>
      <c r="E669" t="s">
        <v>3</v>
      </c>
      <c r="F669" t="s">
        <v>1797</v>
      </c>
      <c r="G669" t="s">
        <v>1783</v>
      </c>
      <c r="H669" s="4">
        <f t="shared" si="180"/>
        <v>1</v>
      </c>
      <c r="I669" s="4">
        <f>IF(RIGHT(B669,1)="M",IF(AND(H669=1,E669="RFS",D669=INDEX('Station Depth Averages'!$A$3:$B$84,MATCH(B669,'Station Depth Averages'!$A$3:$A$84,0),2)),1,""),IF(AND(H669=1,OR(D669="SYN",D669="SRF",D669="MID")),1,IF(AND(H669=1,OR(E670="FDn",E670="LDn")),1,IF(AND(H669=1,OR(E669="FDn",E669="LDn")),1,""))))</f>
        <v>1</v>
      </c>
      <c r="J669" s="4">
        <f t="shared" si="181"/>
        <v>1</v>
      </c>
      <c r="K669" s="4" t="str">
        <f t="shared" si="182"/>
        <v/>
      </c>
      <c r="L669" s="4" t="str">
        <f t="shared" si="183"/>
        <v/>
      </c>
      <c r="M669" s="4" t="str">
        <f t="shared" si="184"/>
        <v/>
      </c>
      <c r="N669" s="4" t="str">
        <f t="shared" si="185"/>
        <v/>
      </c>
      <c r="O669" s="4" t="str">
        <f t="shared" si="186"/>
        <v/>
      </c>
      <c r="P669" s="4" t="str">
        <f t="shared" si="187"/>
        <v/>
      </c>
      <c r="Q669" s="4" t="str">
        <f t="shared" si="188"/>
        <v/>
      </c>
      <c r="R669" s="4" t="str">
        <f t="shared" si="189"/>
        <v/>
      </c>
      <c r="S669" s="4" t="str">
        <f t="shared" si="190"/>
        <v/>
      </c>
      <c r="T669" s="4" t="str">
        <f t="shared" si="191"/>
        <v/>
      </c>
      <c r="U669">
        <f>IF(VLOOKUP(C669,'QA Table'!$Y$5:$Y$20,1,TRUE)=C669,1,0)</f>
        <v>0</v>
      </c>
      <c r="V669" t="str">
        <f t="shared" si="192"/>
        <v/>
      </c>
      <c r="W669" t="str">
        <f t="shared" si="193"/>
        <v/>
      </c>
      <c r="X669">
        <f t="shared" si="194"/>
        <v>3</v>
      </c>
      <c r="Y669">
        <f t="shared" si="195"/>
        <v>0</v>
      </c>
      <c r="AA669">
        <f t="shared" si="196"/>
        <v>1</v>
      </c>
    </row>
    <row r="670" spans="1:27" x14ac:dyDescent="0.2">
      <c r="A670" t="s">
        <v>46</v>
      </c>
      <c r="B670" t="s">
        <v>77</v>
      </c>
      <c r="C670" t="s">
        <v>1802</v>
      </c>
      <c r="D670" t="s">
        <v>5</v>
      </c>
      <c r="E670" t="s">
        <v>3</v>
      </c>
      <c r="F670" t="s">
        <v>1797</v>
      </c>
      <c r="G670" t="s">
        <v>1783</v>
      </c>
      <c r="H670" s="4">
        <f t="shared" si="180"/>
        <v>1</v>
      </c>
      <c r="I670" s="4" t="str">
        <f>IF(RIGHT(B670,1)="M",IF(AND(H670=1,E670="RFS",D670=INDEX('Station Depth Averages'!$A$3:$B$84,MATCH(B670,'Station Depth Averages'!$A$3:$A$84,0),2)),1,""),IF(AND(H670=1,OR(D670="SYN",D670="SRF",D670="MID")),1,IF(AND(H670=1,OR(E671="FDn",E671="LDn")),1,IF(AND(H670=1,OR(E670="FDn",E670="LDn")),1,""))))</f>
        <v/>
      </c>
      <c r="J670" s="4">
        <f t="shared" si="181"/>
        <v>1</v>
      </c>
      <c r="K670" s="4" t="str">
        <f t="shared" si="182"/>
        <v/>
      </c>
      <c r="L670" s="4" t="str">
        <f t="shared" si="183"/>
        <v/>
      </c>
      <c r="M670" s="4" t="str">
        <f t="shared" si="184"/>
        <v/>
      </c>
      <c r="N670" s="4" t="str">
        <f t="shared" si="185"/>
        <v/>
      </c>
      <c r="O670" s="4" t="str">
        <f t="shared" si="186"/>
        <v/>
      </c>
      <c r="P670" s="4" t="str">
        <f t="shared" si="187"/>
        <v/>
      </c>
      <c r="Q670" s="4" t="str">
        <f t="shared" si="188"/>
        <v/>
      </c>
      <c r="R670" s="4" t="str">
        <f t="shared" si="189"/>
        <v/>
      </c>
      <c r="S670" s="4" t="str">
        <f t="shared" si="190"/>
        <v/>
      </c>
      <c r="T670" s="4" t="str">
        <f t="shared" si="191"/>
        <v/>
      </c>
      <c r="U670">
        <f>IF(VLOOKUP(C670,'QA Table'!$Y$5:$Y$20,1,TRUE)=C670,1,0)</f>
        <v>0</v>
      </c>
      <c r="V670" t="str">
        <f t="shared" si="192"/>
        <v/>
      </c>
      <c r="W670" t="str">
        <f t="shared" si="193"/>
        <v/>
      </c>
      <c r="X670">
        <f t="shared" si="194"/>
        <v>3</v>
      </c>
      <c r="Y670">
        <f t="shared" si="195"/>
        <v>0</v>
      </c>
      <c r="AA670">
        <f t="shared" si="196"/>
        <v>1</v>
      </c>
    </row>
    <row r="671" spans="1:27" x14ac:dyDescent="0.2">
      <c r="A671" t="s">
        <v>46</v>
      </c>
      <c r="B671" t="s">
        <v>77</v>
      </c>
      <c r="C671" t="s">
        <v>1803</v>
      </c>
      <c r="D671" t="s">
        <v>6</v>
      </c>
      <c r="E671" t="s">
        <v>3</v>
      </c>
      <c r="F671" t="s">
        <v>1797</v>
      </c>
      <c r="G671" t="s">
        <v>1783</v>
      </c>
      <c r="H671" s="4">
        <f t="shared" si="180"/>
        <v>1</v>
      </c>
      <c r="I671" s="4" t="str">
        <f>IF(RIGHT(B671,1)="M",IF(AND(H671=1,E671="RFS",D671=INDEX('Station Depth Averages'!$A$3:$B$84,MATCH(B671,'Station Depth Averages'!$A$3:$A$84,0),2)),1,""),IF(AND(H671=1,OR(D671="SYN",D671="SRF",D671="MID")),1,IF(AND(H671=1,OR(E672="FDn",E672="LDn")),1,IF(AND(H671=1,OR(E671="FDn",E671="LDn")),1,""))))</f>
        <v/>
      </c>
      <c r="J671" s="4">
        <f t="shared" si="181"/>
        <v>1</v>
      </c>
      <c r="K671" s="4" t="str">
        <f t="shared" si="182"/>
        <v/>
      </c>
      <c r="L671" s="4" t="str">
        <f t="shared" si="183"/>
        <v/>
      </c>
      <c r="M671" s="4" t="str">
        <f t="shared" si="184"/>
        <v/>
      </c>
      <c r="N671" s="4" t="str">
        <f t="shared" si="185"/>
        <v/>
      </c>
      <c r="O671" s="4" t="str">
        <f t="shared" si="186"/>
        <v/>
      </c>
      <c r="P671" s="4" t="str">
        <f t="shared" si="187"/>
        <v/>
      </c>
      <c r="Q671" s="4" t="str">
        <f t="shared" si="188"/>
        <v/>
      </c>
      <c r="R671" s="4" t="str">
        <f t="shared" si="189"/>
        <v/>
      </c>
      <c r="S671" s="4" t="str">
        <f t="shared" si="190"/>
        <v/>
      </c>
      <c r="T671" s="4" t="str">
        <f t="shared" si="191"/>
        <v/>
      </c>
      <c r="U671">
        <f>IF(VLOOKUP(C671,'QA Table'!$Y$5:$Y$20,1,TRUE)=C671,1,0)</f>
        <v>0</v>
      </c>
      <c r="V671" t="str">
        <f t="shared" si="192"/>
        <v/>
      </c>
      <c r="W671" t="str">
        <f t="shared" si="193"/>
        <v/>
      </c>
      <c r="X671">
        <f t="shared" si="194"/>
        <v>3</v>
      </c>
      <c r="Y671">
        <f t="shared" si="195"/>
        <v>0</v>
      </c>
      <c r="AA671">
        <f t="shared" si="196"/>
        <v>1</v>
      </c>
    </row>
    <row r="672" spans="1:27" x14ac:dyDescent="0.2">
      <c r="A672" t="s">
        <v>46</v>
      </c>
      <c r="B672" t="s">
        <v>77</v>
      </c>
      <c r="C672" t="s">
        <v>1804</v>
      </c>
      <c r="D672" t="s">
        <v>8</v>
      </c>
      <c r="E672" t="s">
        <v>3</v>
      </c>
      <c r="F672" t="s">
        <v>1797</v>
      </c>
      <c r="G672" t="s">
        <v>1783</v>
      </c>
      <c r="H672" s="4">
        <f t="shared" si="180"/>
        <v>1</v>
      </c>
      <c r="I672" s="4" t="str">
        <f>IF(RIGHT(B672,1)="M",IF(AND(H672=1,E672="RFS",D672=INDEX('Station Depth Averages'!$A$3:$B$84,MATCH(B672,'Station Depth Averages'!$A$3:$A$84,0),2)),1,""),IF(AND(H672=1,OR(D672="SYN",D672="SRF",D672="MID")),1,IF(AND(H672=1,OR(E673="FDn",E673="LDn")),1,IF(AND(H672=1,OR(E672="FDn",E672="LDn")),1,""))))</f>
        <v/>
      </c>
      <c r="J672" s="4" t="str">
        <f t="shared" si="181"/>
        <v/>
      </c>
      <c r="K672" s="4">
        <f t="shared" si="182"/>
        <v>1</v>
      </c>
      <c r="L672" s="4" t="str">
        <f t="shared" si="183"/>
        <v/>
      </c>
      <c r="M672" s="4" t="str">
        <f t="shared" si="184"/>
        <v/>
      </c>
      <c r="N672" s="4" t="str">
        <f t="shared" si="185"/>
        <v/>
      </c>
      <c r="O672" s="4" t="str">
        <f t="shared" si="186"/>
        <v/>
      </c>
      <c r="P672" s="4" t="str">
        <f t="shared" si="187"/>
        <v/>
      </c>
      <c r="Q672" s="4">
        <f t="shared" si="188"/>
        <v>2</v>
      </c>
      <c r="R672" s="4" t="str">
        <f t="shared" si="189"/>
        <v/>
      </c>
      <c r="S672" s="4" t="str">
        <f t="shared" si="190"/>
        <v/>
      </c>
      <c r="T672" s="4" t="str">
        <f t="shared" si="191"/>
        <v/>
      </c>
      <c r="U672">
        <f>IF(VLOOKUP(C672,'QA Table'!$Y$5:$Y$20,1,TRUE)=C672,1,0)</f>
        <v>0</v>
      </c>
      <c r="V672" t="str">
        <f t="shared" si="192"/>
        <v/>
      </c>
      <c r="W672" t="str">
        <f t="shared" si="193"/>
        <v/>
      </c>
      <c r="X672">
        <f t="shared" si="194"/>
        <v>3</v>
      </c>
      <c r="Y672">
        <f t="shared" si="195"/>
        <v>0</v>
      </c>
      <c r="AA672">
        <f t="shared" si="196"/>
        <v>1</v>
      </c>
    </row>
    <row r="673" spans="1:27" x14ac:dyDescent="0.2">
      <c r="A673" t="s">
        <v>46</v>
      </c>
      <c r="B673" t="s">
        <v>77</v>
      </c>
      <c r="C673" t="s">
        <v>1805</v>
      </c>
      <c r="D673" t="s">
        <v>9</v>
      </c>
      <c r="E673" t="s">
        <v>3</v>
      </c>
      <c r="F673" t="s">
        <v>1797</v>
      </c>
      <c r="G673" t="s">
        <v>1783</v>
      </c>
      <c r="H673" s="4" t="str">
        <f t="shared" si="180"/>
        <v/>
      </c>
      <c r="I673" s="4" t="str">
        <f>IF(RIGHT(B673,1)="M",IF(AND(H673=1,E673="RFS",D673=INDEX('Station Depth Averages'!$A$3:$B$84,MATCH(B673,'Station Depth Averages'!$A$3:$A$84,0),2)),1,""),IF(AND(H673=1,OR(D673="SYN",D673="SRF",D673="MID")),1,IF(AND(H673=1,OR(E674="FDn",E674="LDn")),1,IF(AND(H673=1,OR(E673="FDn",E673="LDn")),1,""))))</f>
        <v/>
      </c>
      <c r="J673" s="4" t="str">
        <f t="shared" si="181"/>
        <v/>
      </c>
      <c r="K673" s="4" t="str">
        <f t="shared" si="182"/>
        <v/>
      </c>
      <c r="L673" s="4" t="str">
        <f t="shared" si="183"/>
        <v/>
      </c>
      <c r="M673" s="4" t="str">
        <f t="shared" si="184"/>
        <v/>
      </c>
      <c r="N673" s="4" t="str">
        <f t="shared" si="185"/>
        <v/>
      </c>
      <c r="O673" s="4" t="str">
        <f t="shared" si="186"/>
        <v/>
      </c>
      <c r="P673" s="4" t="str">
        <f t="shared" si="187"/>
        <v/>
      </c>
      <c r="Q673" s="4" t="str">
        <f t="shared" si="188"/>
        <v/>
      </c>
      <c r="R673" s="4" t="str">
        <f t="shared" si="189"/>
        <v/>
      </c>
      <c r="S673" s="4" t="str">
        <f t="shared" si="190"/>
        <v/>
      </c>
      <c r="T673" s="4">
        <f t="shared" si="191"/>
        <v>2</v>
      </c>
      <c r="U673">
        <f>IF(VLOOKUP(C673,'QA Table'!$Y$5:$Y$20,1,TRUE)=C673,1,0)</f>
        <v>0</v>
      </c>
      <c r="V673" t="str">
        <f t="shared" si="192"/>
        <v/>
      </c>
      <c r="W673" t="str">
        <f t="shared" si="193"/>
        <v/>
      </c>
      <c r="X673" t="str">
        <f t="shared" si="194"/>
        <v/>
      </c>
      <c r="Y673">
        <f t="shared" si="195"/>
        <v>0</v>
      </c>
      <c r="AA673" t="str">
        <f t="shared" si="196"/>
        <v/>
      </c>
    </row>
    <row r="674" spans="1:27" x14ac:dyDescent="0.2">
      <c r="A674" t="s">
        <v>46</v>
      </c>
      <c r="B674" t="s">
        <v>77</v>
      </c>
      <c r="C674" t="s">
        <v>1806</v>
      </c>
      <c r="D674" t="s">
        <v>10</v>
      </c>
      <c r="E674" t="s">
        <v>3</v>
      </c>
      <c r="F674" t="s">
        <v>1797</v>
      </c>
      <c r="G674" t="s">
        <v>1783</v>
      </c>
      <c r="H674" s="4" t="str">
        <f t="shared" si="180"/>
        <v/>
      </c>
      <c r="I674" s="4" t="str">
        <f>IF(RIGHT(B674,1)="M",IF(AND(H674=1,E674="RFS",D674=INDEX('Station Depth Averages'!$A$3:$B$84,MATCH(B674,'Station Depth Averages'!$A$3:$A$84,0),2)),1,""),IF(AND(H674=1,OR(D674="SYN",D674="SRF",D674="MID")),1,IF(AND(H674=1,OR(E675="FDn",E675="LDn")),1,IF(AND(H674=1,OR(E674="FDn",E674="LDn")),1,""))))</f>
        <v/>
      </c>
      <c r="J674" s="4" t="str">
        <f t="shared" si="181"/>
        <v/>
      </c>
      <c r="K674" s="4" t="str">
        <f t="shared" si="182"/>
        <v/>
      </c>
      <c r="L674" s="4" t="str">
        <f t="shared" si="183"/>
        <v/>
      </c>
      <c r="M674" s="4" t="str">
        <f t="shared" si="184"/>
        <v/>
      </c>
      <c r="N674" s="4" t="str">
        <f t="shared" si="185"/>
        <v/>
      </c>
      <c r="O674" s="4" t="str">
        <f t="shared" si="186"/>
        <v/>
      </c>
      <c r="P674" s="4" t="str">
        <f t="shared" si="187"/>
        <v/>
      </c>
      <c r="Q674" s="4" t="str">
        <f t="shared" si="188"/>
        <v/>
      </c>
      <c r="R674" s="4" t="str">
        <f t="shared" si="189"/>
        <v/>
      </c>
      <c r="S674" s="4" t="str">
        <f t="shared" si="190"/>
        <v/>
      </c>
      <c r="T674" s="4">
        <f t="shared" si="191"/>
        <v>2</v>
      </c>
      <c r="U674">
        <f>IF(VLOOKUP(C674,'QA Table'!$Y$5:$Y$20,1,TRUE)=C674,1,0)</f>
        <v>0</v>
      </c>
      <c r="V674" t="str">
        <f t="shared" si="192"/>
        <v/>
      </c>
      <c r="W674" t="str">
        <f t="shared" si="193"/>
        <v/>
      </c>
      <c r="X674" t="str">
        <f t="shared" si="194"/>
        <v/>
      </c>
      <c r="Y674">
        <f t="shared" si="195"/>
        <v>0</v>
      </c>
      <c r="AA674" t="str">
        <f t="shared" si="196"/>
        <v/>
      </c>
    </row>
    <row r="675" spans="1:27" x14ac:dyDescent="0.2">
      <c r="A675" t="s">
        <v>46</v>
      </c>
      <c r="B675" t="s">
        <v>77</v>
      </c>
      <c r="C675" t="s">
        <v>1807</v>
      </c>
      <c r="D675" t="s">
        <v>1034</v>
      </c>
      <c r="E675" t="s">
        <v>3</v>
      </c>
      <c r="F675" t="s">
        <v>1797</v>
      </c>
      <c r="G675" t="s">
        <v>1783</v>
      </c>
      <c r="H675" s="4" t="str">
        <f t="shared" si="180"/>
        <v/>
      </c>
      <c r="I675" s="4" t="str">
        <f>IF(RIGHT(B675,1)="M",IF(AND(H675=1,E675="RFS",D675=INDEX('Station Depth Averages'!$A$3:$B$84,MATCH(B675,'Station Depth Averages'!$A$3:$A$84,0),2)),1,""),IF(AND(H675=1,OR(D675="SYN",D675="SRF",D675="MID")),1,IF(AND(H675=1,OR(E676="FDn",E676="LDn")),1,IF(AND(H675=1,OR(E675="FDn",E675="LDn")),1,""))))</f>
        <v/>
      </c>
      <c r="J675" s="4" t="str">
        <f t="shared" si="181"/>
        <v/>
      </c>
      <c r="K675" s="4" t="str">
        <f t="shared" si="182"/>
        <v/>
      </c>
      <c r="L675" s="4" t="str">
        <f t="shared" si="183"/>
        <v/>
      </c>
      <c r="M675" s="4" t="str">
        <f t="shared" si="184"/>
        <v/>
      </c>
      <c r="N675" s="4" t="str">
        <f t="shared" si="185"/>
        <v/>
      </c>
      <c r="O675" s="4" t="str">
        <f t="shared" si="186"/>
        <v/>
      </c>
      <c r="P675" s="4" t="str">
        <f t="shared" si="187"/>
        <v/>
      </c>
      <c r="Q675" s="4" t="str">
        <f t="shared" si="188"/>
        <v/>
      </c>
      <c r="R675" s="4" t="str">
        <f t="shared" si="189"/>
        <v/>
      </c>
      <c r="S675" s="4">
        <f t="shared" si="190"/>
        <v>1</v>
      </c>
      <c r="T675" s="4" t="str">
        <f t="shared" si="191"/>
        <v/>
      </c>
      <c r="U675">
        <f>IF(VLOOKUP(C675,'QA Table'!$Y$5:$Y$20,1,TRUE)=C675,1,0)</f>
        <v>0</v>
      </c>
      <c r="V675" t="str">
        <f t="shared" si="192"/>
        <v/>
      </c>
      <c r="W675" t="str">
        <f t="shared" si="193"/>
        <v/>
      </c>
      <c r="X675" t="str">
        <f t="shared" si="194"/>
        <v/>
      </c>
      <c r="Y675">
        <f t="shared" si="195"/>
        <v>0</v>
      </c>
      <c r="AA675" t="str">
        <f t="shared" si="196"/>
        <v/>
      </c>
    </row>
    <row r="676" spans="1:27" x14ac:dyDescent="0.2">
      <c r="A676" t="s">
        <v>46</v>
      </c>
      <c r="B676" t="s">
        <v>77</v>
      </c>
      <c r="C676" t="s">
        <v>1808</v>
      </c>
      <c r="D676" t="s">
        <v>1034</v>
      </c>
      <c r="E676" t="s">
        <v>19</v>
      </c>
      <c r="F676" t="s">
        <v>1797</v>
      </c>
      <c r="G676" t="s">
        <v>1783</v>
      </c>
      <c r="H676" s="4" t="str">
        <f t="shared" si="180"/>
        <v/>
      </c>
      <c r="I676" s="4" t="str">
        <f>IF(RIGHT(B676,1)="M",IF(AND(H676=1,E676="RFS",D676=INDEX('Station Depth Averages'!$A$3:$B$84,MATCH(B676,'Station Depth Averages'!$A$3:$A$84,0),2)),1,""),IF(AND(H676=1,OR(D676="SYN",D676="SRF",D676="MID")),1,IF(AND(H676=1,OR(E677="FDn",E677="LDn")),1,IF(AND(H676=1,OR(E676="FDn",E676="LDn")),1,""))))</f>
        <v/>
      </c>
      <c r="J676" s="4" t="str">
        <f t="shared" si="181"/>
        <v/>
      </c>
      <c r="K676" s="4" t="str">
        <f t="shared" si="182"/>
        <v/>
      </c>
      <c r="L676" s="4" t="str">
        <f t="shared" si="183"/>
        <v/>
      </c>
      <c r="M676" s="4" t="str">
        <f t="shared" si="184"/>
        <v/>
      </c>
      <c r="N676" s="4" t="str">
        <f t="shared" si="185"/>
        <v/>
      </c>
      <c r="O676" s="4" t="str">
        <f t="shared" si="186"/>
        <v/>
      </c>
      <c r="P676" s="4" t="str">
        <f t="shared" si="187"/>
        <v/>
      </c>
      <c r="Q676" s="4" t="str">
        <f t="shared" si="188"/>
        <v/>
      </c>
      <c r="R676" s="4" t="str">
        <f t="shared" si="189"/>
        <v/>
      </c>
      <c r="S676" s="4">
        <f t="shared" si="190"/>
        <v>1</v>
      </c>
      <c r="T676" s="4" t="str">
        <f t="shared" si="191"/>
        <v/>
      </c>
      <c r="U676">
        <f>IF(VLOOKUP(C676,'QA Table'!$Y$5:$Y$20,1,TRUE)=C676,1,0)</f>
        <v>0</v>
      </c>
      <c r="V676" t="str">
        <f t="shared" si="192"/>
        <v/>
      </c>
      <c r="W676" t="str">
        <f t="shared" si="193"/>
        <v/>
      </c>
      <c r="X676" t="str">
        <f t="shared" si="194"/>
        <v/>
      </c>
      <c r="Y676">
        <f t="shared" si="195"/>
        <v>0</v>
      </c>
      <c r="AA676" t="str">
        <f t="shared" si="196"/>
        <v/>
      </c>
    </row>
    <row r="677" spans="1:27" x14ac:dyDescent="0.2">
      <c r="A677" t="s">
        <v>46</v>
      </c>
      <c r="B677" t="s">
        <v>78</v>
      </c>
      <c r="C677" t="s">
        <v>1809</v>
      </c>
      <c r="D677" t="s">
        <v>14</v>
      </c>
      <c r="E677" t="s">
        <v>15</v>
      </c>
      <c r="F677" t="s">
        <v>1810</v>
      </c>
      <c r="G677" t="s">
        <v>1783</v>
      </c>
      <c r="H677" s="4">
        <f t="shared" si="180"/>
        <v>1</v>
      </c>
      <c r="I677" s="4">
        <f>IF(RIGHT(B677,1)="M",IF(AND(H677=1,E677="RFS",D677=INDEX('Station Depth Averages'!$A$3:$B$84,MATCH(B677,'Station Depth Averages'!$A$3:$A$84,0),2)),1,""),IF(AND(H677=1,OR(D677="SYN",D677="SRF",D677="MID")),1,IF(AND(H677=1,OR(E678="FDn",E678="LDn")),1,IF(AND(H677=1,OR(E677="FDn",E677="LDn")),1,""))))</f>
        <v>1</v>
      </c>
      <c r="J677" s="4">
        <f t="shared" si="181"/>
        <v>1</v>
      </c>
      <c r="K677" s="4" t="str">
        <f t="shared" si="182"/>
        <v/>
      </c>
      <c r="L677" s="4" t="str">
        <f t="shared" si="183"/>
        <v/>
      </c>
      <c r="M677" s="4" t="str">
        <f t="shared" si="184"/>
        <v/>
      </c>
      <c r="N677" s="4" t="str">
        <f t="shared" si="185"/>
        <v/>
      </c>
      <c r="O677" s="4" t="str">
        <f t="shared" si="186"/>
        <v/>
      </c>
      <c r="P677" s="4" t="str">
        <f t="shared" si="187"/>
        <v/>
      </c>
      <c r="Q677" s="4" t="str">
        <f t="shared" si="188"/>
        <v/>
      </c>
      <c r="R677" s="4" t="str">
        <f t="shared" si="189"/>
        <v/>
      </c>
      <c r="S677" s="4" t="str">
        <f t="shared" si="190"/>
        <v/>
      </c>
      <c r="T677" s="4" t="str">
        <f t="shared" si="191"/>
        <v/>
      </c>
      <c r="U677">
        <f>IF(VLOOKUP(C677,'QA Table'!$Y$5:$Y$20,1,TRUE)=C677,1,0)</f>
        <v>0</v>
      </c>
      <c r="V677" t="str">
        <f t="shared" si="192"/>
        <v/>
      </c>
      <c r="W677" t="str">
        <f t="shared" si="193"/>
        <v/>
      </c>
      <c r="X677">
        <f t="shared" si="194"/>
        <v>3</v>
      </c>
      <c r="Y677">
        <f t="shared" si="195"/>
        <v>0</v>
      </c>
      <c r="AA677">
        <f t="shared" si="196"/>
        <v>1</v>
      </c>
    </row>
    <row r="678" spans="1:27" x14ac:dyDescent="0.2">
      <c r="A678" t="s">
        <v>46</v>
      </c>
      <c r="B678" t="s">
        <v>78</v>
      </c>
      <c r="C678" t="s">
        <v>1117</v>
      </c>
      <c r="D678" t="s">
        <v>2</v>
      </c>
      <c r="E678" t="s">
        <v>3</v>
      </c>
      <c r="F678" t="s">
        <v>1810</v>
      </c>
      <c r="G678" t="s">
        <v>1783</v>
      </c>
      <c r="H678" s="4">
        <f t="shared" si="180"/>
        <v>1</v>
      </c>
      <c r="I678" s="4">
        <f>IF(RIGHT(B678,1)="M",IF(AND(H678=1,E678="RFS",D678=INDEX('Station Depth Averages'!$A$3:$B$84,MATCH(B678,'Station Depth Averages'!$A$3:$A$84,0),2)),1,""),IF(AND(H678=1,OR(D678="SYN",D678="SRF",D678="MID")),1,IF(AND(H678=1,OR(E679="FDn",E679="LDn")),1,IF(AND(H678=1,OR(E678="FDn",E678="LDn")),1,""))))</f>
        <v>1</v>
      </c>
      <c r="J678" s="4">
        <f t="shared" si="181"/>
        <v>1</v>
      </c>
      <c r="K678" s="4" t="str">
        <f t="shared" si="182"/>
        <v/>
      </c>
      <c r="L678" s="4" t="str">
        <f t="shared" si="183"/>
        <v/>
      </c>
      <c r="M678" s="4" t="str">
        <f t="shared" si="184"/>
        <v/>
      </c>
      <c r="N678" s="4" t="str">
        <f t="shared" si="185"/>
        <v/>
      </c>
      <c r="O678" s="4" t="str">
        <f t="shared" si="186"/>
        <v/>
      </c>
      <c r="P678" s="4" t="str">
        <f t="shared" si="187"/>
        <v/>
      </c>
      <c r="Q678" s="4" t="str">
        <f t="shared" si="188"/>
        <v/>
      </c>
      <c r="R678" s="4" t="str">
        <f t="shared" si="189"/>
        <v/>
      </c>
      <c r="S678" s="4" t="str">
        <f t="shared" si="190"/>
        <v/>
      </c>
      <c r="T678" s="4" t="str">
        <f t="shared" si="191"/>
        <v/>
      </c>
      <c r="U678">
        <f>IF(VLOOKUP(C678,'QA Table'!$Y$5:$Y$20,1,TRUE)=C678,1,0)</f>
        <v>0</v>
      </c>
      <c r="V678" t="str">
        <f t="shared" si="192"/>
        <v/>
      </c>
      <c r="W678" t="str">
        <f t="shared" si="193"/>
        <v/>
      </c>
      <c r="X678">
        <f t="shared" si="194"/>
        <v>3</v>
      </c>
      <c r="Y678">
        <f t="shared" si="195"/>
        <v>0</v>
      </c>
      <c r="AA678">
        <f t="shared" si="196"/>
        <v>1</v>
      </c>
    </row>
    <row r="679" spans="1:27" x14ac:dyDescent="0.2">
      <c r="A679" t="s">
        <v>46</v>
      </c>
      <c r="B679" t="s">
        <v>78</v>
      </c>
      <c r="C679" t="s">
        <v>1811</v>
      </c>
      <c r="D679" t="s">
        <v>1050</v>
      </c>
      <c r="E679" t="s">
        <v>3</v>
      </c>
      <c r="F679" t="s">
        <v>1810</v>
      </c>
      <c r="G679" t="s">
        <v>1783</v>
      </c>
      <c r="H679" s="4" t="str">
        <f t="shared" si="180"/>
        <v/>
      </c>
      <c r="I679" s="4" t="str">
        <f>IF(RIGHT(B679,1)="M",IF(AND(H679=1,E679="RFS",D679=INDEX('Station Depth Averages'!$A$3:$B$84,MATCH(B679,'Station Depth Averages'!$A$3:$A$84,0),2)),1,""),IF(AND(H679=1,OR(D679="SYN",D679="SRF",D679="MID")),1,IF(AND(H679=1,OR(E680="FDn",E680="LDn")),1,IF(AND(H679=1,OR(E679="FDn",E679="LDn")),1,""))))</f>
        <v/>
      </c>
      <c r="J679" s="4" t="str">
        <f t="shared" si="181"/>
        <v/>
      </c>
      <c r="K679" s="4" t="str">
        <f t="shared" si="182"/>
        <v/>
      </c>
      <c r="L679" s="4" t="str">
        <f t="shared" si="183"/>
        <v/>
      </c>
      <c r="M679" s="4" t="str">
        <f t="shared" si="184"/>
        <v/>
      </c>
      <c r="N679" s="4" t="str">
        <f t="shared" si="185"/>
        <v/>
      </c>
      <c r="O679" s="4" t="str">
        <f t="shared" si="186"/>
        <v/>
      </c>
      <c r="P679" s="4" t="str">
        <f t="shared" si="187"/>
        <v/>
      </c>
      <c r="Q679" s="4" t="str">
        <f t="shared" si="188"/>
        <v/>
      </c>
      <c r="R679" s="4" t="str">
        <f t="shared" si="189"/>
        <v/>
      </c>
      <c r="S679" s="4" t="str">
        <f t="shared" si="190"/>
        <v/>
      </c>
      <c r="T679" s="4" t="str">
        <f t="shared" si="191"/>
        <v/>
      </c>
      <c r="U679">
        <f>IF(VLOOKUP(C679,'QA Table'!$Y$5:$Y$20,1,TRUE)=C679,1,0)</f>
        <v>0</v>
      </c>
      <c r="V679" t="str">
        <f t="shared" si="192"/>
        <v/>
      </c>
      <c r="W679" t="str">
        <f t="shared" si="193"/>
        <v/>
      </c>
      <c r="X679" t="str">
        <f t="shared" si="194"/>
        <v/>
      </c>
      <c r="Y679">
        <f t="shared" si="195"/>
        <v>0</v>
      </c>
      <c r="AA679" t="str">
        <f t="shared" si="196"/>
        <v/>
      </c>
    </row>
    <row r="680" spans="1:27" x14ac:dyDescent="0.2">
      <c r="A680" t="s">
        <v>46</v>
      </c>
      <c r="B680" t="s">
        <v>78</v>
      </c>
      <c r="C680" t="s">
        <v>1812</v>
      </c>
      <c r="D680" t="s">
        <v>4</v>
      </c>
      <c r="E680" t="s">
        <v>3</v>
      </c>
      <c r="F680" t="s">
        <v>1810</v>
      </c>
      <c r="G680" t="s">
        <v>1783</v>
      </c>
      <c r="H680" s="4" t="str">
        <f t="shared" si="180"/>
        <v/>
      </c>
      <c r="I680" s="4" t="str">
        <f>IF(RIGHT(B680,1)="M",IF(AND(H680=1,E680="RFS",D680=INDEX('Station Depth Averages'!$A$3:$B$84,MATCH(B680,'Station Depth Averages'!$A$3:$A$84,0),2)),1,""),IF(AND(H680=1,OR(D680="SYN",D680="SRF",D680="MID")),1,IF(AND(H680=1,OR(E681="FDn",E681="LDn")),1,IF(AND(H680=1,OR(E680="FDn",E680="LDn")),1,""))))</f>
        <v/>
      </c>
      <c r="J680" s="4" t="str">
        <f t="shared" si="181"/>
        <v/>
      </c>
      <c r="K680" s="4" t="str">
        <f t="shared" si="182"/>
        <v/>
      </c>
      <c r="L680" s="4" t="str">
        <f t="shared" si="183"/>
        <v/>
      </c>
      <c r="M680" s="4" t="str">
        <f t="shared" si="184"/>
        <v/>
      </c>
      <c r="N680" s="4" t="str">
        <f t="shared" si="185"/>
        <v/>
      </c>
      <c r="O680" s="4" t="str">
        <f t="shared" si="186"/>
        <v/>
      </c>
      <c r="P680" s="4" t="str">
        <f t="shared" si="187"/>
        <v/>
      </c>
      <c r="Q680" s="4" t="str">
        <f t="shared" si="188"/>
        <v/>
      </c>
      <c r="R680" s="4" t="str">
        <f t="shared" si="189"/>
        <v/>
      </c>
      <c r="S680" s="4" t="str">
        <f t="shared" si="190"/>
        <v/>
      </c>
      <c r="T680" s="4" t="str">
        <f t="shared" si="191"/>
        <v/>
      </c>
      <c r="U680">
        <f>IF(VLOOKUP(C680,'QA Table'!$Y$5:$Y$20,1,TRUE)=C680,1,0)</f>
        <v>0</v>
      </c>
      <c r="V680" t="str">
        <f t="shared" si="192"/>
        <v/>
      </c>
      <c r="W680" t="str">
        <f t="shared" si="193"/>
        <v/>
      </c>
      <c r="X680" t="str">
        <f t="shared" si="194"/>
        <v/>
      </c>
      <c r="Y680">
        <f t="shared" si="195"/>
        <v>0</v>
      </c>
      <c r="AA680" t="str">
        <f t="shared" si="196"/>
        <v/>
      </c>
    </row>
    <row r="681" spans="1:27" x14ac:dyDescent="0.2">
      <c r="A681" t="s">
        <v>46</v>
      </c>
      <c r="B681" t="s">
        <v>78</v>
      </c>
      <c r="C681" t="s">
        <v>1813</v>
      </c>
      <c r="D681" t="s">
        <v>1051</v>
      </c>
      <c r="E681" t="s">
        <v>3</v>
      </c>
      <c r="F681" t="s">
        <v>1810</v>
      </c>
      <c r="G681" t="s">
        <v>1783</v>
      </c>
      <c r="H681" s="4" t="str">
        <f t="shared" si="180"/>
        <v/>
      </c>
      <c r="I681" s="4" t="str">
        <f>IF(RIGHT(B681,1)="M",IF(AND(H681=1,E681="RFS",D681=INDEX('Station Depth Averages'!$A$3:$B$84,MATCH(B681,'Station Depth Averages'!$A$3:$A$84,0),2)),1,""),IF(AND(H681=1,OR(D681="SYN",D681="SRF",D681="MID")),1,IF(AND(H681=1,OR(E682="FDn",E682="LDn")),1,IF(AND(H681=1,OR(E681="FDn",E681="LDn")),1,""))))</f>
        <v/>
      </c>
      <c r="J681" s="4" t="str">
        <f t="shared" si="181"/>
        <v/>
      </c>
      <c r="K681" s="4" t="str">
        <f t="shared" si="182"/>
        <v/>
      </c>
      <c r="L681" s="4" t="str">
        <f t="shared" si="183"/>
        <v/>
      </c>
      <c r="M681" s="4" t="str">
        <f t="shared" si="184"/>
        <v/>
      </c>
      <c r="N681" s="4" t="str">
        <f t="shared" si="185"/>
        <v/>
      </c>
      <c r="O681" s="4" t="str">
        <f t="shared" si="186"/>
        <v/>
      </c>
      <c r="P681" s="4" t="str">
        <f t="shared" si="187"/>
        <v/>
      </c>
      <c r="Q681" s="4" t="str">
        <f t="shared" si="188"/>
        <v/>
      </c>
      <c r="R681" s="4" t="str">
        <f t="shared" si="189"/>
        <v/>
      </c>
      <c r="S681" s="4" t="str">
        <f t="shared" si="190"/>
        <v/>
      </c>
      <c r="T681" s="4" t="str">
        <f t="shared" si="191"/>
        <v/>
      </c>
      <c r="U681">
        <f>IF(VLOOKUP(C681,'QA Table'!$Y$5:$Y$20,1,TRUE)=C681,1,0)</f>
        <v>0</v>
      </c>
      <c r="V681" t="str">
        <f t="shared" si="192"/>
        <v/>
      </c>
      <c r="W681" t="str">
        <f t="shared" si="193"/>
        <v/>
      </c>
      <c r="X681" t="str">
        <f t="shared" si="194"/>
        <v/>
      </c>
      <c r="Y681">
        <f t="shared" si="195"/>
        <v>0</v>
      </c>
      <c r="AA681" t="str">
        <f t="shared" si="196"/>
        <v/>
      </c>
    </row>
    <row r="682" spans="1:27" x14ac:dyDescent="0.2">
      <c r="A682" t="s">
        <v>46</v>
      </c>
      <c r="B682" t="s">
        <v>78</v>
      </c>
      <c r="C682" t="s">
        <v>1814</v>
      </c>
      <c r="D682" t="s">
        <v>119</v>
      </c>
      <c r="E682" t="s">
        <v>3</v>
      </c>
      <c r="F682" t="s">
        <v>1810</v>
      </c>
      <c r="G682" t="s">
        <v>1783</v>
      </c>
      <c r="H682" s="4">
        <f t="shared" si="180"/>
        <v>1</v>
      </c>
      <c r="I682" s="4">
        <f>IF(RIGHT(B682,1)="M",IF(AND(H682=1,E682="RFS",D682=INDEX('Station Depth Averages'!$A$3:$B$84,MATCH(B682,'Station Depth Averages'!$A$3:$A$84,0),2)),1,""),IF(AND(H682=1,OR(D682="SYN",D682="SRF",D682="MID")),1,IF(AND(H682=1,OR(E683="FDn",E683="LDn")),1,IF(AND(H682=1,OR(E682="FDn",E682="LDn")),1,""))))</f>
        <v>1</v>
      </c>
      <c r="J682" s="4">
        <f t="shared" si="181"/>
        <v>1</v>
      </c>
      <c r="K682" s="4" t="str">
        <f t="shared" si="182"/>
        <v/>
      </c>
      <c r="L682" s="4" t="str">
        <f t="shared" si="183"/>
        <v/>
      </c>
      <c r="M682" s="4" t="str">
        <f t="shared" si="184"/>
        <v/>
      </c>
      <c r="N682" s="4" t="str">
        <f t="shared" si="185"/>
        <v/>
      </c>
      <c r="O682" s="4" t="str">
        <f t="shared" si="186"/>
        <v/>
      </c>
      <c r="P682" s="4" t="str">
        <f t="shared" si="187"/>
        <v/>
      </c>
      <c r="Q682" s="4" t="str">
        <f t="shared" si="188"/>
        <v/>
      </c>
      <c r="R682" s="4" t="str">
        <f t="shared" si="189"/>
        <v/>
      </c>
      <c r="S682" s="4" t="str">
        <f t="shared" si="190"/>
        <v/>
      </c>
      <c r="T682" s="4" t="str">
        <f t="shared" si="191"/>
        <v/>
      </c>
      <c r="U682">
        <f>IF(VLOOKUP(C682,'QA Table'!$Y$5:$Y$20,1,TRUE)=C682,1,0)</f>
        <v>0</v>
      </c>
      <c r="V682" t="str">
        <f t="shared" si="192"/>
        <v/>
      </c>
      <c r="W682" t="str">
        <f t="shared" si="193"/>
        <v/>
      </c>
      <c r="X682">
        <f t="shared" si="194"/>
        <v>3</v>
      </c>
      <c r="Y682">
        <f t="shared" si="195"/>
        <v>0</v>
      </c>
      <c r="AA682">
        <f t="shared" si="196"/>
        <v>1</v>
      </c>
    </row>
    <row r="683" spans="1:27" x14ac:dyDescent="0.2">
      <c r="A683" t="s">
        <v>46</v>
      </c>
      <c r="B683" t="s">
        <v>78</v>
      </c>
      <c r="C683" t="s">
        <v>1815</v>
      </c>
      <c r="D683" t="s">
        <v>5</v>
      </c>
      <c r="E683" t="s">
        <v>3</v>
      </c>
      <c r="F683" t="s">
        <v>1810</v>
      </c>
      <c r="G683" t="s">
        <v>1783</v>
      </c>
      <c r="H683" s="4">
        <f t="shared" si="180"/>
        <v>1</v>
      </c>
      <c r="I683" s="4" t="str">
        <f>IF(RIGHT(B683,1)="M",IF(AND(H683=1,E683="RFS",D683=INDEX('Station Depth Averages'!$A$3:$B$84,MATCH(B683,'Station Depth Averages'!$A$3:$A$84,0),2)),1,""),IF(AND(H683=1,OR(D683="SYN",D683="SRF",D683="MID")),1,IF(AND(H683=1,OR(E684="FDn",E684="LDn")),1,IF(AND(H683=1,OR(E683="FDn",E683="LDn")),1,""))))</f>
        <v/>
      </c>
      <c r="J683" s="4">
        <f t="shared" si="181"/>
        <v>1</v>
      </c>
      <c r="K683" s="4" t="str">
        <f t="shared" si="182"/>
        <v/>
      </c>
      <c r="L683" s="4" t="str">
        <f t="shared" si="183"/>
        <v/>
      </c>
      <c r="M683" s="4" t="str">
        <f t="shared" si="184"/>
        <v/>
      </c>
      <c r="N683" s="4" t="str">
        <f t="shared" si="185"/>
        <v/>
      </c>
      <c r="O683" s="4" t="str">
        <f t="shared" si="186"/>
        <v/>
      </c>
      <c r="P683" s="4" t="str">
        <f t="shared" si="187"/>
        <v/>
      </c>
      <c r="Q683" s="4" t="str">
        <f t="shared" si="188"/>
        <v/>
      </c>
      <c r="R683" s="4" t="str">
        <f t="shared" si="189"/>
        <v/>
      </c>
      <c r="S683" s="4" t="str">
        <f t="shared" si="190"/>
        <v/>
      </c>
      <c r="T683" s="4" t="str">
        <f t="shared" si="191"/>
        <v/>
      </c>
      <c r="U683">
        <f>IF(VLOOKUP(C683,'QA Table'!$Y$5:$Y$20,1,TRUE)=C683,1,0)</f>
        <v>0</v>
      </c>
      <c r="V683" t="str">
        <f t="shared" si="192"/>
        <v/>
      </c>
      <c r="W683" t="str">
        <f t="shared" si="193"/>
        <v/>
      </c>
      <c r="X683">
        <f t="shared" si="194"/>
        <v>3</v>
      </c>
      <c r="Y683">
        <f t="shared" si="195"/>
        <v>0</v>
      </c>
      <c r="AA683">
        <f t="shared" si="196"/>
        <v>1</v>
      </c>
    </row>
    <row r="684" spans="1:27" x14ac:dyDescent="0.2">
      <c r="A684" t="s">
        <v>46</v>
      </c>
      <c r="B684" t="s">
        <v>78</v>
      </c>
      <c r="C684" t="s">
        <v>1816</v>
      </c>
      <c r="D684" t="s">
        <v>6</v>
      </c>
      <c r="E684" t="s">
        <v>3</v>
      </c>
      <c r="F684" t="s">
        <v>1810</v>
      </c>
      <c r="G684" t="s">
        <v>1783</v>
      </c>
      <c r="H684" s="4">
        <f t="shared" si="180"/>
        <v>1</v>
      </c>
      <c r="I684" s="4" t="str">
        <f>IF(RIGHT(B684,1)="M",IF(AND(H684=1,E684="RFS",D684=INDEX('Station Depth Averages'!$A$3:$B$84,MATCH(B684,'Station Depth Averages'!$A$3:$A$84,0),2)),1,""),IF(AND(H684=1,OR(D684="SYN",D684="SRF",D684="MID")),1,IF(AND(H684=1,OR(E685="FDn",E685="LDn")),1,IF(AND(H684=1,OR(E684="FDn",E684="LDn")),1,""))))</f>
        <v/>
      </c>
      <c r="J684" s="4">
        <f t="shared" si="181"/>
        <v>1</v>
      </c>
      <c r="K684" s="4" t="str">
        <f t="shared" si="182"/>
        <v/>
      </c>
      <c r="L684" s="4" t="str">
        <f t="shared" si="183"/>
        <v/>
      </c>
      <c r="M684" s="4" t="str">
        <f t="shared" si="184"/>
        <v/>
      </c>
      <c r="N684" s="4" t="str">
        <f t="shared" si="185"/>
        <v/>
      </c>
      <c r="O684" s="4" t="str">
        <f t="shared" si="186"/>
        <v/>
      </c>
      <c r="P684" s="4" t="str">
        <f t="shared" si="187"/>
        <v/>
      </c>
      <c r="Q684" s="4" t="str">
        <f t="shared" si="188"/>
        <v/>
      </c>
      <c r="R684" s="4" t="str">
        <f t="shared" si="189"/>
        <v/>
      </c>
      <c r="S684" s="4" t="str">
        <f t="shared" si="190"/>
        <v/>
      </c>
      <c r="T684" s="4" t="str">
        <f t="shared" si="191"/>
        <v/>
      </c>
      <c r="U684">
        <f>IF(VLOOKUP(C684,'QA Table'!$Y$5:$Y$20,1,TRUE)=C684,1,0)</f>
        <v>0</v>
      </c>
      <c r="V684" t="str">
        <f t="shared" si="192"/>
        <v/>
      </c>
      <c r="W684" t="str">
        <f t="shared" si="193"/>
        <v/>
      </c>
      <c r="X684">
        <f t="shared" si="194"/>
        <v>3</v>
      </c>
      <c r="Y684">
        <f t="shared" si="195"/>
        <v>0</v>
      </c>
      <c r="AA684">
        <f t="shared" si="196"/>
        <v>1</v>
      </c>
    </row>
    <row r="685" spans="1:27" x14ac:dyDescent="0.2">
      <c r="A685" t="s">
        <v>46</v>
      </c>
      <c r="B685" t="s">
        <v>78</v>
      </c>
      <c r="C685" t="s">
        <v>1817</v>
      </c>
      <c r="D685" t="s">
        <v>8</v>
      </c>
      <c r="E685" t="s">
        <v>3</v>
      </c>
      <c r="F685" t="s">
        <v>1810</v>
      </c>
      <c r="G685" t="s">
        <v>1783</v>
      </c>
      <c r="H685" s="4">
        <f t="shared" si="180"/>
        <v>1</v>
      </c>
      <c r="I685" s="4" t="str">
        <f>IF(RIGHT(B685,1)="M",IF(AND(H685=1,E685="RFS",D685=INDEX('Station Depth Averages'!$A$3:$B$84,MATCH(B685,'Station Depth Averages'!$A$3:$A$84,0),2)),1,""),IF(AND(H685=1,OR(D685="SYN",D685="SRF",D685="MID")),1,IF(AND(H685=1,OR(E686="FDn",E686="LDn")),1,IF(AND(H685=1,OR(E685="FDn",E685="LDn")),1,""))))</f>
        <v/>
      </c>
      <c r="J685" s="4" t="str">
        <f t="shared" si="181"/>
        <v/>
      </c>
      <c r="K685" s="4">
        <f t="shared" si="182"/>
        <v>1</v>
      </c>
      <c r="L685" s="4" t="str">
        <f t="shared" si="183"/>
        <v/>
      </c>
      <c r="M685" s="4" t="str">
        <f t="shared" si="184"/>
        <v/>
      </c>
      <c r="N685" s="4" t="str">
        <f t="shared" si="185"/>
        <v/>
      </c>
      <c r="O685" s="4" t="str">
        <f t="shared" si="186"/>
        <v/>
      </c>
      <c r="P685" s="4" t="str">
        <f t="shared" si="187"/>
        <v/>
      </c>
      <c r="Q685" s="4">
        <f t="shared" si="188"/>
        <v>2</v>
      </c>
      <c r="R685" s="4" t="str">
        <f t="shared" si="189"/>
        <v/>
      </c>
      <c r="S685" s="4" t="str">
        <f t="shared" si="190"/>
        <v/>
      </c>
      <c r="T685" s="4" t="str">
        <f t="shared" si="191"/>
        <v/>
      </c>
      <c r="U685">
        <f>IF(VLOOKUP(C685,'QA Table'!$Y$5:$Y$20,1,TRUE)=C685,1,0)</f>
        <v>0</v>
      </c>
      <c r="V685" t="str">
        <f t="shared" si="192"/>
        <v/>
      </c>
      <c r="W685" t="str">
        <f t="shared" si="193"/>
        <v/>
      </c>
      <c r="X685">
        <f t="shared" si="194"/>
        <v>3</v>
      </c>
      <c r="Y685">
        <f t="shared" si="195"/>
        <v>0</v>
      </c>
      <c r="AA685">
        <f t="shared" si="196"/>
        <v>1</v>
      </c>
    </row>
    <row r="686" spans="1:27" x14ac:dyDescent="0.2">
      <c r="A686" t="s">
        <v>46</v>
      </c>
      <c r="B686" t="s">
        <v>78</v>
      </c>
      <c r="C686" t="s">
        <v>1818</v>
      </c>
      <c r="D686" t="s">
        <v>9</v>
      </c>
      <c r="E686" t="s">
        <v>3</v>
      </c>
      <c r="F686" t="s">
        <v>1810</v>
      </c>
      <c r="G686" t="s">
        <v>1783</v>
      </c>
      <c r="H686" s="4" t="str">
        <f t="shared" si="180"/>
        <v/>
      </c>
      <c r="I686" s="4" t="str">
        <f>IF(RIGHT(B686,1)="M",IF(AND(H686=1,E686="RFS",D686=INDEX('Station Depth Averages'!$A$3:$B$84,MATCH(B686,'Station Depth Averages'!$A$3:$A$84,0),2)),1,""),IF(AND(H686=1,OR(D686="SYN",D686="SRF",D686="MID")),1,IF(AND(H686=1,OR(E687="FDn",E687="LDn")),1,IF(AND(H686=1,OR(E686="FDn",E686="LDn")),1,""))))</f>
        <v/>
      </c>
      <c r="J686" s="4" t="str">
        <f t="shared" si="181"/>
        <v/>
      </c>
      <c r="K686" s="4" t="str">
        <f t="shared" si="182"/>
        <v/>
      </c>
      <c r="L686" s="4" t="str">
        <f t="shared" si="183"/>
        <v/>
      </c>
      <c r="M686" s="4" t="str">
        <f t="shared" si="184"/>
        <v/>
      </c>
      <c r="N686" s="4" t="str">
        <f t="shared" si="185"/>
        <v/>
      </c>
      <c r="O686" s="4" t="str">
        <f t="shared" si="186"/>
        <v/>
      </c>
      <c r="P686" s="4" t="str">
        <f t="shared" si="187"/>
        <v/>
      </c>
      <c r="Q686" s="4" t="str">
        <f t="shared" si="188"/>
        <v/>
      </c>
      <c r="R686" s="4" t="str">
        <f t="shared" si="189"/>
        <v/>
      </c>
      <c r="S686" s="4" t="str">
        <f t="shared" si="190"/>
        <v/>
      </c>
      <c r="T686" s="4">
        <f t="shared" si="191"/>
        <v>2</v>
      </c>
      <c r="U686">
        <f>IF(VLOOKUP(C686,'QA Table'!$Y$5:$Y$20,1,TRUE)=C686,1,0)</f>
        <v>0</v>
      </c>
      <c r="V686" t="str">
        <f t="shared" si="192"/>
        <v/>
      </c>
      <c r="W686" t="str">
        <f t="shared" si="193"/>
        <v/>
      </c>
      <c r="X686" t="str">
        <f t="shared" si="194"/>
        <v/>
      </c>
      <c r="Y686">
        <f t="shared" si="195"/>
        <v>0</v>
      </c>
      <c r="AA686" t="str">
        <f t="shared" si="196"/>
        <v/>
      </c>
    </row>
    <row r="687" spans="1:27" x14ac:dyDescent="0.2">
      <c r="A687" t="s">
        <v>46</v>
      </c>
      <c r="B687" t="s">
        <v>78</v>
      </c>
      <c r="C687" t="s">
        <v>1819</v>
      </c>
      <c r="D687" t="s">
        <v>9</v>
      </c>
      <c r="E687" t="s">
        <v>3</v>
      </c>
      <c r="F687" t="s">
        <v>1810</v>
      </c>
      <c r="G687" t="s">
        <v>1783</v>
      </c>
      <c r="H687" s="4" t="str">
        <f t="shared" si="180"/>
        <v/>
      </c>
      <c r="I687" s="4" t="str">
        <f>IF(RIGHT(B687,1)="M",IF(AND(H687=1,E687="RFS",D687=INDEX('Station Depth Averages'!$A$3:$B$84,MATCH(B687,'Station Depth Averages'!$A$3:$A$84,0),2)),1,""),IF(AND(H687=1,OR(D687="SYN",D687="SRF",D687="MID")),1,IF(AND(H687=1,OR(E688="FDn",E688="LDn")),1,IF(AND(H687=1,OR(E687="FDn",E687="LDn")),1,""))))</f>
        <v/>
      </c>
      <c r="J687" s="4" t="str">
        <f t="shared" si="181"/>
        <v/>
      </c>
      <c r="K687" s="4" t="str">
        <f t="shared" si="182"/>
        <v/>
      </c>
      <c r="L687" s="4" t="str">
        <f t="shared" si="183"/>
        <v/>
      </c>
      <c r="M687" s="4" t="str">
        <f t="shared" si="184"/>
        <v/>
      </c>
      <c r="N687" s="4" t="str">
        <f t="shared" si="185"/>
        <v/>
      </c>
      <c r="O687" s="4" t="str">
        <f t="shared" si="186"/>
        <v/>
      </c>
      <c r="P687" s="4" t="str">
        <f t="shared" si="187"/>
        <v/>
      </c>
      <c r="Q687" s="4" t="str">
        <f t="shared" si="188"/>
        <v/>
      </c>
      <c r="R687" s="4" t="str">
        <f t="shared" si="189"/>
        <v/>
      </c>
      <c r="S687" s="4" t="str">
        <f t="shared" si="190"/>
        <v/>
      </c>
      <c r="T687" s="4">
        <f t="shared" si="191"/>
        <v>2</v>
      </c>
      <c r="U687">
        <f>IF(VLOOKUP(C687,'QA Table'!$Y$5:$Y$20,1,TRUE)=C687,1,0)</f>
        <v>0</v>
      </c>
      <c r="V687" t="str">
        <f t="shared" si="192"/>
        <v/>
      </c>
      <c r="W687" t="str">
        <f t="shared" si="193"/>
        <v/>
      </c>
      <c r="X687" t="str">
        <f t="shared" si="194"/>
        <v/>
      </c>
      <c r="Y687">
        <f t="shared" si="195"/>
        <v>0</v>
      </c>
      <c r="AA687" t="str">
        <f t="shared" si="196"/>
        <v/>
      </c>
    </row>
    <row r="688" spans="1:27" x14ac:dyDescent="0.2">
      <c r="A688" t="s">
        <v>46</v>
      </c>
      <c r="B688" t="s">
        <v>78</v>
      </c>
      <c r="C688" t="s">
        <v>1820</v>
      </c>
      <c r="D688" t="s">
        <v>10</v>
      </c>
      <c r="E688" t="s">
        <v>3</v>
      </c>
      <c r="F688" t="s">
        <v>1810</v>
      </c>
      <c r="G688" t="s">
        <v>1783</v>
      </c>
      <c r="H688" s="4" t="str">
        <f t="shared" si="180"/>
        <v/>
      </c>
      <c r="I688" s="4" t="str">
        <f>IF(RIGHT(B688,1)="M",IF(AND(H688=1,E688="RFS",D688=INDEX('Station Depth Averages'!$A$3:$B$84,MATCH(B688,'Station Depth Averages'!$A$3:$A$84,0),2)),1,""),IF(AND(H688=1,OR(D688="SYN",D688="SRF",D688="MID")),1,IF(AND(H688=1,OR(E689="FDn",E689="LDn")),1,IF(AND(H688=1,OR(E688="FDn",E688="LDn")),1,""))))</f>
        <v/>
      </c>
      <c r="J688" s="4" t="str">
        <f t="shared" si="181"/>
        <v/>
      </c>
      <c r="K688" s="4" t="str">
        <f t="shared" si="182"/>
        <v/>
      </c>
      <c r="L688" s="4" t="str">
        <f t="shared" si="183"/>
        <v/>
      </c>
      <c r="M688" s="4" t="str">
        <f t="shared" si="184"/>
        <v/>
      </c>
      <c r="N688" s="4" t="str">
        <f t="shared" si="185"/>
        <v/>
      </c>
      <c r="O688" s="4" t="str">
        <f t="shared" si="186"/>
        <v/>
      </c>
      <c r="P688" s="4" t="str">
        <f t="shared" si="187"/>
        <v/>
      </c>
      <c r="Q688" s="4" t="str">
        <f t="shared" si="188"/>
        <v/>
      </c>
      <c r="R688" s="4" t="str">
        <f t="shared" si="189"/>
        <v/>
      </c>
      <c r="S688" s="4" t="str">
        <f t="shared" si="190"/>
        <v/>
      </c>
      <c r="T688" s="4">
        <f t="shared" si="191"/>
        <v>2</v>
      </c>
      <c r="U688">
        <f>IF(VLOOKUP(C688,'QA Table'!$Y$5:$Y$20,1,TRUE)=C688,1,0)</f>
        <v>0</v>
      </c>
      <c r="V688" t="str">
        <f t="shared" si="192"/>
        <v/>
      </c>
      <c r="W688" t="str">
        <f t="shared" si="193"/>
        <v/>
      </c>
      <c r="X688" t="str">
        <f t="shared" si="194"/>
        <v/>
      </c>
      <c r="Y688">
        <f t="shared" si="195"/>
        <v>0</v>
      </c>
      <c r="AA688" t="str">
        <f t="shared" si="196"/>
        <v/>
      </c>
    </row>
    <row r="689" spans="1:27" x14ac:dyDescent="0.2">
      <c r="A689" t="s">
        <v>46</v>
      </c>
      <c r="B689" t="s">
        <v>78</v>
      </c>
      <c r="C689" t="s">
        <v>1821</v>
      </c>
      <c r="D689" t="s">
        <v>1034</v>
      </c>
      <c r="E689" t="s">
        <v>3</v>
      </c>
      <c r="F689" t="s">
        <v>1810</v>
      </c>
      <c r="G689" t="s">
        <v>1783</v>
      </c>
      <c r="H689" s="4" t="str">
        <f t="shared" si="180"/>
        <v/>
      </c>
      <c r="I689" s="4" t="str">
        <f>IF(RIGHT(B689,1)="M",IF(AND(H689=1,E689="RFS",D689=INDEX('Station Depth Averages'!$A$3:$B$84,MATCH(B689,'Station Depth Averages'!$A$3:$A$84,0),2)),1,""),IF(AND(H689=1,OR(D689="SYN",D689="SRF",D689="MID")),1,IF(AND(H689=1,OR(E690="FDn",E690="LDn")),1,IF(AND(H689=1,OR(E689="FDn",E689="LDn")),1,""))))</f>
        <v/>
      </c>
      <c r="J689" s="4" t="str">
        <f t="shared" si="181"/>
        <v/>
      </c>
      <c r="K689" s="4" t="str">
        <f t="shared" si="182"/>
        <v/>
      </c>
      <c r="L689" s="4" t="str">
        <f t="shared" si="183"/>
        <v/>
      </c>
      <c r="M689" s="4" t="str">
        <f t="shared" si="184"/>
        <v/>
      </c>
      <c r="N689" s="4" t="str">
        <f t="shared" si="185"/>
        <v/>
      </c>
      <c r="O689" s="4" t="str">
        <f t="shared" si="186"/>
        <v/>
      </c>
      <c r="P689" s="4" t="str">
        <f t="shared" si="187"/>
        <v/>
      </c>
      <c r="Q689" s="4" t="str">
        <f t="shared" si="188"/>
        <v/>
      </c>
      <c r="R689" s="4" t="str">
        <f t="shared" si="189"/>
        <v/>
      </c>
      <c r="S689" s="4">
        <f t="shared" si="190"/>
        <v>1</v>
      </c>
      <c r="T689" s="4" t="str">
        <f t="shared" si="191"/>
        <v/>
      </c>
      <c r="U689">
        <f>IF(VLOOKUP(C689,'QA Table'!$Y$5:$Y$20,1,TRUE)=C689,1,0)</f>
        <v>0</v>
      </c>
      <c r="V689" t="str">
        <f t="shared" si="192"/>
        <v/>
      </c>
      <c r="W689" t="str">
        <f t="shared" si="193"/>
        <v/>
      </c>
      <c r="X689" t="str">
        <f t="shared" si="194"/>
        <v/>
      </c>
      <c r="Y689">
        <f t="shared" si="195"/>
        <v>0</v>
      </c>
      <c r="AA689" t="str">
        <f t="shared" si="196"/>
        <v/>
      </c>
    </row>
    <row r="690" spans="1:27" x14ac:dyDescent="0.2">
      <c r="A690" t="s">
        <v>46</v>
      </c>
      <c r="B690" t="s">
        <v>78</v>
      </c>
      <c r="C690" t="s">
        <v>1822</v>
      </c>
      <c r="D690" t="s">
        <v>1034</v>
      </c>
      <c r="E690" t="s">
        <v>19</v>
      </c>
      <c r="F690" t="s">
        <v>1810</v>
      </c>
      <c r="G690" t="s">
        <v>1783</v>
      </c>
      <c r="H690" s="4" t="str">
        <f t="shared" si="180"/>
        <v/>
      </c>
      <c r="I690" s="4" t="str">
        <f>IF(RIGHT(B690,1)="M",IF(AND(H690=1,E690="RFS",D690=INDEX('Station Depth Averages'!$A$3:$B$84,MATCH(B690,'Station Depth Averages'!$A$3:$A$84,0),2)),1,""),IF(AND(H690=1,OR(D690="SYN",D690="SRF",D690="MID")),1,IF(AND(H690=1,OR(E691="FDn",E691="LDn")),1,IF(AND(H690=1,OR(E690="FDn",E690="LDn")),1,""))))</f>
        <v/>
      </c>
      <c r="J690" s="4" t="str">
        <f t="shared" si="181"/>
        <v/>
      </c>
      <c r="K690" s="4" t="str">
        <f t="shared" si="182"/>
        <v/>
      </c>
      <c r="L690" s="4" t="str">
        <f t="shared" si="183"/>
        <v/>
      </c>
      <c r="M690" s="4" t="str">
        <f t="shared" si="184"/>
        <v/>
      </c>
      <c r="N690" s="4" t="str">
        <f t="shared" si="185"/>
        <v/>
      </c>
      <c r="O690" s="4" t="str">
        <f t="shared" si="186"/>
        <v/>
      </c>
      <c r="P690" s="4" t="str">
        <f t="shared" si="187"/>
        <v/>
      </c>
      <c r="Q690" s="4" t="str">
        <f t="shared" si="188"/>
        <v/>
      </c>
      <c r="R690" s="4" t="str">
        <f t="shared" si="189"/>
        <v/>
      </c>
      <c r="S690" s="4">
        <f t="shared" si="190"/>
        <v>1</v>
      </c>
      <c r="T690" s="4" t="str">
        <f t="shared" si="191"/>
        <v/>
      </c>
      <c r="U690">
        <f>IF(VLOOKUP(C690,'QA Table'!$Y$5:$Y$20,1,TRUE)=C690,1,0)</f>
        <v>0</v>
      </c>
      <c r="V690" t="str">
        <f t="shared" si="192"/>
        <v/>
      </c>
      <c r="W690" t="str">
        <f t="shared" si="193"/>
        <v/>
      </c>
      <c r="X690" t="str">
        <f t="shared" si="194"/>
        <v/>
      </c>
      <c r="Y690">
        <f t="shared" si="195"/>
        <v>0</v>
      </c>
      <c r="AA690" t="str">
        <f t="shared" si="196"/>
        <v/>
      </c>
    </row>
    <row r="691" spans="1:27" x14ac:dyDescent="0.2">
      <c r="A691" t="s">
        <v>46</v>
      </c>
      <c r="B691" t="s">
        <v>79</v>
      </c>
      <c r="C691" t="s">
        <v>1823</v>
      </c>
      <c r="D691" t="s">
        <v>2</v>
      </c>
      <c r="E691" t="s">
        <v>3</v>
      </c>
      <c r="F691" t="s">
        <v>1824</v>
      </c>
      <c r="G691" t="s">
        <v>1783</v>
      </c>
      <c r="H691" s="4">
        <f t="shared" si="180"/>
        <v>1</v>
      </c>
      <c r="I691" s="4">
        <f>IF(RIGHT(B691,1)="M",IF(AND(H691=1,E691="RFS",D691=INDEX('Station Depth Averages'!$A$3:$B$84,MATCH(B691,'Station Depth Averages'!$A$3:$A$84,0),2)),1,""),IF(AND(H691=1,OR(D691="SYN",D691="SRF",D691="MID")),1,IF(AND(H691=1,OR(E692="FDn",E692="LDn")),1,IF(AND(H691=1,OR(E691="FDn",E691="LDn")),1,""))))</f>
        <v>1</v>
      </c>
      <c r="J691" s="4">
        <f t="shared" si="181"/>
        <v>1</v>
      </c>
      <c r="K691" s="4" t="str">
        <f t="shared" si="182"/>
        <v/>
      </c>
      <c r="L691" s="4" t="str">
        <f t="shared" si="183"/>
        <v/>
      </c>
      <c r="M691" s="4" t="str">
        <f t="shared" si="184"/>
        <v/>
      </c>
      <c r="N691" s="4" t="str">
        <f t="shared" si="185"/>
        <v/>
      </c>
      <c r="O691" s="4" t="str">
        <f t="shared" si="186"/>
        <v/>
      </c>
      <c r="P691" s="4" t="str">
        <f t="shared" si="187"/>
        <v/>
      </c>
      <c r="Q691" s="4" t="str">
        <f t="shared" si="188"/>
        <v/>
      </c>
      <c r="R691" s="4" t="str">
        <f t="shared" si="189"/>
        <v/>
      </c>
      <c r="S691" s="4" t="str">
        <f t="shared" si="190"/>
        <v/>
      </c>
      <c r="T691" s="4" t="str">
        <f t="shared" si="191"/>
        <v/>
      </c>
      <c r="U691">
        <f>IF(VLOOKUP(C691,'QA Table'!$Y$5:$Y$20,1,TRUE)=C691,1,0)</f>
        <v>0</v>
      </c>
      <c r="V691" t="str">
        <f t="shared" si="192"/>
        <v/>
      </c>
      <c r="W691" t="str">
        <f t="shared" si="193"/>
        <v/>
      </c>
      <c r="X691">
        <f t="shared" si="194"/>
        <v>3</v>
      </c>
      <c r="Y691">
        <f t="shared" si="195"/>
        <v>0</v>
      </c>
      <c r="AA691">
        <f t="shared" si="196"/>
        <v>1</v>
      </c>
    </row>
    <row r="692" spans="1:27" x14ac:dyDescent="0.2">
      <c r="A692" t="s">
        <v>46</v>
      </c>
      <c r="B692" t="s">
        <v>79</v>
      </c>
      <c r="C692" t="s">
        <v>1825</v>
      </c>
      <c r="D692" t="s">
        <v>1050</v>
      </c>
      <c r="E692" t="s">
        <v>3</v>
      </c>
      <c r="F692" t="s">
        <v>1824</v>
      </c>
      <c r="G692" t="s">
        <v>1783</v>
      </c>
      <c r="H692" s="4" t="str">
        <f t="shared" si="180"/>
        <v/>
      </c>
      <c r="I692" s="4" t="str">
        <f>IF(RIGHT(B692,1)="M",IF(AND(H692=1,E692="RFS",D692=INDEX('Station Depth Averages'!$A$3:$B$84,MATCH(B692,'Station Depth Averages'!$A$3:$A$84,0),2)),1,""),IF(AND(H692=1,OR(D692="SYN",D692="SRF",D692="MID")),1,IF(AND(H692=1,OR(E693="FDn",E693="LDn")),1,IF(AND(H692=1,OR(E692="FDn",E692="LDn")),1,""))))</f>
        <v/>
      </c>
      <c r="J692" s="4" t="str">
        <f t="shared" si="181"/>
        <v/>
      </c>
      <c r="K692" s="4" t="str">
        <f t="shared" si="182"/>
        <v/>
      </c>
      <c r="L692" s="4" t="str">
        <f t="shared" si="183"/>
        <v/>
      </c>
      <c r="M692" s="4" t="str">
        <f t="shared" si="184"/>
        <v/>
      </c>
      <c r="N692" s="4" t="str">
        <f t="shared" si="185"/>
        <v/>
      </c>
      <c r="O692" s="4" t="str">
        <f t="shared" si="186"/>
        <v/>
      </c>
      <c r="P692" s="4" t="str">
        <f t="shared" si="187"/>
        <v/>
      </c>
      <c r="Q692" s="4" t="str">
        <f t="shared" si="188"/>
        <v/>
      </c>
      <c r="R692" s="4" t="str">
        <f t="shared" si="189"/>
        <v/>
      </c>
      <c r="S692" s="4" t="str">
        <f t="shared" si="190"/>
        <v/>
      </c>
      <c r="T692" s="4" t="str">
        <f t="shared" si="191"/>
        <v/>
      </c>
      <c r="U692">
        <f>IF(VLOOKUP(C692,'QA Table'!$Y$5:$Y$20,1,TRUE)=C692,1,0)</f>
        <v>0</v>
      </c>
      <c r="V692" t="str">
        <f t="shared" si="192"/>
        <v/>
      </c>
      <c r="W692" t="str">
        <f t="shared" si="193"/>
        <v/>
      </c>
      <c r="X692" t="str">
        <f t="shared" si="194"/>
        <v/>
      </c>
      <c r="Y692">
        <f t="shared" si="195"/>
        <v>0</v>
      </c>
      <c r="AA692" t="str">
        <f t="shared" si="196"/>
        <v/>
      </c>
    </row>
    <row r="693" spans="1:27" x14ac:dyDescent="0.2">
      <c r="A693" t="s">
        <v>46</v>
      </c>
      <c r="B693" t="s">
        <v>79</v>
      </c>
      <c r="C693" t="s">
        <v>1826</v>
      </c>
      <c r="D693" t="s">
        <v>4</v>
      </c>
      <c r="E693" t="s">
        <v>3</v>
      </c>
      <c r="F693" t="s">
        <v>1824</v>
      </c>
      <c r="G693" t="s">
        <v>1783</v>
      </c>
      <c r="H693" s="4" t="str">
        <f t="shared" si="180"/>
        <v/>
      </c>
      <c r="I693" s="4" t="str">
        <f>IF(RIGHT(B693,1)="M",IF(AND(H693=1,E693="RFS",D693=INDEX('Station Depth Averages'!$A$3:$B$84,MATCH(B693,'Station Depth Averages'!$A$3:$A$84,0),2)),1,""),IF(AND(H693=1,OR(D693="SYN",D693="SRF",D693="MID")),1,IF(AND(H693=1,OR(E694="FDn",E694="LDn")),1,IF(AND(H693=1,OR(E693="FDn",E693="LDn")),1,""))))</f>
        <v/>
      </c>
      <c r="J693" s="4" t="str">
        <f t="shared" si="181"/>
        <v/>
      </c>
      <c r="K693" s="4" t="str">
        <f t="shared" si="182"/>
        <v/>
      </c>
      <c r="L693" s="4" t="str">
        <f t="shared" si="183"/>
        <v/>
      </c>
      <c r="M693" s="4" t="str">
        <f t="shared" si="184"/>
        <v/>
      </c>
      <c r="N693" s="4" t="str">
        <f t="shared" si="185"/>
        <v/>
      </c>
      <c r="O693" s="4" t="str">
        <f t="shared" si="186"/>
        <v/>
      </c>
      <c r="P693" s="4" t="str">
        <f t="shared" si="187"/>
        <v/>
      </c>
      <c r="Q693" s="4" t="str">
        <f t="shared" si="188"/>
        <v/>
      </c>
      <c r="R693" s="4" t="str">
        <f t="shared" si="189"/>
        <v/>
      </c>
      <c r="S693" s="4" t="str">
        <f t="shared" si="190"/>
        <v/>
      </c>
      <c r="T693" s="4" t="str">
        <f t="shared" si="191"/>
        <v/>
      </c>
      <c r="U693">
        <f>IF(VLOOKUP(C693,'QA Table'!$Y$5:$Y$20,1,TRUE)=C693,1,0)</f>
        <v>0</v>
      </c>
      <c r="V693" t="str">
        <f t="shared" si="192"/>
        <v/>
      </c>
      <c r="W693" t="str">
        <f t="shared" si="193"/>
        <v/>
      </c>
      <c r="X693" t="str">
        <f t="shared" si="194"/>
        <v/>
      </c>
      <c r="Y693">
        <f t="shared" si="195"/>
        <v>0</v>
      </c>
      <c r="AA693" t="str">
        <f t="shared" si="196"/>
        <v/>
      </c>
    </row>
    <row r="694" spans="1:27" x14ac:dyDescent="0.2">
      <c r="A694" t="s">
        <v>46</v>
      </c>
      <c r="B694" t="s">
        <v>79</v>
      </c>
      <c r="C694" t="s">
        <v>1827</v>
      </c>
      <c r="D694" t="s">
        <v>1051</v>
      </c>
      <c r="E694" t="s">
        <v>3</v>
      </c>
      <c r="F694" t="s">
        <v>1824</v>
      </c>
      <c r="G694" t="s">
        <v>1783</v>
      </c>
      <c r="H694" s="4" t="str">
        <f t="shared" si="180"/>
        <v/>
      </c>
      <c r="I694" s="4" t="str">
        <f>IF(RIGHT(B694,1)="M",IF(AND(H694=1,E694="RFS",D694=INDEX('Station Depth Averages'!$A$3:$B$84,MATCH(B694,'Station Depth Averages'!$A$3:$A$84,0),2)),1,""),IF(AND(H694=1,OR(D694="SYN",D694="SRF",D694="MID")),1,IF(AND(H694=1,OR(E695="FDn",E695="LDn")),1,IF(AND(H694=1,OR(E694="FDn",E694="LDn")),1,""))))</f>
        <v/>
      </c>
      <c r="J694" s="4" t="str">
        <f t="shared" si="181"/>
        <v/>
      </c>
      <c r="K694" s="4" t="str">
        <f t="shared" si="182"/>
        <v/>
      </c>
      <c r="L694" s="4" t="str">
        <f t="shared" si="183"/>
        <v/>
      </c>
      <c r="M694" s="4" t="str">
        <f t="shared" si="184"/>
        <v/>
      </c>
      <c r="N694" s="4" t="str">
        <f t="shared" si="185"/>
        <v/>
      </c>
      <c r="O694" s="4" t="str">
        <f t="shared" si="186"/>
        <v/>
      </c>
      <c r="P694" s="4" t="str">
        <f t="shared" si="187"/>
        <v/>
      </c>
      <c r="Q694" s="4" t="str">
        <f t="shared" si="188"/>
        <v/>
      </c>
      <c r="R694" s="4" t="str">
        <f t="shared" si="189"/>
        <v/>
      </c>
      <c r="S694" s="4" t="str">
        <f t="shared" si="190"/>
        <v/>
      </c>
      <c r="T694" s="4" t="str">
        <f t="shared" si="191"/>
        <v/>
      </c>
      <c r="U694">
        <f>IF(VLOOKUP(C694,'QA Table'!$Y$5:$Y$20,1,TRUE)=C694,1,0)</f>
        <v>0</v>
      </c>
      <c r="V694" t="str">
        <f t="shared" si="192"/>
        <v/>
      </c>
      <c r="W694" t="str">
        <f t="shared" si="193"/>
        <v/>
      </c>
      <c r="X694" t="str">
        <f t="shared" si="194"/>
        <v/>
      </c>
      <c r="Y694">
        <f t="shared" si="195"/>
        <v>0</v>
      </c>
      <c r="AA694" t="str">
        <f t="shared" si="196"/>
        <v/>
      </c>
    </row>
    <row r="695" spans="1:27" x14ac:dyDescent="0.2">
      <c r="A695" t="s">
        <v>46</v>
      </c>
      <c r="B695" t="s">
        <v>79</v>
      </c>
      <c r="C695" t="s">
        <v>1828</v>
      </c>
      <c r="D695" t="s">
        <v>119</v>
      </c>
      <c r="E695" t="s">
        <v>3</v>
      </c>
      <c r="F695" t="s">
        <v>1824</v>
      </c>
      <c r="G695" t="s">
        <v>1783</v>
      </c>
      <c r="H695" s="4">
        <f t="shared" si="180"/>
        <v>1</v>
      </c>
      <c r="I695" s="4">
        <f>IF(RIGHT(B695,1)="M",IF(AND(H695=1,E695="RFS",D695=INDEX('Station Depth Averages'!$A$3:$B$84,MATCH(B695,'Station Depth Averages'!$A$3:$A$84,0),2)),1,""),IF(AND(H695=1,OR(D695="SYN",D695="SRF",D695="MID")),1,IF(AND(H695=1,OR(E696="FDn",E696="LDn")),1,IF(AND(H695=1,OR(E695="FDn",E695="LDn")),1,""))))</f>
        <v>1</v>
      </c>
      <c r="J695" s="4">
        <f t="shared" si="181"/>
        <v>1</v>
      </c>
      <c r="K695" s="4" t="str">
        <f t="shared" si="182"/>
        <v/>
      </c>
      <c r="L695" s="4" t="str">
        <f t="shared" si="183"/>
        <v/>
      </c>
      <c r="M695" s="4" t="str">
        <f t="shared" si="184"/>
        <v/>
      </c>
      <c r="N695" s="4" t="str">
        <f t="shared" si="185"/>
        <v/>
      </c>
      <c r="O695" s="4" t="str">
        <f t="shared" si="186"/>
        <v/>
      </c>
      <c r="P695" s="4" t="str">
        <f t="shared" si="187"/>
        <v/>
      </c>
      <c r="Q695" s="4" t="str">
        <f t="shared" si="188"/>
        <v/>
      </c>
      <c r="R695" s="4" t="str">
        <f t="shared" si="189"/>
        <v/>
      </c>
      <c r="S695" s="4" t="str">
        <f t="shared" si="190"/>
        <v/>
      </c>
      <c r="T695" s="4" t="str">
        <f t="shared" si="191"/>
        <v/>
      </c>
      <c r="U695">
        <f>IF(VLOOKUP(C695,'QA Table'!$Y$5:$Y$20,1,TRUE)=C695,1,0)</f>
        <v>0</v>
      </c>
      <c r="V695" t="str">
        <f t="shared" si="192"/>
        <v/>
      </c>
      <c r="W695" t="str">
        <f t="shared" si="193"/>
        <v/>
      </c>
      <c r="X695">
        <f t="shared" si="194"/>
        <v>3</v>
      </c>
      <c r="Y695">
        <f t="shared" si="195"/>
        <v>0</v>
      </c>
      <c r="AA695">
        <f t="shared" si="196"/>
        <v>1</v>
      </c>
    </row>
    <row r="696" spans="1:27" x14ac:dyDescent="0.2">
      <c r="A696" t="s">
        <v>46</v>
      </c>
      <c r="B696" t="s">
        <v>79</v>
      </c>
      <c r="C696" t="s">
        <v>1119</v>
      </c>
      <c r="D696" t="s">
        <v>5</v>
      </c>
      <c r="E696" t="s">
        <v>3</v>
      </c>
      <c r="F696" t="s">
        <v>1824</v>
      </c>
      <c r="G696" t="s">
        <v>1783</v>
      </c>
      <c r="H696" s="4">
        <f t="shared" si="180"/>
        <v>1</v>
      </c>
      <c r="I696" s="4">
        <f>IF(RIGHT(B696,1)="M",IF(AND(H696=1,E696="RFS",D696=INDEX('Station Depth Averages'!$A$3:$B$84,MATCH(B696,'Station Depth Averages'!$A$3:$A$84,0),2)),1,""),IF(AND(H696=1,OR(D696="SYN",D696="SRF",D696="MID")),1,IF(AND(H696=1,OR(E697="FDn",E697="LDn")),1,IF(AND(H696=1,OR(E696="FDn",E696="LDn")),1,""))))</f>
        <v>1</v>
      </c>
      <c r="J696" s="4">
        <f t="shared" si="181"/>
        <v>1</v>
      </c>
      <c r="K696" s="4" t="str">
        <f t="shared" si="182"/>
        <v/>
      </c>
      <c r="L696" s="4" t="str">
        <f t="shared" si="183"/>
        <v/>
      </c>
      <c r="M696" s="4" t="str">
        <f t="shared" si="184"/>
        <v/>
      </c>
      <c r="N696" s="4" t="str">
        <f t="shared" si="185"/>
        <v/>
      </c>
      <c r="O696" s="4" t="str">
        <f t="shared" si="186"/>
        <v/>
      </c>
      <c r="P696" s="4" t="str">
        <f t="shared" si="187"/>
        <v/>
      </c>
      <c r="Q696" s="4" t="str">
        <f t="shared" si="188"/>
        <v/>
      </c>
      <c r="R696" s="4" t="str">
        <f t="shared" si="189"/>
        <v/>
      </c>
      <c r="S696" s="4" t="str">
        <f t="shared" si="190"/>
        <v/>
      </c>
      <c r="T696" s="4" t="str">
        <f t="shared" si="191"/>
        <v/>
      </c>
      <c r="U696">
        <f>IF(VLOOKUP(C696,'QA Table'!$Y$5:$Y$20,1,TRUE)=C696,1,0)</f>
        <v>0</v>
      </c>
      <c r="V696" t="str">
        <f t="shared" si="192"/>
        <v/>
      </c>
      <c r="W696" t="str">
        <f t="shared" si="193"/>
        <v/>
      </c>
      <c r="X696">
        <f t="shared" si="194"/>
        <v>3</v>
      </c>
      <c r="Y696">
        <f t="shared" si="195"/>
        <v>0</v>
      </c>
      <c r="AA696">
        <f t="shared" si="196"/>
        <v>1</v>
      </c>
    </row>
    <row r="697" spans="1:27" x14ac:dyDescent="0.2">
      <c r="A697" t="s">
        <v>46</v>
      </c>
      <c r="B697" t="s">
        <v>79</v>
      </c>
      <c r="C697" t="s">
        <v>1829</v>
      </c>
      <c r="D697" t="s">
        <v>5</v>
      </c>
      <c r="E697" t="s">
        <v>7</v>
      </c>
      <c r="F697" t="s">
        <v>1824</v>
      </c>
      <c r="G697" t="s">
        <v>1783</v>
      </c>
      <c r="H697" s="4">
        <f t="shared" si="180"/>
        <v>1</v>
      </c>
      <c r="I697" s="4">
        <f>IF(RIGHT(B697,1)="M",IF(AND(H697=1,E697="RFS",D697=INDEX('Station Depth Averages'!$A$3:$B$84,MATCH(B697,'Station Depth Averages'!$A$3:$A$84,0),2)),1,""),IF(AND(H697=1,OR(D697="SYN",D697="SRF",D697="MID")),1,IF(AND(H697=1,OR(E698="FDn",E698="LDn")),1,IF(AND(H697=1,OR(E697="FDn",E697="LDn")),1,""))))</f>
        <v>1</v>
      </c>
      <c r="J697" s="4">
        <f t="shared" si="181"/>
        <v>1</v>
      </c>
      <c r="K697" s="4" t="str">
        <f t="shared" si="182"/>
        <v/>
      </c>
      <c r="L697" s="4" t="str">
        <f t="shared" si="183"/>
        <v/>
      </c>
      <c r="M697" s="4" t="str">
        <f t="shared" si="184"/>
        <v/>
      </c>
      <c r="N697" s="4" t="str">
        <f t="shared" si="185"/>
        <v/>
      </c>
      <c r="O697" s="4" t="str">
        <f t="shared" si="186"/>
        <v/>
      </c>
      <c r="P697" s="4" t="str">
        <f t="shared" si="187"/>
        <v/>
      </c>
      <c r="Q697" s="4" t="str">
        <f t="shared" si="188"/>
        <v/>
      </c>
      <c r="R697" s="4" t="str">
        <f t="shared" si="189"/>
        <v/>
      </c>
      <c r="S697" s="4" t="str">
        <f t="shared" si="190"/>
        <v/>
      </c>
      <c r="T697" s="4" t="str">
        <f t="shared" si="191"/>
        <v/>
      </c>
      <c r="U697">
        <f>IF(VLOOKUP(C697,'QA Table'!$Y$5:$Y$20,1,TRUE)=C697,1,0)</f>
        <v>0</v>
      </c>
      <c r="V697" t="str">
        <f t="shared" si="192"/>
        <v/>
      </c>
      <c r="W697" t="str">
        <f t="shared" si="193"/>
        <v/>
      </c>
      <c r="X697">
        <f t="shared" si="194"/>
        <v>3</v>
      </c>
      <c r="Y697">
        <f t="shared" si="195"/>
        <v>0</v>
      </c>
      <c r="AA697">
        <f t="shared" si="196"/>
        <v>1</v>
      </c>
    </row>
    <row r="698" spans="1:27" x14ac:dyDescent="0.2">
      <c r="A698" t="s">
        <v>46</v>
      </c>
      <c r="B698" t="s">
        <v>79</v>
      </c>
      <c r="C698" t="s">
        <v>1830</v>
      </c>
      <c r="D698" t="s">
        <v>6</v>
      </c>
      <c r="E698" t="s">
        <v>3</v>
      </c>
      <c r="F698" t="s">
        <v>1824</v>
      </c>
      <c r="G698" t="s">
        <v>1783</v>
      </c>
      <c r="H698" s="4">
        <f t="shared" si="180"/>
        <v>1</v>
      </c>
      <c r="I698" s="4" t="str">
        <f>IF(RIGHT(B698,1)="M",IF(AND(H698=1,E698="RFS",D698=INDEX('Station Depth Averages'!$A$3:$B$84,MATCH(B698,'Station Depth Averages'!$A$3:$A$84,0),2)),1,""),IF(AND(H698=1,OR(D698="SYN",D698="SRF",D698="MID")),1,IF(AND(H698=1,OR(E699="FDn",E699="LDn")),1,IF(AND(H698=1,OR(E698="FDn",E698="LDn")),1,""))))</f>
        <v/>
      </c>
      <c r="J698" s="4">
        <f t="shared" si="181"/>
        <v>1</v>
      </c>
      <c r="K698" s="4" t="str">
        <f t="shared" si="182"/>
        <v/>
      </c>
      <c r="L698" s="4" t="str">
        <f t="shared" si="183"/>
        <v/>
      </c>
      <c r="M698" s="4" t="str">
        <f t="shared" si="184"/>
        <v/>
      </c>
      <c r="N698" s="4" t="str">
        <f t="shared" si="185"/>
        <v/>
      </c>
      <c r="O698" s="4" t="str">
        <f t="shared" si="186"/>
        <v/>
      </c>
      <c r="P698" s="4" t="str">
        <f t="shared" si="187"/>
        <v/>
      </c>
      <c r="Q698" s="4" t="str">
        <f t="shared" si="188"/>
        <v/>
      </c>
      <c r="R698" s="4" t="str">
        <f t="shared" si="189"/>
        <v/>
      </c>
      <c r="S698" s="4" t="str">
        <f t="shared" si="190"/>
        <v/>
      </c>
      <c r="T698" s="4" t="str">
        <f t="shared" si="191"/>
        <v/>
      </c>
      <c r="U698">
        <f>IF(VLOOKUP(C698,'QA Table'!$Y$5:$Y$20,1,TRUE)=C698,1,0)</f>
        <v>0</v>
      </c>
      <c r="V698" t="str">
        <f t="shared" si="192"/>
        <v/>
      </c>
      <c r="W698" t="str">
        <f t="shared" si="193"/>
        <v/>
      </c>
      <c r="X698">
        <f t="shared" si="194"/>
        <v>3</v>
      </c>
      <c r="Y698">
        <f t="shared" si="195"/>
        <v>0</v>
      </c>
      <c r="AA698">
        <f t="shared" si="196"/>
        <v>1</v>
      </c>
    </row>
    <row r="699" spans="1:27" x14ac:dyDescent="0.2">
      <c r="A699" t="s">
        <v>46</v>
      </c>
      <c r="B699" t="s">
        <v>79</v>
      </c>
      <c r="C699" t="s">
        <v>1831</v>
      </c>
      <c r="D699" t="s">
        <v>8</v>
      </c>
      <c r="E699" t="s">
        <v>3</v>
      </c>
      <c r="F699" t="s">
        <v>1824</v>
      </c>
      <c r="G699" t="s">
        <v>1783</v>
      </c>
      <c r="H699" s="4">
        <f t="shared" si="180"/>
        <v>1</v>
      </c>
      <c r="I699" s="4" t="str">
        <f>IF(RIGHT(B699,1)="M",IF(AND(H699=1,E699="RFS",D699=INDEX('Station Depth Averages'!$A$3:$B$84,MATCH(B699,'Station Depth Averages'!$A$3:$A$84,0),2)),1,""),IF(AND(H699=1,OR(D699="SYN",D699="SRF",D699="MID")),1,IF(AND(H699=1,OR(E700="FDn",E700="LDn")),1,IF(AND(H699=1,OR(E699="FDn",E699="LDn")),1,""))))</f>
        <v/>
      </c>
      <c r="J699" s="4" t="str">
        <f t="shared" si="181"/>
        <v/>
      </c>
      <c r="K699" s="4">
        <f t="shared" si="182"/>
        <v>1</v>
      </c>
      <c r="L699" s="4" t="str">
        <f t="shared" si="183"/>
        <v/>
      </c>
      <c r="M699" s="4" t="str">
        <f t="shared" si="184"/>
        <v/>
      </c>
      <c r="N699" s="4" t="str">
        <f t="shared" si="185"/>
        <v/>
      </c>
      <c r="O699" s="4" t="str">
        <f t="shared" si="186"/>
        <v/>
      </c>
      <c r="P699" s="4" t="str">
        <f t="shared" si="187"/>
        <v/>
      </c>
      <c r="Q699" s="4">
        <f t="shared" si="188"/>
        <v>2</v>
      </c>
      <c r="R699" s="4" t="str">
        <f t="shared" si="189"/>
        <v/>
      </c>
      <c r="S699" s="4" t="str">
        <f t="shared" si="190"/>
        <v/>
      </c>
      <c r="T699" s="4" t="str">
        <f t="shared" si="191"/>
        <v/>
      </c>
      <c r="U699">
        <f>IF(VLOOKUP(C699,'QA Table'!$Y$5:$Y$20,1,TRUE)=C699,1,0)</f>
        <v>0</v>
      </c>
      <c r="V699" t="str">
        <f t="shared" si="192"/>
        <v/>
      </c>
      <c r="W699" t="str">
        <f t="shared" si="193"/>
        <v/>
      </c>
      <c r="X699">
        <f t="shared" si="194"/>
        <v>3</v>
      </c>
      <c r="Y699">
        <f t="shared" si="195"/>
        <v>0</v>
      </c>
      <c r="AA699">
        <f t="shared" si="196"/>
        <v>1</v>
      </c>
    </row>
    <row r="700" spans="1:27" x14ac:dyDescent="0.2">
      <c r="A700" t="s">
        <v>46</v>
      </c>
      <c r="B700" t="s">
        <v>79</v>
      </c>
      <c r="C700" t="s">
        <v>1832</v>
      </c>
      <c r="D700" t="s">
        <v>9</v>
      </c>
      <c r="E700" t="s">
        <v>3</v>
      </c>
      <c r="F700" t="s">
        <v>1824</v>
      </c>
      <c r="G700" t="s">
        <v>1783</v>
      </c>
      <c r="H700" s="4" t="str">
        <f t="shared" si="180"/>
        <v/>
      </c>
      <c r="I700" s="4" t="str">
        <f>IF(RIGHT(B700,1)="M",IF(AND(H700=1,E700="RFS",D700=INDEX('Station Depth Averages'!$A$3:$B$84,MATCH(B700,'Station Depth Averages'!$A$3:$A$84,0),2)),1,""),IF(AND(H700=1,OR(D700="SYN",D700="SRF",D700="MID")),1,IF(AND(H700=1,OR(E701="FDn",E701="LDn")),1,IF(AND(H700=1,OR(E700="FDn",E700="LDn")),1,""))))</f>
        <v/>
      </c>
      <c r="J700" s="4" t="str">
        <f t="shared" si="181"/>
        <v/>
      </c>
      <c r="K700" s="4" t="str">
        <f t="shared" si="182"/>
        <v/>
      </c>
      <c r="L700" s="4" t="str">
        <f t="shared" si="183"/>
        <v/>
      </c>
      <c r="M700" s="4" t="str">
        <f t="shared" si="184"/>
        <v/>
      </c>
      <c r="N700" s="4" t="str">
        <f t="shared" si="185"/>
        <v/>
      </c>
      <c r="O700" s="4" t="str">
        <f t="shared" si="186"/>
        <v/>
      </c>
      <c r="P700" s="4" t="str">
        <f t="shared" si="187"/>
        <v/>
      </c>
      <c r="Q700" s="4" t="str">
        <f t="shared" si="188"/>
        <v/>
      </c>
      <c r="R700" s="4" t="str">
        <f t="shared" si="189"/>
        <v/>
      </c>
      <c r="S700" s="4" t="str">
        <f t="shared" si="190"/>
        <v/>
      </c>
      <c r="T700" s="4">
        <f t="shared" si="191"/>
        <v>2</v>
      </c>
      <c r="U700">
        <f>IF(VLOOKUP(C700,'QA Table'!$Y$5:$Y$20,1,TRUE)=C700,1,0)</f>
        <v>0</v>
      </c>
      <c r="V700" t="str">
        <f t="shared" si="192"/>
        <v/>
      </c>
      <c r="W700" t="str">
        <f t="shared" si="193"/>
        <v/>
      </c>
      <c r="X700" t="str">
        <f t="shared" si="194"/>
        <v/>
      </c>
      <c r="Y700">
        <f t="shared" si="195"/>
        <v>0</v>
      </c>
      <c r="AA700" t="str">
        <f t="shared" si="196"/>
        <v/>
      </c>
    </row>
    <row r="701" spans="1:27" x14ac:dyDescent="0.2">
      <c r="A701" t="s">
        <v>46</v>
      </c>
      <c r="B701" t="s">
        <v>79</v>
      </c>
      <c r="C701" t="s">
        <v>1833</v>
      </c>
      <c r="D701" t="s">
        <v>10</v>
      </c>
      <c r="E701" t="s">
        <v>3</v>
      </c>
      <c r="F701" t="s">
        <v>1824</v>
      </c>
      <c r="G701" t="s">
        <v>1783</v>
      </c>
      <c r="H701" s="4" t="str">
        <f t="shared" si="180"/>
        <v/>
      </c>
      <c r="I701" s="4" t="str">
        <f>IF(RIGHT(B701,1)="M",IF(AND(H701=1,E701="RFS",D701=INDEX('Station Depth Averages'!$A$3:$B$84,MATCH(B701,'Station Depth Averages'!$A$3:$A$84,0),2)),1,""),IF(AND(H701=1,OR(D701="SYN",D701="SRF",D701="MID")),1,IF(AND(H701=1,OR(E702="FDn",E702="LDn")),1,IF(AND(H701=1,OR(E701="FDn",E701="LDn")),1,""))))</f>
        <v/>
      </c>
      <c r="J701" s="4" t="str">
        <f t="shared" si="181"/>
        <v/>
      </c>
      <c r="K701" s="4" t="str">
        <f t="shared" si="182"/>
        <v/>
      </c>
      <c r="L701" s="4" t="str">
        <f t="shared" si="183"/>
        <v/>
      </c>
      <c r="M701" s="4" t="str">
        <f t="shared" si="184"/>
        <v/>
      </c>
      <c r="N701" s="4" t="str">
        <f t="shared" si="185"/>
        <v/>
      </c>
      <c r="O701" s="4" t="str">
        <f t="shared" si="186"/>
        <v/>
      </c>
      <c r="P701" s="4" t="str">
        <f t="shared" si="187"/>
        <v/>
      </c>
      <c r="Q701" s="4" t="str">
        <f t="shared" si="188"/>
        <v/>
      </c>
      <c r="R701" s="4" t="str">
        <f t="shared" si="189"/>
        <v/>
      </c>
      <c r="S701" s="4" t="str">
        <f t="shared" si="190"/>
        <v/>
      </c>
      <c r="T701" s="4">
        <f t="shared" si="191"/>
        <v>2</v>
      </c>
      <c r="U701">
        <f>IF(VLOOKUP(C701,'QA Table'!$Y$5:$Y$20,1,TRUE)=C701,1,0)</f>
        <v>0</v>
      </c>
      <c r="V701" t="str">
        <f t="shared" si="192"/>
        <v/>
      </c>
      <c r="W701" t="str">
        <f t="shared" si="193"/>
        <v/>
      </c>
      <c r="X701" t="str">
        <f t="shared" si="194"/>
        <v/>
      </c>
      <c r="Y701">
        <f t="shared" si="195"/>
        <v>0</v>
      </c>
      <c r="AA701" t="str">
        <f t="shared" si="196"/>
        <v/>
      </c>
    </row>
    <row r="702" spans="1:27" x14ac:dyDescent="0.2">
      <c r="A702" t="s">
        <v>46</v>
      </c>
      <c r="B702" t="s">
        <v>79</v>
      </c>
      <c r="C702" t="s">
        <v>1834</v>
      </c>
      <c r="D702" t="s">
        <v>1034</v>
      </c>
      <c r="E702" t="s">
        <v>3</v>
      </c>
      <c r="F702" t="s">
        <v>1824</v>
      </c>
      <c r="G702" t="s">
        <v>1783</v>
      </c>
      <c r="H702" s="4" t="str">
        <f t="shared" si="180"/>
        <v/>
      </c>
      <c r="I702" s="4" t="str">
        <f>IF(RIGHT(B702,1)="M",IF(AND(H702=1,E702="RFS",D702=INDEX('Station Depth Averages'!$A$3:$B$84,MATCH(B702,'Station Depth Averages'!$A$3:$A$84,0),2)),1,""),IF(AND(H702=1,OR(D702="SYN",D702="SRF",D702="MID")),1,IF(AND(H702=1,OR(E703="FDn",E703="LDn")),1,IF(AND(H702=1,OR(E702="FDn",E702="LDn")),1,""))))</f>
        <v/>
      </c>
      <c r="J702" s="4" t="str">
        <f t="shared" si="181"/>
        <v/>
      </c>
      <c r="K702" s="4" t="str">
        <f t="shared" si="182"/>
        <v/>
      </c>
      <c r="L702" s="4" t="str">
        <f t="shared" si="183"/>
        <v/>
      </c>
      <c r="M702" s="4" t="str">
        <f t="shared" si="184"/>
        <v/>
      </c>
      <c r="N702" s="4" t="str">
        <f t="shared" si="185"/>
        <v/>
      </c>
      <c r="O702" s="4" t="str">
        <f t="shared" si="186"/>
        <v/>
      </c>
      <c r="P702" s="4" t="str">
        <f t="shared" si="187"/>
        <v/>
      </c>
      <c r="Q702" s="4" t="str">
        <f t="shared" si="188"/>
        <v/>
      </c>
      <c r="R702" s="4" t="str">
        <f t="shared" si="189"/>
        <v/>
      </c>
      <c r="S702" s="4">
        <f t="shared" si="190"/>
        <v>1</v>
      </c>
      <c r="T702" s="4" t="str">
        <f t="shared" si="191"/>
        <v/>
      </c>
      <c r="U702">
        <f>IF(VLOOKUP(C702,'QA Table'!$Y$5:$Y$20,1,TRUE)=C702,1,0)</f>
        <v>0</v>
      </c>
      <c r="V702" t="str">
        <f t="shared" si="192"/>
        <v/>
      </c>
      <c r="W702" t="str">
        <f t="shared" si="193"/>
        <v/>
      </c>
      <c r="X702" t="str">
        <f t="shared" si="194"/>
        <v/>
      </c>
      <c r="Y702">
        <f t="shared" si="195"/>
        <v>0</v>
      </c>
      <c r="AA702" t="str">
        <f t="shared" si="196"/>
        <v/>
      </c>
    </row>
    <row r="703" spans="1:27" x14ac:dyDescent="0.2">
      <c r="A703" t="s">
        <v>46</v>
      </c>
      <c r="B703" t="s">
        <v>79</v>
      </c>
      <c r="C703" t="s">
        <v>1835</v>
      </c>
      <c r="D703" t="s">
        <v>1034</v>
      </c>
      <c r="E703" t="s">
        <v>19</v>
      </c>
      <c r="F703" t="s">
        <v>1824</v>
      </c>
      <c r="G703" t="s">
        <v>1783</v>
      </c>
      <c r="H703" s="4" t="str">
        <f t="shared" si="180"/>
        <v/>
      </c>
      <c r="I703" s="4" t="str">
        <f>IF(RIGHT(B703,1)="M",IF(AND(H703=1,E703="RFS",D703=INDEX('Station Depth Averages'!$A$3:$B$84,MATCH(B703,'Station Depth Averages'!$A$3:$A$84,0),2)),1,""),IF(AND(H703=1,OR(D703="SYN",D703="SRF",D703="MID")),1,IF(AND(H703=1,OR(E704="FDn",E704="LDn")),1,IF(AND(H703=1,OR(E703="FDn",E703="LDn")),1,""))))</f>
        <v/>
      </c>
      <c r="J703" s="4" t="str">
        <f t="shared" si="181"/>
        <v/>
      </c>
      <c r="K703" s="4" t="str">
        <f t="shared" si="182"/>
        <v/>
      </c>
      <c r="L703" s="4" t="str">
        <f t="shared" si="183"/>
        <v/>
      </c>
      <c r="M703" s="4" t="str">
        <f t="shared" si="184"/>
        <v/>
      </c>
      <c r="N703" s="4" t="str">
        <f t="shared" si="185"/>
        <v/>
      </c>
      <c r="O703" s="4" t="str">
        <f t="shared" si="186"/>
        <v/>
      </c>
      <c r="P703" s="4" t="str">
        <f t="shared" si="187"/>
        <v/>
      </c>
      <c r="Q703" s="4" t="str">
        <f t="shared" si="188"/>
        <v/>
      </c>
      <c r="R703" s="4" t="str">
        <f t="shared" si="189"/>
        <v/>
      </c>
      <c r="S703" s="4">
        <f t="shared" si="190"/>
        <v>1</v>
      </c>
      <c r="T703" s="4" t="str">
        <f t="shared" si="191"/>
        <v/>
      </c>
      <c r="U703">
        <f>IF(VLOOKUP(C703,'QA Table'!$Y$5:$Y$20,1,TRUE)=C703,1,0)</f>
        <v>0</v>
      </c>
      <c r="V703" t="str">
        <f t="shared" si="192"/>
        <v/>
      </c>
      <c r="W703" t="str">
        <f t="shared" si="193"/>
        <v/>
      </c>
      <c r="X703" t="str">
        <f t="shared" si="194"/>
        <v/>
      </c>
      <c r="Y703">
        <f t="shared" si="195"/>
        <v>0</v>
      </c>
      <c r="AA703" t="str">
        <f t="shared" si="196"/>
        <v/>
      </c>
    </row>
    <row r="704" spans="1:27" x14ac:dyDescent="0.2">
      <c r="A704" t="s">
        <v>46</v>
      </c>
      <c r="B704" t="s">
        <v>80</v>
      </c>
      <c r="C704" t="s">
        <v>1836</v>
      </c>
      <c r="D704" t="s">
        <v>2</v>
      </c>
      <c r="E704" t="s">
        <v>3</v>
      </c>
      <c r="F704" t="s">
        <v>1837</v>
      </c>
      <c r="G704" t="s">
        <v>1783</v>
      </c>
      <c r="H704" s="4">
        <f t="shared" si="180"/>
        <v>1</v>
      </c>
      <c r="I704" s="4">
        <f>IF(RIGHT(B704,1)="M",IF(AND(H704=1,E704="RFS",D704=INDEX('Station Depth Averages'!$A$3:$B$84,MATCH(B704,'Station Depth Averages'!$A$3:$A$84,0),2)),1,""),IF(AND(H704=1,OR(D704="SYN",D704="SRF",D704="MID")),1,IF(AND(H704=1,OR(E705="FDn",E705="LDn")),1,IF(AND(H704=1,OR(E704="FDn",E704="LDn")),1,""))))</f>
        <v>1</v>
      </c>
      <c r="J704" s="4">
        <f t="shared" si="181"/>
        <v>1</v>
      </c>
      <c r="K704" s="4" t="str">
        <f t="shared" si="182"/>
        <v/>
      </c>
      <c r="L704" s="4" t="str">
        <f t="shared" si="183"/>
        <v/>
      </c>
      <c r="M704" s="4" t="str">
        <f t="shared" si="184"/>
        <v/>
      </c>
      <c r="N704" s="4" t="str">
        <f t="shared" si="185"/>
        <v/>
      </c>
      <c r="O704" s="4" t="str">
        <f t="shared" si="186"/>
        <v/>
      </c>
      <c r="P704" s="4" t="str">
        <f t="shared" si="187"/>
        <v/>
      </c>
      <c r="Q704" s="4" t="str">
        <f t="shared" si="188"/>
        <v/>
      </c>
      <c r="R704" s="4" t="str">
        <f t="shared" si="189"/>
        <v/>
      </c>
      <c r="S704" s="4" t="str">
        <f t="shared" si="190"/>
        <v/>
      </c>
      <c r="T704" s="4" t="str">
        <f t="shared" si="191"/>
        <v/>
      </c>
      <c r="U704">
        <f>IF(VLOOKUP(C704,'QA Table'!$Y$5:$Y$20,1,TRUE)=C704,1,0)</f>
        <v>0</v>
      </c>
      <c r="V704" t="str">
        <f t="shared" si="192"/>
        <v/>
      </c>
      <c r="W704" t="str">
        <f t="shared" si="193"/>
        <v/>
      </c>
      <c r="X704">
        <f t="shared" si="194"/>
        <v>3</v>
      </c>
      <c r="Y704">
        <f t="shared" si="195"/>
        <v>0</v>
      </c>
      <c r="AA704">
        <f t="shared" si="196"/>
        <v>1</v>
      </c>
    </row>
    <row r="705" spans="1:27" x14ac:dyDescent="0.2">
      <c r="A705" t="s">
        <v>46</v>
      </c>
      <c r="B705" t="s">
        <v>80</v>
      </c>
      <c r="C705" t="s">
        <v>1838</v>
      </c>
      <c r="D705" t="s">
        <v>1050</v>
      </c>
      <c r="E705" t="s">
        <v>3</v>
      </c>
      <c r="F705" t="s">
        <v>1837</v>
      </c>
      <c r="G705" t="s">
        <v>1783</v>
      </c>
      <c r="H705" s="4" t="str">
        <f t="shared" si="180"/>
        <v/>
      </c>
      <c r="I705" s="4" t="str">
        <f>IF(RIGHT(B705,1)="M",IF(AND(H705=1,E705="RFS",D705=INDEX('Station Depth Averages'!$A$3:$B$84,MATCH(B705,'Station Depth Averages'!$A$3:$A$84,0),2)),1,""),IF(AND(H705=1,OR(D705="SYN",D705="SRF",D705="MID")),1,IF(AND(H705=1,OR(E706="FDn",E706="LDn")),1,IF(AND(H705=1,OR(E705="FDn",E705="LDn")),1,""))))</f>
        <v/>
      </c>
      <c r="J705" s="4" t="str">
        <f t="shared" si="181"/>
        <v/>
      </c>
      <c r="K705" s="4" t="str">
        <f t="shared" si="182"/>
        <v/>
      </c>
      <c r="L705" s="4" t="str">
        <f t="shared" si="183"/>
        <v/>
      </c>
      <c r="M705" s="4" t="str">
        <f t="shared" si="184"/>
        <v/>
      </c>
      <c r="N705" s="4" t="str">
        <f t="shared" si="185"/>
        <v/>
      </c>
      <c r="O705" s="4" t="str">
        <f t="shared" si="186"/>
        <v/>
      </c>
      <c r="P705" s="4" t="str">
        <f t="shared" si="187"/>
        <v/>
      </c>
      <c r="Q705" s="4" t="str">
        <f t="shared" si="188"/>
        <v/>
      </c>
      <c r="R705" s="4" t="str">
        <f t="shared" si="189"/>
        <v/>
      </c>
      <c r="S705" s="4" t="str">
        <f t="shared" si="190"/>
        <v/>
      </c>
      <c r="T705" s="4" t="str">
        <f t="shared" si="191"/>
        <v/>
      </c>
      <c r="U705">
        <f>IF(VLOOKUP(C705,'QA Table'!$Y$5:$Y$20,1,TRUE)=C705,1,0)</f>
        <v>0</v>
      </c>
      <c r="V705" t="str">
        <f t="shared" si="192"/>
        <v/>
      </c>
      <c r="W705" t="str">
        <f t="shared" si="193"/>
        <v/>
      </c>
      <c r="X705" t="str">
        <f t="shared" si="194"/>
        <v/>
      </c>
      <c r="Y705">
        <f t="shared" si="195"/>
        <v>0</v>
      </c>
      <c r="AA705" t="str">
        <f t="shared" si="196"/>
        <v/>
      </c>
    </row>
    <row r="706" spans="1:27" x14ac:dyDescent="0.2">
      <c r="A706" t="s">
        <v>46</v>
      </c>
      <c r="B706" t="s">
        <v>80</v>
      </c>
      <c r="C706" t="s">
        <v>1839</v>
      </c>
      <c r="D706" t="s">
        <v>4</v>
      </c>
      <c r="E706" t="s">
        <v>3</v>
      </c>
      <c r="F706" t="s">
        <v>1837</v>
      </c>
      <c r="G706" t="s">
        <v>1783</v>
      </c>
      <c r="H706" s="4" t="str">
        <f t="shared" si="180"/>
        <v/>
      </c>
      <c r="I706" s="4" t="str">
        <f>IF(RIGHT(B706,1)="M",IF(AND(H706=1,E706="RFS",D706=INDEX('Station Depth Averages'!$A$3:$B$84,MATCH(B706,'Station Depth Averages'!$A$3:$A$84,0),2)),1,""),IF(AND(H706=1,OR(D706="SYN",D706="SRF",D706="MID")),1,IF(AND(H706=1,OR(E707="FDn",E707="LDn")),1,IF(AND(H706=1,OR(E706="FDn",E706="LDn")),1,""))))</f>
        <v/>
      </c>
      <c r="J706" s="4" t="str">
        <f t="shared" si="181"/>
        <v/>
      </c>
      <c r="K706" s="4" t="str">
        <f t="shared" si="182"/>
        <v/>
      </c>
      <c r="L706" s="4" t="str">
        <f t="shared" si="183"/>
        <v/>
      </c>
      <c r="M706" s="4" t="str">
        <f t="shared" si="184"/>
        <v/>
      </c>
      <c r="N706" s="4" t="str">
        <f t="shared" si="185"/>
        <v/>
      </c>
      <c r="O706" s="4" t="str">
        <f t="shared" si="186"/>
        <v/>
      </c>
      <c r="P706" s="4" t="str">
        <f t="shared" si="187"/>
        <v/>
      </c>
      <c r="Q706" s="4" t="str">
        <f t="shared" si="188"/>
        <v/>
      </c>
      <c r="R706" s="4" t="str">
        <f t="shared" si="189"/>
        <v/>
      </c>
      <c r="S706" s="4" t="str">
        <f t="shared" si="190"/>
        <v/>
      </c>
      <c r="T706" s="4" t="str">
        <f t="shared" si="191"/>
        <v/>
      </c>
      <c r="U706">
        <f>IF(VLOOKUP(C706,'QA Table'!$Y$5:$Y$20,1,TRUE)=C706,1,0)</f>
        <v>0</v>
      </c>
      <c r="V706" t="str">
        <f t="shared" si="192"/>
        <v/>
      </c>
      <c r="W706" t="str">
        <f t="shared" si="193"/>
        <v/>
      </c>
      <c r="X706" t="str">
        <f t="shared" si="194"/>
        <v/>
      </c>
      <c r="Y706">
        <f t="shared" si="195"/>
        <v>0</v>
      </c>
      <c r="AA706" t="str">
        <f t="shared" si="196"/>
        <v/>
      </c>
    </row>
    <row r="707" spans="1:27" x14ac:dyDescent="0.2">
      <c r="A707" t="s">
        <v>46</v>
      </c>
      <c r="B707" t="s">
        <v>80</v>
      </c>
      <c r="C707" t="s">
        <v>1840</v>
      </c>
      <c r="D707" t="s">
        <v>1051</v>
      </c>
      <c r="E707" t="s">
        <v>3</v>
      </c>
      <c r="F707" t="s">
        <v>1837</v>
      </c>
      <c r="G707" t="s">
        <v>1783</v>
      </c>
      <c r="H707" s="4" t="str">
        <f t="shared" si="180"/>
        <v/>
      </c>
      <c r="I707" s="4" t="str">
        <f>IF(RIGHT(B707,1)="M",IF(AND(H707=1,E707="RFS",D707=INDEX('Station Depth Averages'!$A$3:$B$84,MATCH(B707,'Station Depth Averages'!$A$3:$A$84,0),2)),1,""),IF(AND(H707=1,OR(D707="SYN",D707="SRF",D707="MID")),1,IF(AND(H707=1,OR(E708="FDn",E708="LDn")),1,IF(AND(H707=1,OR(E707="FDn",E707="LDn")),1,""))))</f>
        <v/>
      </c>
      <c r="J707" s="4" t="str">
        <f t="shared" si="181"/>
        <v/>
      </c>
      <c r="K707" s="4" t="str">
        <f t="shared" si="182"/>
        <v/>
      </c>
      <c r="L707" s="4" t="str">
        <f t="shared" si="183"/>
        <v/>
      </c>
      <c r="M707" s="4" t="str">
        <f t="shared" si="184"/>
        <v/>
      </c>
      <c r="N707" s="4" t="str">
        <f t="shared" si="185"/>
        <v/>
      </c>
      <c r="O707" s="4" t="str">
        <f t="shared" si="186"/>
        <v/>
      </c>
      <c r="P707" s="4" t="str">
        <f t="shared" si="187"/>
        <v/>
      </c>
      <c r="Q707" s="4" t="str">
        <f t="shared" si="188"/>
        <v/>
      </c>
      <c r="R707" s="4" t="str">
        <f t="shared" si="189"/>
        <v/>
      </c>
      <c r="S707" s="4" t="str">
        <f t="shared" si="190"/>
        <v/>
      </c>
      <c r="T707" s="4" t="str">
        <f t="shared" si="191"/>
        <v/>
      </c>
      <c r="U707">
        <f>IF(VLOOKUP(C707,'QA Table'!$Y$5:$Y$20,1,TRUE)=C707,1,0)</f>
        <v>0</v>
      </c>
      <c r="V707" t="str">
        <f t="shared" si="192"/>
        <v/>
      </c>
      <c r="W707" t="str">
        <f t="shared" si="193"/>
        <v/>
      </c>
      <c r="X707" t="str">
        <f t="shared" si="194"/>
        <v/>
      </c>
      <c r="Y707">
        <f t="shared" si="195"/>
        <v>0</v>
      </c>
      <c r="AA707" t="str">
        <f t="shared" si="196"/>
        <v/>
      </c>
    </row>
    <row r="708" spans="1:27" x14ac:dyDescent="0.2">
      <c r="A708" t="s">
        <v>46</v>
      </c>
      <c r="B708" t="s">
        <v>80</v>
      </c>
      <c r="C708" t="s">
        <v>1841</v>
      </c>
      <c r="D708" t="s">
        <v>119</v>
      </c>
      <c r="E708" t="s">
        <v>3</v>
      </c>
      <c r="F708" t="s">
        <v>1837</v>
      </c>
      <c r="G708" t="s">
        <v>1783</v>
      </c>
      <c r="H708" s="4">
        <f t="shared" si="180"/>
        <v>1</v>
      </c>
      <c r="I708" s="4">
        <f>IF(RIGHT(B708,1)="M",IF(AND(H708=1,E708="RFS",D708=INDEX('Station Depth Averages'!$A$3:$B$84,MATCH(B708,'Station Depth Averages'!$A$3:$A$84,0),2)),1,""),IF(AND(H708=1,OR(D708="SYN",D708="SRF",D708="MID")),1,IF(AND(H708=1,OR(E709="FDn",E709="LDn")),1,IF(AND(H708=1,OR(E708="FDn",E708="LDn")),1,""))))</f>
        <v>1</v>
      </c>
      <c r="J708" s="4">
        <f t="shared" si="181"/>
        <v>1</v>
      </c>
      <c r="K708" s="4" t="str">
        <f t="shared" si="182"/>
        <v/>
      </c>
      <c r="L708" s="4" t="str">
        <f t="shared" si="183"/>
        <v/>
      </c>
      <c r="M708" s="4" t="str">
        <f t="shared" si="184"/>
        <v/>
      </c>
      <c r="N708" s="4" t="str">
        <f t="shared" si="185"/>
        <v/>
      </c>
      <c r="O708" s="4" t="str">
        <f t="shared" si="186"/>
        <v/>
      </c>
      <c r="P708" s="4" t="str">
        <f t="shared" si="187"/>
        <v/>
      </c>
      <c r="Q708" s="4" t="str">
        <f t="shared" si="188"/>
        <v/>
      </c>
      <c r="R708" s="4" t="str">
        <f t="shared" si="189"/>
        <v/>
      </c>
      <c r="S708" s="4" t="str">
        <f t="shared" si="190"/>
        <v/>
      </c>
      <c r="T708" s="4" t="str">
        <f t="shared" si="191"/>
        <v/>
      </c>
      <c r="U708">
        <f>IF(VLOOKUP(C708,'QA Table'!$Y$5:$Y$20,1,TRUE)=C708,1,0)</f>
        <v>0</v>
      </c>
      <c r="V708" t="str">
        <f t="shared" si="192"/>
        <v/>
      </c>
      <c r="W708" t="str">
        <f t="shared" si="193"/>
        <v/>
      </c>
      <c r="X708">
        <f t="shared" si="194"/>
        <v>3</v>
      </c>
      <c r="Y708">
        <f t="shared" si="195"/>
        <v>0</v>
      </c>
      <c r="AA708">
        <f t="shared" si="196"/>
        <v>1</v>
      </c>
    </row>
    <row r="709" spans="1:27" x14ac:dyDescent="0.2">
      <c r="A709" t="s">
        <v>46</v>
      </c>
      <c r="B709" t="s">
        <v>80</v>
      </c>
      <c r="C709" t="s">
        <v>1842</v>
      </c>
      <c r="D709" t="s">
        <v>5</v>
      </c>
      <c r="E709" t="s">
        <v>3</v>
      </c>
      <c r="F709" t="s">
        <v>1837</v>
      </c>
      <c r="G709" t="s">
        <v>1783</v>
      </c>
      <c r="H709" s="4">
        <f t="shared" si="180"/>
        <v>1</v>
      </c>
      <c r="I709" s="4" t="str">
        <f>IF(RIGHT(B709,1)="M",IF(AND(H709=1,E709="RFS",D709=INDEX('Station Depth Averages'!$A$3:$B$84,MATCH(B709,'Station Depth Averages'!$A$3:$A$84,0),2)),1,""),IF(AND(H709=1,OR(D709="SYN",D709="SRF",D709="MID")),1,IF(AND(H709=1,OR(E710="FDn",E710="LDn")),1,IF(AND(H709=1,OR(E709="FDn",E709="LDn")),1,""))))</f>
        <v/>
      </c>
      <c r="J709" s="4">
        <f t="shared" si="181"/>
        <v>1</v>
      </c>
      <c r="K709" s="4" t="str">
        <f t="shared" si="182"/>
        <v/>
      </c>
      <c r="L709" s="4" t="str">
        <f t="shared" si="183"/>
        <v/>
      </c>
      <c r="M709" s="4" t="str">
        <f t="shared" si="184"/>
        <v/>
      </c>
      <c r="N709" s="4" t="str">
        <f t="shared" si="185"/>
        <v/>
      </c>
      <c r="O709" s="4" t="str">
        <f t="shared" si="186"/>
        <v/>
      </c>
      <c r="P709" s="4" t="str">
        <f t="shared" si="187"/>
        <v/>
      </c>
      <c r="Q709" s="4" t="str">
        <f t="shared" si="188"/>
        <v/>
      </c>
      <c r="R709" s="4" t="str">
        <f t="shared" si="189"/>
        <v/>
      </c>
      <c r="S709" s="4" t="str">
        <f t="shared" si="190"/>
        <v/>
      </c>
      <c r="T709" s="4" t="str">
        <f t="shared" si="191"/>
        <v/>
      </c>
      <c r="U709">
        <f>IF(VLOOKUP(C709,'QA Table'!$Y$5:$Y$20,1,TRUE)=C709,1,0)</f>
        <v>0</v>
      </c>
      <c r="V709" t="str">
        <f t="shared" si="192"/>
        <v/>
      </c>
      <c r="W709" t="str">
        <f t="shared" si="193"/>
        <v/>
      </c>
      <c r="X709">
        <f t="shared" si="194"/>
        <v>3</v>
      </c>
      <c r="Y709">
        <f t="shared" si="195"/>
        <v>0</v>
      </c>
      <c r="AA709">
        <f t="shared" si="196"/>
        <v>1</v>
      </c>
    </row>
    <row r="710" spans="1:27" x14ac:dyDescent="0.2">
      <c r="A710" t="s">
        <v>46</v>
      </c>
      <c r="B710" t="s">
        <v>80</v>
      </c>
      <c r="C710" t="s">
        <v>1843</v>
      </c>
      <c r="D710" t="s">
        <v>6</v>
      </c>
      <c r="E710" t="s">
        <v>3</v>
      </c>
      <c r="F710" t="s">
        <v>1837</v>
      </c>
      <c r="G710" t="s">
        <v>1783</v>
      </c>
      <c r="H710" s="4">
        <f t="shared" si="180"/>
        <v>1</v>
      </c>
      <c r="I710" s="4" t="str">
        <f>IF(RIGHT(B710,1)="M",IF(AND(H710=1,E710="RFS",D710=INDEX('Station Depth Averages'!$A$3:$B$84,MATCH(B710,'Station Depth Averages'!$A$3:$A$84,0),2)),1,""),IF(AND(H710=1,OR(D710="SYN",D710="SRF",D710="MID")),1,IF(AND(H710=1,OR(E711="FDn",E711="LDn")),1,IF(AND(H710=1,OR(E710="FDn",E710="LDn")),1,""))))</f>
        <v/>
      </c>
      <c r="J710" s="4">
        <f t="shared" si="181"/>
        <v>1</v>
      </c>
      <c r="K710" s="4" t="str">
        <f t="shared" si="182"/>
        <v/>
      </c>
      <c r="L710" s="4" t="str">
        <f t="shared" si="183"/>
        <v/>
      </c>
      <c r="M710" s="4" t="str">
        <f t="shared" si="184"/>
        <v/>
      </c>
      <c r="N710" s="4" t="str">
        <f t="shared" si="185"/>
        <v/>
      </c>
      <c r="O710" s="4" t="str">
        <f t="shared" si="186"/>
        <v/>
      </c>
      <c r="P710" s="4" t="str">
        <f t="shared" si="187"/>
        <v/>
      </c>
      <c r="Q710" s="4" t="str">
        <f t="shared" si="188"/>
        <v/>
      </c>
      <c r="R710" s="4" t="str">
        <f t="shared" si="189"/>
        <v/>
      </c>
      <c r="S710" s="4" t="str">
        <f t="shared" si="190"/>
        <v/>
      </c>
      <c r="T710" s="4" t="str">
        <f t="shared" si="191"/>
        <v/>
      </c>
      <c r="U710">
        <f>IF(VLOOKUP(C710,'QA Table'!$Y$5:$Y$20,1,TRUE)=C710,1,0)</f>
        <v>0</v>
      </c>
      <c r="V710" t="str">
        <f t="shared" si="192"/>
        <v/>
      </c>
      <c r="W710" t="str">
        <f t="shared" si="193"/>
        <v/>
      </c>
      <c r="X710">
        <f t="shared" si="194"/>
        <v>3</v>
      </c>
      <c r="Y710">
        <f t="shared" si="195"/>
        <v>0</v>
      </c>
      <c r="AA710">
        <f t="shared" si="196"/>
        <v>1</v>
      </c>
    </row>
    <row r="711" spans="1:27" x14ac:dyDescent="0.2">
      <c r="A711" t="s">
        <v>46</v>
      </c>
      <c r="B711" t="s">
        <v>80</v>
      </c>
      <c r="C711" t="s">
        <v>1844</v>
      </c>
      <c r="D711" t="s">
        <v>8</v>
      </c>
      <c r="E711" t="s">
        <v>3</v>
      </c>
      <c r="F711" t="s">
        <v>1837</v>
      </c>
      <c r="G711" t="s">
        <v>1783</v>
      </c>
      <c r="H711" s="4">
        <f t="shared" ref="H711:H774" si="197">IF(OR(RIGHT(C711,1)="A",RIGHT(C711,1)="B",RIGHT(C711,1)="C",D711="Benthos",D711="Sediment",D711="Sediments",D711="D100",D711="D20",D711="Mysis",E711="FD1",E711="LD1"),"",1)</f>
        <v>1</v>
      </c>
      <c r="I711" s="4" t="str">
        <f>IF(RIGHT(B711,1)="M",IF(AND(H711=1,E711="RFS",D711=INDEX('Station Depth Averages'!$A$3:$B$84,MATCH(B711,'Station Depth Averages'!$A$3:$A$84,0),2)),1,""),IF(AND(H711=1,OR(D711="SYN",D711="SRF",D711="MID")),1,IF(AND(H711=1,OR(E712="FDn",E712="LDn")),1,IF(AND(H711=1,OR(E711="FDn",E711="LDn")),1,""))))</f>
        <v/>
      </c>
      <c r="J711" s="4" t="str">
        <f t="shared" ref="J711:J774" si="198">IF(OR(D711="INT",D711="Benthos",D711="D100",D711="D20",E711="LDn",D711="mysis",D711="sediment",D711="sediments",OR(RIGHT(C711,1)="A",RIGHT(C711,1)="B",RIGHT(C711,1)="C",E711="FD1",E711="LD1")),"",1)</f>
        <v/>
      </c>
      <c r="K711" s="4">
        <f t="shared" ref="K711:K774" si="199">IF(D711="INT",1,"")</f>
        <v>1</v>
      </c>
      <c r="L711" s="4" t="str">
        <f t="shared" ref="L711:L774" si="200">IF(AND(LEFT(B711,1)="E",A711&lt;&gt;"E",RIGHT(B711,1)="M"),IF(AND(A711="w",D711="MID",E711="RFS"),1,IF(AND(A711="C",D711="5M",E711="RFS"),1,"")),IF(AND(RIGHT(B711,1)="M",D711="10M",E711="RFS"),1,""))</f>
        <v/>
      </c>
      <c r="M711" s="4" t="str">
        <f t="shared" ref="M711:M774" si="201">IF(L711=1,1,"")</f>
        <v/>
      </c>
      <c r="N711" s="4" t="str">
        <f t="shared" ref="N711:N774" si="202">IF(M711=1,1,"")</f>
        <v/>
      </c>
      <c r="O711" s="4" t="str">
        <f t="shared" ref="O711:O774" si="203">IF(N711=1,1,"")</f>
        <v/>
      </c>
      <c r="P711" s="4" t="str">
        <f t="shared" ref="P711:P774" si="204">IF(O711=1,1,"")</f>
        <v/>
      </c>
      <c r="Q711" s="4">
        <f t="shared" ref="Q711:Q774" si="205">IF(AND(OR(D711="INT",D711="DCL"),OR(LEFT(B711,2)="SU",LEFT(B711,2)="HU",LEFT(B711,2)="MI",LEFT(B711,2)="CS",LEFT(B711,2)="ON")),2,IF(AND(OR(D711="INT",D711="DCL"),LEFT(B711,2)="ER"),1,""))</f>
        <v>2</v>
      </c>
      <c r="R711" s="4" t="str">
        <f t="shared" ref="R711:R774" si="206">IF(D711="benthos",1,"")</f>
        <v/>
      </c>
      <c r="S711" s="4" t="str">
        <f t="shared" ref="S711:S774" si="207">IF(D711="mysis",1,"")</f>
        <v/>
      </c>
      <c r="T711" s="4" t="str">
        <f t="shared" ref="T711:T774" si="208">IF(AND(OR(D711="d20",D711="d100"),LEFT(B711,2)="SU"),2,IF(OR(D711="D20",D711="d100"),1,""))</f>
        <v/>
      </c>
      <c r="U711">
        <f>IF(VLOOKUP(C711,'QA Table'!$Y$5:$Y$20,1,TRUE)=C711,1,0)</f>
        <v>0</v>
      </c>
      <c r="V711" t="str">
        <f t="shared" ref="V711:V774" si="209">IF(AND(D711="Sediment",RIGHT(C711,1)="8"),1,"")</f>
        <v/>
      </c>
      <c r="W711" t="str">
        <f t="shared" ref="W711:W774" si="210">IF(AND(D711="Sediment",RIGHT(C711,1)="9"),1,"")</f>
        <v/>
      </c>
      <c r="X711">
        <f t="shared" ref="X711:X774" si="211">IF(AND(H711=1,OR(LEFT(B711,1)="M",LEFT(B711,1)="E",LEFT(B711,1)="O",LEFT(B711,1)="C")),4,IF(AND(H711=1,OR(LEFT(B711,1)="H",LEFT(B711,1)="S")),3,""))</f>
        <v>3</v>
      </c>
      <c r="Y711">
        <f t="shared" ref="Y711:Y774" si="212">IF(U711=1,1,IF(AND(E711="LD1",U710=1),1,IF(AND(E711="FD1",U709=1),1,0)))</f>
        <v>0</v>
      </c>
      <c r="AA711">
        <f t="shared" ref="AA711:AA774" si="213">IF(X711&lt;&gt;"",1,"")</f>
        <v>1</v>
      </c>
    </row>
    <row r="712" spans="1:27" x14ac:dyDescent="0.2">
      <c r="A712" t="s">
        <v>46</v>
      </c>
      <c r="B712" t="s">
        <v>80</v>
      </c>
      <c r="C712" t="s">
        <v>1845</v>
      </c>
      <c r="D712" t="s">
        <v>9</v>
      </c>
      <c r="E712" t="s">
        <v>3</v>
      </c>
      <c r="F712" t="s">
        <v>1837</v>
      </c>
      <c r="G712" t="s">
        <v>1783</v>
      </c>
      <c r="H712" s="4" t="str">
        <f t="shared" si="197"/>
        <v/>
      </c>
      <c r="I712" s="4" t="str">
        <f>IF(RIGHT(B712,1)="M",IF(AND(H712=1,E712="RFS",D712=INDEX('Station Depth Averages'!$A$3:$B$84,MATCH(B712,'Station Depth Averages'!$A$3:$A$84,0),2)),1,""),IF(AND(H712=1,OR(D712="SYN",D712="SRF",D712="MID")),1,IF(AND(H712=1,OR(E713="FDn",E713="LDn")),1,IF(AND(H712=1,OR(E712="FDn",E712="LDn")),1,""))))</f>
        <v/>
      </c>
      <c r="J712" s="4" t="str">
        <f t="shared" si="198"/>
        <v/>
      </c>
      <c r="K712" s="4" t="str">
        <f t="shared" si="199"/>
        <v/>
      </c>
      <c r="L712" s="4" t="str">
        <f t="shared" si="200"/>
        <v/>
      </c>
      <c r="M712" s="4" t="str">
        <f t="shared" si="201"/>
        <v/>
      </c>
      <c r="N712" s="4" t="str">
        <f t="shared" si="202"/>
        <v/>
      </c>
      <c r="O712" s="4" t="str">
        <f t="shared" si="203"/>
        <v/>
      </c>
      <c r="P712" s="4" t="str">
        <f t="shared" si="204"/>
        <v/>
      </c>
      <c r="Q712" s="4" t="str">
        <f t="shared" si="205"/>
        <v/>
      </c>
      <c r="R712" s="4" t="str">
        <f t="shared" si="206"/>
        <v/>
      </c>
      <c r="S712" s="4" t="str">
        <f t="shared" si="207"/>
        <v/>
      </c>
      <c r="T712" s="4">
        <f t="shared" si="208"/>
        <v>2</v>
      </c>
      <c r="U712">
        <f>IF(VLOOKUP(C712,'QA Table'!$Y$5:$Y$20,1,TRUE)=C712,1,0)</f>
        <v>0</v>
      </c>
      <c r="V712" t="str">
        <f t="shared" si="209"/>
        <v/>
      </c>
      <c r="W712" t="str">
        <f t="shared" si="210"/>
        <v/>
      </c>
      <c r="X712" t="str">
        <f t="shared" si="211"/>
        <v/>
      </c>
      <c r="Y712">
        <f t="shared" si="212"/>
        <v>0</v>
      </c>
      <c r="AA712" t="str">
        <f t="shared" si="213"/>
        <v/>
      </c>
    </row>
    <row r="713" spans="1:27" x14ac:dyDescent="0.2">
      <c r="A713" t="s">
        <v>46</v>
      </c>
      <c r="B713" t="s">
        <v>80</v>
      </c>
      <c r="C713" t="s">
        <v>1846</v>
      </c>
      <c r="D713" t="s">
        <v>9</v>
      </c>
      <c r="E713" t="s">
        <v>3</v>
      </c>
      <c r="F713" t="s">
        <v>1837</v>
      </c>
      <c r="G713" t="s">
        <v>1783</v>
      </c>
      <c r="H713" s="4" t="str">
        <f t="shared" si="197"/>
        <v/>
      </c>
      <c r="I713" s="4" t="str">
        <f>IF(RIGHT(B713,1)="M",IF(AND(H713=1,E713="RFS",D713=INDEX('Station Depth Averages'!$A$3:$B$84,MATCH(B713,'Station Depth Averages'!$A$3:$A$84,0),2)),1,""),IF(AND(H713=1,OR(D713="SYN",D713="SRF",D713="MID")),1,IF(AND(H713=1,OR(E714="FDn",E714="LDn")),1,IF(AND(H713=1,OR(E713="FDn",E713="LDn")),1,""))))</f>
        <v/>
      </c>
      <c r="J713" s="4" t="str">
        <f t="shared" si="198"/>
        <v/>
      </c>
      <c r="K713" s="4" t="str">
        <f t="shared" si="199"/>
        <v/>
      </c>
      <c r="L713" s="4" t="str">
        <f t="shared" si="200"/>
        <v/>
      </c>
      <c r="M713" s="4" t="str">
        <f t="shared" si="201"/>
        <v/>
      </c>
      <c r="N713" s="4" t="str">
        <f t="shared" si="202"/>
        <v/>
      </c>
      <c r="O713" s="4" t="str">
        <f t="shared" si="203"/>
        <v/>
      </c>
      <c r="P713" s="4" t="str">
        <f t="shared" si="204"/>
        <v/>
      </c>
      <c r="Q713" s="4" t="str">
        <f t="shared" si="205"/>
        <v/>
      </c>
      <c r="R713" s="4" t="str">
        <f t="shared" si="206"/>
        <v/>
      </c>
      <c r="S713" s="4" t="str">
        <f t="shared" si="207"/>
        <v/>
      </c>
      <c r="T713" s="4">
        <f t="shared" si="208"/>
        <v>2</v>
      </c>
      <c r="U713">
        <f>IF(VLOOKUP(C713,'QA Table'!$Y$5:$Y$20,1,TRUE)=C713,1,0)</f>
        <v>0</v>
      </c>
      <c r="V713" t="str">
        <f t="shared" si="209"/>
        <v/>
      </c>
      <c r="W713" t="str">
        <f t="shared" si="210"/>
        <v/>
      </c>
      <c r="X713" t="str">
        <f t="shared" si="211"/>
        <v/>
      </c>
      <c r="Y713">
        <f t="shared" si="212"/>
        <v>0</v>
      </c>
      <c r="AA713" t="str">
        <f t="shared" si="213"/>
        <v/>
      </c>
    </row>
    <row r="714" spans="1:27" x14ac:dyDescent="0.2">
      <c r="A714" t="s">
        <v>46</v>
      </c>
      <c r="B714" t="s">
        <v>80</v>
      </c>
      <c r="C714" t="s">
        <v>1847</v>
      </c>
      <c r="D714" t="s">
        <v>10</v>
      </c>
      <c r="E714" t="s">
        <v>3</v>
      </c>
      <c r="F714" t="s">
        <v>1837</v>
      </c>
      <c r="G714" t="s">
        <v>1783</v>
      </c>
      <c r="H714" s="4" t="str">
        <f t="shared" si="197"/>
        <v/>
      </c>
      <c r="I714" s="4" t="str">
        <f>IF(RIGHT(B714,1)="M",IF(AND(H714=1,E714="RFS",D714=INDEX('Station Depth Averages'!$A$3:$B$84,MATCH(B714,'Station Depth Averages'!$A$3:$A$84,0),2)),1,""),IF(AND(H714=1,OR(D714="SYN",D714="SRF",D714="MID")),1,IF(AND(H714=1,OR(E715="FDn",E715="LDn")),1,IF(AND(H714=1,OR(E714="FDn",E714="LDn")),1,""))))</f>
        <v/>
      </c>
      <c r="J714" s="4" t="str">
        <f t="shared" si="198"/>
        <v/>
      </c>
      <c r="K714" s="4" t="str">
        <f t="shared" si="199"/>
        <v/>
      </c>
      <c r="L714" s="4" t="str">
        <f t="shared" si="200"/>
        <v/>
      </c>
      <c r="M714" s="4" t="str">
        <f t="shared" si="201"/>
        <v/>
      </c>
      <c r="N714" s="4" t="str">
        <f t="shared" si="202"/>
        <v/>
      </c>
      <c r="O714" s="4" t="str">
        <f t="shared" si="203"/>
        <v/>
      </c>
      <c r="P714" s="4" t="str">
        <f t="shared" si="204"/>
        <v/>
      </c>
      <c r="Q714" s="4" t="str">
        <f t="shared" si="205"/>
        <v/>
      </c>
      <c r="R714" s="4" t="str">
        <f t="shared" si="206"/>
        <v/>
      </c>
      <c r="S714" s="4" t="str">
        <f t="shared" si="207"/>
        <v/>
      </c>
      <c r="T714" s="4">
        <f t="shared" si="208"/>
        <v>2</v>
      </c>
      <c r="U714">
        <f>IF(VLOOKUP(C714,'QA Table'!$Y$5:$Y$20,1,TRUE)=C714,1,0)</f>
        <v>0</v>
      </c>
      <c r="V714" t="str">
        <f t="shared" si="209"/>
        <v/>
      </c>
      <c r="W714" t="str">
        <f t="shared" si="210"/>
        <v/>
      </c>
      <c r="X714" t="str">
        <f t="shared" si="211"/>
        <v/>
      </c>
      <c r="Y714">
        <f t="shared" si="212"/>
        <v>0</v>
      </c>
      <c r="AA714" t="str">
        <f t="shared" si="213"/>
        <v/>
      </c>
    </row>
    <row r="715" spans="1:27" x14ac:dyDescent="0.2">
      <c r="A715" t="s">
        <v>46</v>
      </c>
      <c r="B715" t="s">
        <v>80</v>
      </c>
      <c r="C715" t="s">
        <v>1848</v>
      </c>
      <c r="D715" t="s">
        <v>1034</v>
      </c>
      <c r="E715" t="s">
        <v>3</v>
      </c>
      <c r="F715" t="s">
        <v>1837</v>
      </c>
      <c r="G715" t="s">
        <v>1783</v>
      </c>
      <c r="H715" s="4" t="str">
        <f t="shared" si="197"/>
        <v/>
      </c>
      <c r="I715" s="4" t="str">
        <f>IF(RIGHT(B715,1)="M",IF(AND(H715=1,E715="RFS",D715=INDEX('Station Depth Averages'!$A$3:$B$84,MATCH(B715,'Station Depth Averages'!$A$3:$A$84,0),2)),1,""),IF(AND(H715=1,OR(D715="SYN",D715="SRF",D715="MID")),1,IF(AND(H715=1,OR(E716="FDn",E716="LDn")),1,IF(AND(H715=1,OR(E715="FDn",E715="LDn")),1,""))))</f>
        <v/>
      </c>
      <c r="J715" s="4" t="str">
        <f t="shared" si="198"/>
        <v/>
      </c>
      <c r="K715" s="4" t="str">
        <f t="shared" si="199"/>
        <v/>
      </c>
      <c r="L715" s="4" t="str">
        <f t="shared" si="200"/>
        <v/>
      </c>
      <c r="M715" s="4" t="str">
        <f t="shared" si="201"/>
        <v/>
      </c>
      <c r="N715" s="4" t="str">
        <f t="shared" si="202"/>
        <v/>
      </c>
      <c r="O715" s="4" t="str">
        <f t="shared" si="203"/>
        <v/>
      </c>
      <c r="P715" s="4" t="str">
        <f t="shared" si="204"/>
        <v/>
      </c>
      <c r="Q715" s="4" t="str">
        <f t="shared" si="205"/>
        <v/>
      </c>
      <c r="R715" s="4" t="str">
        <f t="shared" si="206"/>
        <v/>
      </c>
      <c r="S715" s="4">
        <f t="shared" si="207"/>
        <v>1</v>
      </c>
      <c r="T715" s="4" t="str">
        <f t="shared" si="208"/>
        <v/>
      </c>
      <c r="U715">
        <f>IF(VLOOKUP(C715,'QA Table'!$Y$5:$Y$20,1,TRUE)=C715,1,0)</f>
        <v>0</v>
      </c>
      <c r="V715" t="str">
        <f t="shared" si="209"/>
        <v/>
      </c>
      <c r="W715" t="str">
        <f t="shared" si="210"/>
        <v/>
      </c>
      <c r="X715" t="str">
        <f t="shared" si="211"/>
        <v/>
      </c>
      <c r="Y715">
        <f t="shared" si="212"/>
        <v>0</v>
      </c>
      <c r="AA715" t="str">
        <f t="shared" si="213"/>
        <v/>
      </c>
    </row>
    <row r="716" spans="1:27" x14ac:dyDescent="0.2">
      <c r="A716" t="s">
        <v>46</v>
      </c>
      <c r="B716" t="s">
        <v>80</v>
      </c>
      <c r="C716" t="s">
        <v>1849</v>
      </c>
      <c r="D716" t="s">
        <v>1034</v>
      </c>
      <c r="E716" t="s">
        <v>19</v>
      </c>
      <c r="F716" t="s">
        <v>1837</v>
      </c>
      <c r="G716" t="s">
        <v>1783</v>
      </c>
      <c r="H716" s="4" t="str">
        <f t="shared" si="197"/>
        <v/>
      </c>
      <c r="I716" s="4" t="str">
        <f>IF(RIGHT(B716,1)="M",IF(AND(H716=1,E716="RFS",D716=INDEX('Station Depth Averages'!$A$3:$B$84,MATCH(B716,'Station Depth Averages'!$A$3:$A$84,0),2)),1,""),IF(AND(H716=1,OR(D716="SYN",D716="SRF",D716="MID")),1,IF(AND(H716=1,OR(E717="FDn",E717="LDn")),1,IF(AND(H716=1,OR(E716="FDn",E716="LDn")),1,""))))</f>
        <v/>
      </c>
      <c r="J716" s="4" t="str">
        <f t="shared" si="198"/>
        <v/>
      </c>
      <c r="K716" s="4" t="str">
        <f t="shared" si="199"/>
        <v/>
      </c>
      <c r="L716" s="4" t="str">
        <f t="shared" si="200"/>
        <v/>
      </c>
      <c r="M716" s="4" t="str">
        <f t="shared" si="201"/>
        <v/>
      </c>
      <c r="N716" s="4" t="str">
        <f t="shared" si="202"/>
        <v/>
      </c>
      <c r="O716" s="4" t="str">
        <f t="shared" si="203"/>
        <v/>
      </c>
      <c r="P716" s="4" t="str">
        <f t="shared" si="204"/>
        <v/>
      </c>
      <c r="Q716" s="4" t="str">
        <f t="shared" si="205"/>
        <v/>
      </c>
      <c r="R716" s="4" t="str">
        <f t="shared" si="206"/>
        <v/>
      </c>
      <c r="S716" s="4">
        <f t="shared" si="207"/>
        <v>1</v>
      </c>
      <c r="T716" s="4" t="str">
        <f t="shared" si="208"/>
        <v/>
      </c>
      <c r="U716">
        <f>IF(VLOOKUP(C716,'QA Table'!$Y$5:$Y$20,1,TRUE)=C716,1,0)</f>
        <v>0</v>
      </c>
      <c r="V716" t="str">
        <f t="shared" si="209"/>
        <v/>
      </c>
      <c r="W716" t="str">
        <f t="shared" si="210"/>
        <v/>
      </c>
      <c r="X716" t="str">
        <f t="shared" si="211"/>
        <v/>
      </c>
      <c r="Y716">
        <f t="shared" si="212"/>
        <v>0</v>
      </c>
      <c r="AA716" t="str">
        <f t="shared" si="213"/>
        <v/>
      </c>
    </row>
    <row r="717" spans="1:27" x14ac:dyDescent="0.2">
      <c r="A717" t="s">
        <v>23</v>
      </c>
      <c r="B717" t="s">
        <v>81</v>
      </c>
      <c r="C717" t="s">
        <v>1850</v>
      </c>
      <c r="D717" t="s">
        <v>2</v>
      </c>
      <c r="E717" t="s">
        <v>3</v>
      </c>
      <c r="F717" t="s">
        <v>1851</v>
      </c>
      <c r="G717" t="s">
        <v>1783</v>
      </c>
      <c r="H717" s="4">
        <f t="shared" si="197"/>
        <v>1</v>
      </c>
      <c r="I717" s="4">
        <f>IF(RIGHT(B717,1)="M",IF(AND(H717=1,E717="RFS",D717=INDEX('Station Depth Averages'!$A$3:$B$84,MATCH(B717,'Station Depth Averages'!$A$3:$A$84,0),2)),1,""),IF(AND(H717=1,OR(D717="SYN",D717="SRF",D717="MID")),1,IF(AND(H717=1,OR(E718="FDn",E718="LDn")),1,IF(AND(H717=1,OR(E717="FDn",E717="LDn")),1,""))))</f>
        <v>1</v>
      </c>
      <c r="J717" s="4">
        <f t="shared" si="198"/>
        <v>1</v>
      </c>
      <c r="K717" s="4" t="str">
        <f t="shared" si="199"/>
        <v/>
      </c>
      <c r="L717" s="4" t="str">
        <f t="shared" si="200"/>
        <v/>
      </c>
      <c r="M717" s="4" t="str">
        <f t="shared" si="201"/>
        <v/>
      </c>
      <c r="N717" s="4" t="str">
        <f t="shared" si="202"/>
        <v/>
      </c>
      <c r="O717" s="4" t="str">
        <f t="shared" si="203"/>
        <v/>
      </c>
      <c r="P717" s="4" t="str">
        <f t="shared" si="204"/>
        <v/>
      </c>
      <c r="Q717" s="4" t="str">
        <f t="shared" si="205"/>
        <v/>
      </c>
      <c r="R717" s="4" t="str">
        <f t="shared" si="206"/>
        <v/>
      </c>
      <c r="S717" s="4" t="str">
        <f t="shared" si="207"/>
        <v/>
      </c>
      <c r="T717" s="4" t="str">
        <f t="shared" si="208"/>
        <v/>
      </c>
      <c r="U717">
        <f>IF(VLOOKUP(C717,'QA Table'!$Y$5:$Y$20,1,TRUE)=C717,1,0)</f>
        <v>0</v>
      </c>
      <c r="V717" t="str">
        <f t="shared" si="209"/>
        <v/>
      </c>
      <c r="W717" t="str">
        <f t="shared" si="210"/>
        <v/>
      </c>
      <c r="X717">
        <f t="shared" si="211"/>
        <v>3</v>
      </c>
      <c r="Y717">
        <f t="shared" si="212"/>
        <v>0</v>
      </c>
      <c r="AA717">
        <f t="shared" si="213"/>
        <v>1</v>
      </c>
    </row>
    <row r="718" spans="1:27" x14ac:dyDescent="0.2">
      <c r="A718" t="s">
        <v>23</v>
      </c>
      <c r="B718" t="s">
        <v>81</v>
      </c>
      <c r="C718" t="s">
        <v>1852</v>
      </c>
      <c r="D718" t="s">
        <v>1050</v>
      </c>
      <c r="E718" t="s">
        <v>3</v>
      </c>
      <c r="F718" t="s">
        <v>1851</v>
      </c>
      <c r="G718" t="s">
        <v>1783</v>
      </c>
      <c r="H718" s="4" t="str">
        <f t="shared" si="197"/>
        <v/>
      </c>
      <c r="I718" s="4" t="str">
        <f>IF(RIGHT(B718,1)="M",IF(AND(H718=1,E718="RFS",D718=INDEX('Station Depth Averages'!$A$3:$B$84,MATCH(B718,'Station Depth Averages'!$A$3:$A$84,0),2)),1,""),IF(AND(H718=1,OR(D718="SYN",D718="SRF",D718="MID")),1,IF(AND(H718=1,OR(E719="FDn",E719="LDn")),1,IF(AND(H718=1,OR(E718="FDn",E718="LDn")),1,""))))</f>
        <v/>
      </c>
      <c r="J718" s="4" t="str">
        <f t="shared" si="198"/>
        <v/>
      </c>
      <c r="K718" s="4" t="str">
        <f t="shared" si="199"/>
        <v/>
      </c>
      <c r="L718" s="4" t="str">
        <f t="shared" si="200"/>
        <v/>
      </c>
      <c r="M718" s="4" t="str">
        <f t="shared" si="201"/>
        <v/>
      </c>
      <c r="N718" s="4" t="str">
        <f t="shared" si="202"/>
        <v/>
      </c>
      <c r="O718" s="4" t="str">
        <f t="shared" si="203"/>
        <v/>
      </c>
      <c r="P718" s="4" t="str">
        <f t="shared" si="204"/>
        <v/>
      </c>
      <c r="Q718" s="4" t="str">
        <f t="shared" si="205"/>
        <v/>
      </c>
      <c r="R718" s="4" t="str">
        <f t="shared" si="206"/>
        <v/>
      </c>
      <c r="S718" s="4" t="str">
        <f t="shared" si="207"/>
        <v/>
      </c>
      <c r="T718" s="4" t="str">
        <f t="shared" si="208"/>
        <v/>
      </c>
      <c r="U718">
        <f>IF(VLOOKUP(C718,'QA Table'!$Y$5:$Y$20,1,TRUE)=C718,1,0)</f>
        <v>0</v>
      </c>
      <c r="V718" t="str">
        <f t="shared" si="209"/>
        <v/>
      </c>
      <c r="W718" t="str">
        <f t="shared" si="210"/>
        <v/>
      </c>
      <c r="X718" t="str">
        <f t="shared" si="211"/>
        <v/>
      </c>
      <c r="Y718">
        <f t="shared" si="212"/>
        <v>0</v>
      </c>
      <c r="AA718" t="str">
        <f t="shared" si="213"/>
        <v/>
      </c>
    </row>
    <row r="719" spans="1:27" x14ac:dyDescent="0.2">
      <c r="A719" t="s">
        <v>23</v>
      </c>
      <c r="B719" t="s">
        <v>81</v>
      </c>
      <c r="C719" t="s">
        <v>1853</v>
      </c>
      <c r="D719" t="s">
        <v>4</v>
      </c>
      <c r="E719" t="s">
        <v>3</v>
      </c>
      <c r="F719" t="s">
        <v>1851</v>
      </c>
      <c r="G719" t="s">
        <v>1783</v>
      </c>
      <c r="H719" s="4" t="str">
        <f t="shared" si="197"/>
        <v/>
      </c>
      <c r="I719" s="4" t="str">
        <f>IF(RIGHT(B719,1)="M",IF(AND(H719=1,E719="RFS",D719=INDEX('Station Depth Averages'!$A$3:$B$84,MATCH(B719,'Station Depth Averages'!$A$3:$A$84,0),2)),1,""),IF(AND(H719=1,OR(D719="SYN",D719="SRF",D719="MID")),1,IF(AND(H719=1,OR(E720="FDn",E720="LDn")),1,IF(AND(H719=1,OR(E719="FDn",E719="LDn")),1,""))))</f>
        <v/>
      </c>
      <c r="J719" s="4" t="str">
        <f t="shared" si="198"/>
        <v/>
      </c>
      <c r="K719" s="4" t="str">
        <f t="shared" si="199"/>
        <v/>
      </c>
      <c r="L719" s="4" t="str">
        <f t="shared" si="200"/>
        <v/>
      </c>
      <c r="M719" s="4" t="str">
        <f t="shared" si="201"/>
        <v/>
      </c>
      <c r="N719" s="4" t="str">
        <f t="shared" si="202"/>
        <v/>
      </c>
      <c r="O719" s="4" t="str">
        <f t="shared" si="203"/>
        <v/>
      </c>
      <c r="P719" s="4" t="str">
        <f t="shared" si="204"/>
        <v/>
      </c>
      <c r="Q719" s="4" t="str">
        <f t="shared" si="205"/>
        <v/>
      </c>
      <c r="R719" s="4" t="str">
        <f t="shared" si="206"/>
        <v/>
      </c>
      <c r="S719" s="4" t="str">
        <f t="shared" si="207"/>
        <v/>
      </c>
      <c r="T719" s="4" t="str">
        <f t="shared" si="208"/>
        <v/>
      </c>
      <c r="U719">
        <f>IF(VLOOKUP(C719,'QA Table'!$Y$5:$Y$20,1,TRUE)=C719,1,0)</f>
        <v>0</v>
      </c>
      <c r="V719" t="str">
        <f t="shared" si="209"/>
        <v/>
      </c>
      <c r="W719" t="str">
        <f t="shared" si="210"/>
        <v/>
      </c>
      <c r="X719" t="str">
        <f t="shared" si="211"/>
        <v/>
      </c>
      <c r="Y719">
        <f t="shared" si="212"/>
        <v>0</v>
      </c>
      <c r="AA719" t="str">
        <f t="shared" si="213"/>
        <v/>
      </c>
    </row>
    <row r="720" spans="1:27" x14ac:dyDescent="0.2">
      <c r="A720" t="s">
        <v>23</v>
      </c>
      <c r="B720" t="s">
        <v>81</v>
      </c>
      <c r="C720" t="s">
        <v>1854</v>
      </c>
      <c r="D720" t="s">
        <v>1051</v>
      </c>
      <c r="E720" t="s">
        <v>3</v>
      </c>
      <c r="F720" t="s">
        <v>1851</v>
      </c>
      <c r="G720" t="s">
        <v>1783</v>
      </c>
      <c r="H720" s="4" t="str">
        <f t="shared" si="197"/>
        <v/>
      </c>
      <c r="I720" s="4" t="str">
        <f>IF(RIGHT(B720,1)="M",IF(AND(H720=1,E720="RFS",D720=INDEX('Station Depth Averages'!$A$3:$B$84,MATCH(B720,'Station Depth Averages'!$A$3:$A$84,0),2)),1,""),IF(AND(H720=1,OR(D720="SYN",D720="SRF",D720="MID")),1,IF(AND(H720=1,OR(E721="FDn",E721="LDn")),1,IF(AND(H720=1,OR(E720="FDn",E720="LDn")),1,""))))</f>
        <v/>
      </c>
      <c r="J720" s="4" t="str">
        <f t="shared" si="198"/>
        <v/>
      </c>
      <c r="K720" s="4" t="str">
        <f t="shared" si="199"/>
        <v/>
      </c>
      <c r="L720" s="4" t="str">
        <f t="shared" si="200"/>
        <v/>
      </c>
      <c r="M720" s="4" t="str">
        <f t="shared" si="201"/>
        <v/>
      </c>
      <c r="N720" s="4" t="str">
        <f t="shared" si="202"/>
        <v/>
      </c>
      <c r="O720" s="4" t="str">
        <f t="shared" si="203"/>
        <v/>
      </c>
      <c r="P720" s="4" t="str">
        <f t="shared" si="204"/>
        <v/>
      </c>
      <c r="Q720" s="4" t="str">
        <f t="shared" si="205"/>
        <v/>
      </c>
      <c r="R720" s="4" t="str">
        <f t="shared" si="206"/>
        <v/>
      </c>
      <c r="S720" s="4" t="str">
        <f t="shared" si="207"/>
        <v/>
      </c>
      <c r="T720" s="4" t="str">
        <f t="shared" si="208"/>
        <v/>
      </c>
      <c r="U720">
        <f>IF(VLOOKUP(C720,'QA Table'!$Y$5:$Y$20,1,TRUE)=C720,1,0)</f>
        <v>0</v>
      </c>
      <c r="V720" t="str">
        <f t="shared" si="209"/>
        <v/>
      </c>
      <c r="W720" t="str">
        <f t="shared" si="210"/>
        <v/>
      </c>
      <c r="X720" t="str">
        <f t="shared" si="211"/>
        <v/>
      </c>
      <c r="Y720">
        <f t="shared" si="212"/>
        <v>0</v>
      </c>
      <c r="AA720" t="str">
        <f t="shared" si="213"/>
        <v/>
      </c>
    </row>
    <row r="721" spans="1:27" x14ac:dyDescent="0.2">
      <c r="A721" t="s">
        <v>23</v>
      </c>
      <c r="B721" t="s">
        <v>81</v>
      </c>
      <c r="C721" t="s">
        <v>1855</v>
      </c>
      <c r="D721" t="s">
        <v>119</v>
      </c>
      <c r="E721" t="s">
        <v>3</v>
      </c>
      <c r="F721" t="s">
        <v>1851</v>
      </c>
      <c r="G721" t="s">
        <v>1783</v>
      </c>
      <c r="H721" s="4">
        <f t="shared" si="197"/>
        <v>1</v>
      </c>
      <c r="I721" s="4">
        <f>IF(RIGHT(B721,1)="M",IF(AND(H721=1,E721="RFS",D721=INDEX('Station Depth Averages'!$A$3:$B$84,MATCH(B721,'Station Depth Averages'!$A$3:$A$84,0),2)),1,""),IF(AND(H721=1,OR(D721="SYN",D721="SRF",D721="MID")),1,IF(AND(H721=1,OR(E722="FDn",E722="LDn")),1,IF(AND(H721=1,OR(E721="FDn",E721="LDn")),1,""))))</f>
        <v>1</v>
      </c>
      <c r="J721" s="4">
        <f t="shared" si="198"/>
        <v>1</v>
      </c>
      <c r="K721" s="4" t="str">
        <f t="shared" si="199"/>
        <v/>
      </c>
      <c r="L721" s="4" t="str">
        <f t="shared" si="200"/>
        <v/>
      </c>
      <c r="M721" s="4" t="str">
        <f t="shared" si="201"/>
        <v/>
      </c>
      <c r="N721" s="4" t="str">
        <f t="shared" si="202"/>
        <v/>
      </c>
      <c r="O721" s="4" t="str">
        <f t="shared" si="203"/>
        <v/>
      </c>
      <c r="P721" s="4" t="str">
        <f t="shared" si="204"/>
        <v/>
      </c>
      <c r="Q721" s="4" t="str">
        <f t="shared" si="205"/>
        <v/>
      </c>
      <c r="R721" s="4" t="str">
        <f t="shared" si="206"/>
        <v/>
      </c>
      <c r="S721" s="4" t="str">
        <f t="shared" si="207"/>
        <v/>
      </c>
      <c r="T721" s="4" t="str">
        <f t="shared" si="208"/>
        <v/>
      </c>
      <c r="U721">
        <f>IF(VLOOKUP(C721,'QA Table'!$Y$5:$Y$20,1,TRUE)=C721,1,0)</f>
        <v>0</v>
      </c>
      <c r="V721" t="str">
        <f t="shared" si="209"/>
        <v/>
      </c>
      <c r="W721" t="str">
        <f t="shared" si="210"/>
        <v/>
      </c>
      <c r="X721">
        <f t="shared" si="211"/>
        <v>3</v>
      </c>
      <c r="Y721">
        <f t="shared" si="212"/>
        <v>0</v>
      </c>
      <c r="AA721">
        <f t="shared" si="213"/>
        <v>1</v>
      </c>
    </row>
    <row r="722" spans="1:27" x14ac:dyDescent="0.2">
      <c r="A722" t="s">
        <v>23</v>
      </c>
      <c r="B722" t="s">
        <v>81</v>
      </c>
      <c r="C722" t="s">
        <v>1856</v>
      </c>
      <c r="D722" t="s">
        <v>5</v>
      </c>
      <c r="E722" t="s">
        <v>3</v>
      </c>
      <c r="F722" t="s">
        <v>1851</v>
      </c>
      <c r="G722" t="s">
        <v>1783</v>
      </c>
      <c r="H722" s="4">
        <f t="shared" si="197"/>
        <v>1</v>
      </c>
      <c r="I722" s="4" t="str">
        <f>IF(RIGHT(B722,1)="M",IF(AND(H722=1,E722="RFS",D722=INDEX('Station Depth Averages'!$A$3:$B$84,MATCH(B722,'Station Depth Averages'!$A$3:$A$84,0),2)),1,""),IF(AND(H722=1,OR(D722="SYN",D722="SRF",D722="MID")),1,IF(AND(H722=1,OR(E723="FDn",E723="LDn")),1,IF(AND(H722=1,OR(E722="FDn",E722="LDn")),1,""))))</f>
        <v/>
      </c>
      <c r="J722" s="4">
        <f t="shared" si="198"/>
        <v>1</v>
      </c>
      <c r="K722" s="4" t="str">
        <f t="shared" si="199"/>
        <v/>
      </c>
      <c r="L722" s="4" t="str">
        <f t="shared" si="200"/>
        <v/>
      </c>
      <c r="M722" s="4" t="str">
        <f t="shared" si="201"/>
        <v/>
      </c>
      <c r="N722" s="4" t="str">
        <f t="shared" si="202"/>
        <v/>
      </c>
      <c r="O722" s="4" t="str">
        <f t="shared" si="203"/>
        <v/>
      </c>
      <c r="P722" s="4" t="str">
        <f t="shared" si="204"/>
        <v/>
      </c>
      <c r="Q722" s="4" t="str">
        <f t="shared" si="205"/>
        <v/>
      </c>
      <c r="R722" s="4" t="str">
        <f t="shared" si="206"/>
        <v/>
      </c>
      <c r="S722" s="4" t="str">
        <f t="shared" si="207"/>
        <v/>
      </c>
      <c r="T722" s="4" t="str">
        <f t="shared" si="208"/>
        <v/>
      </c>
      <c r="U722">
        <f>IF(VLOOKUP(C722,'QA Table'!$Y$5:$Y$20,1,TRUE)=C722,1,0)</f>
        <v>0</v>
      </c>
      <c r="V722" t="str">
        <f t="shared" si="209"/>
        <v/>
      </c>
      <c r="W722" t="str">
        <f t="shared" si="210"/>
        <v/>
      </c>
      <c r="X722">
        <f t="shared" si="211"/>
        <v>3</v>
      </c>
      <c r="Y722">
        <f t="shared" si="212"/>
        <v>0</v>
      </c>
      <c r="AA722">
        <f t="shared" si="213"/>
        <v>1</v>
      </c>
    </row>
    <row r="723" spans="1:27" x14ac:dyDescent="0.2">
      <c r="A723" t="s">
        <v>23</v>
      </c>
      <c r="B723" t="s">
        <v>81</v>
      </c>
      <c r="C723" t="s">
        <v>1857</v>
      </c>
      <c r="D723" t="s">
        <v>6</v>
      </c>
      <c r="E723" t="s">
        <v>3</v>
      </c>
      <c r="F723" t="s">
        <v>1851</v>
      </c>
      <c r="G723" t="s">
        <v>1783</v>
      </c>
      <c r="H723" s="4">
        <f t="shared" si="197"/>
        <v>1</v>
      </c>
      <c r="I723" s="4" t="str">
        <f>IF(RIGHT(B723,1)="M",IF(AND(H723=1,E723="RFS",D723=INDEX('Station Depth Averages'!$A$3:$B$84,MATCH(B723,'Station Depth Averages'!$A$3:$A$84,0),2)),1,""),IF(AND(H723=1,OR(D723="SYN",D723="SRF",D723="MID")),1,IF(AND(H723=1,OR(E724="FDn",E724="LDn")),1,IF(AND(H723=1,OR(E723="FDn",E723="LDn")),1,""))))</f>
        <v/>
      </c>
      <c r="J723" s="4">
        <f t="shared" si="198"/>
        <v>1</v>
      </c>
      <c r="K723" s="4" t="str">
        <f t="shared" si="199"/>
        <v/>
      </c>
      <c r="L723" s="4" t="str">
        <f t="shared" si="200"/>
        <v/>
      </c>
      <c r="M723" s="4" t="str">
        <f t="shared" si="201"/>
        <v/>
      </c>
      <c r="N723" s="4" t="str">
        <f t="shared" si="202"/>
        <v/>
      </c>
      <c r="O723" s="4" t="str">
        <f t="shared" si="203"/>
        <v/>
      </c>
      <c r="P723" s="4" t="str">
        <f t="shared" si="204"/>
        <v/>
      </c>
      <c r="Q723" s="4" t="str">
        <f t="shared" si="205"/>
        <v/>
      </c>
      <c r="R723" s="4" t="str">
        <f t="shared" si="206"/>
        <v/>
      </c>
      <c r="S723" s="4" t="str">
        <f t="shared" si="207"/>
        <v/>
      </c>
      <c r="T723" s="4" t="str">
        <f t="shared" si="208"/>
        <v/>
      </c>
      <c r="U723">
        <f>IF(VLOOKUP(C723,'QA Table'!$Y$5:$Y$20,1,TRUE)=C723,1,0)</f>
        <v>0</v>
      </c>
      <c r="V723" t="str">
        <f t="shared" si="209"/>
        <v/>
      </c>
      <c r="W723" t="str">
        <f t="shared" si="210"/>
        <v/>
      </c>
      <c r="X723">
        <f t="shared" si="211"/>
        <v>3</v>
      </c>
      <c r="Y723">
        <f t="shared" si="212"/>
        <v>0</v>
      </c>
      <c r="AA723">
        <f t="shared" si="213"/>
        <v>1</v>
      </c>
    </row>
    <row r="724" spans="1:27" x14ac:dyDescent="0.2">
      <c r="A724" t="s">
        <v>23</v>
      </c>
      <c r="B724" t="s">
        <v>81</v>
      </c>
      <c r="C724" t="s">
        <v>1858</v>
      </c>
      <c r="D724" t="s">
        <v>8</v>
      </c>
      <c r="E724" t="s">
        <v>3</v>
      </c>
      <c r="F724" t="s">
        <v>1851</v>
      </c>
      <c r="G724" t="s">
        <v>1783</v>
      </c>
      <c r="H724" s="4">
        <f t="shared" si="197"/>
        <v>1</v>
      </c>
      <c r="I724" s="4" t="str">
        <f>IF(RIGHT(B724,1)="M",IF(AND(H724=1,E724="RFS",D724=INDEX('Station Depth Averages'!$A$3:$B$84,MATCH(B724,'Station Depth Averages'!$A$3:$A$84,0),2)),1,""),IF(AND(H724=1,OR(D724="SYN",D724="SRF",D724="MID")),1,IF(AND(H724=1,OR(E725="FDn",E725="LDn")),1,IF(AND(H724=1,OR(E724="FDn",E724="LDn")),1,""))))</f>
        <v/>
      </c>
      <c r="J724" s="4" t="str">
        <f t="shared" si="198"/>
        <v/>
      </c>
      <c r="K724" s="4">
        <f t="shared" si="199"/>
        <v>1</v>
      </c>
      <c r="L724" s="4" t="str">
        <f t="shared" si="200"/>
        <v/>
      </c>
      <c r="M724" s="4" t="str">
        <f t="shared" si="201"/>
        <v/>
      </c>
      <c r="N724" s="4" t="str">
        <f t="shared" si="202"/>
        <v/>
      </c>
      <c r="O724" s="4" t="str">
        <f t="shared" si="203"/>
        <v/>
      </c>
      <c r="P724" s="4" t="str">
        <f t="shared" si="204"/>
        <v/>
      </c>
      <c r="Q724" s="4">
        <f t="shared" si="205"/>
        <v>2</v>
      </c>
      <c r="R724" s="4" t="str">
        <f t="shared" si="206"/>
        <v/>
      </c>
      <c r="S724" s="4" t="str">
        <f t="shared" si="207"/>
        <v/>
      </c>
      <c r="T724" s="4" t="str">
        <f t="shared" si="208"/>
        <v/>
      </c>
      <c r="U724">
        <f>IF(VLOOKUP(C724,'QA Table'!$Y$5:$Y$20,1,TRUE)=C724,1,0)</f>
        <v>0</v>
      </c>
      <c r="V724" t="str">
        <f t="shared" si="209"/>
        <v/>
      </c>
      <c r="W724" t="str">
        <f t="shared" si="210"/>
        <v/>
      </c>
      <c r="X724">
        <f t="shared" si="211"/>
        <v>3</v>
      </c>
      <c r="Y724">
        <f t="shared" si="212"/>
        <v>0</v>
      </c>
      <c r="AA724">
        <f t="shared" si="213"/>
        <v>1</v>
      </c>
    </row>
    <row r="725" spans="1:27" x14ac:dyDescent="0.2">
      <c r="A725" t="s">
        <v>23</v>
      </c>
      <c r="B725" t="s">
        <v>81</v>
      </c>
      <c r="C725" t="s">
        <v>1859</v>
      </c>
      <c r="D725" t="s">
        <v>9</v>
      </c>
      <c r="E725" t="s">
        <v>3</v>
      </c>
      <c r="F725" t="s">
        <v>1851</v>
      </c>
      <c r="G725" t="s">
        <v>1783</v>
      </c>
      <c r="H725" s="4" t="str">
        <f t="shared" si="197"/>
        <v/>
      </c>
      <c r="I725" s="4" t="str">
        <f>IF(RIGHT(B725,1)="M",IF(AND(H725=1,E725="RFS",D725=INDEX('Station Depth Averages'!$A$3:$B$84,MATCH(B725,'Station Depth Averages'!$A$3:$A$84,0),2)),1,""),IF(AND(H725=1,OR(D725="SYN",D725="SRF",D725="MID")),1,IF(AND(H725=1,OR(E726="FDn",E726="LDn")),1,IF(AND(H725=1,OR(E725="FDn",E725="LDn")),1,""))))</f>
        <v/>
      </c>
      <c r="J725" s="4" t="str">
        <f t="shared" si="198"/>
        <v/>
      </c>
      <c r="K725" s="4" t="str">
        <f t="shared" si="199"/>
        <v/>
      </c>
      <c r="L725" s="4" t="str">
        <f t="shared" si="200"/>
        <v/>
      </c>
      <c r="M725" s="4" t="str">
        <f t="shared" si="201"/>
        <v/>
      </c>
      <c r="N725" s="4" t="str">
        <f t="shared" si="202"/>
        <v/>
      </c>
      <c r="O725" s="4" t="str">
        <f t="shared" si="203"/>
        <v/>
      </c>
      <c r="P725" s="4" t="str">
        <f t="shared" si="204"/>
        <v/>
      </c>
      <c r="Q725" s="4" t="str">
        <f t="shared" si="205"/>
        <v/>
      </c>
      <c r="R725" s="4" t="str">
        <f t="shared" si="206"/>
        <v/>
      </c>
      <c r="S725" s="4" t="str">
        <f t="shared" si="207"/>
        <v/>
      </c>
      <c r="T725" s="4">
        <f t="shared" si="208"/>
        <v>2</v>
      </c>
      <c r="U725">
        <f>IF(VLOOKUP(C725,'QA Table'!$Y$5:$Y$20,1,TRUE)=C725,1,0)</f>
        <v>0</v>
      </c>
      <c r="V725" t="str">
        <f t="shared" si="209"/>
        <v/>
      </c>
      <c r="W725" t="str">
        <f t="shared" si="210"/>
        <v/>
      </c>
      <c r="X725" t="str">
        <f t="shared" si="211"/>
        <v/>
      </c>
      <c r="Y725">
        <f t="shared" si="212"/>
        <v>0</v>
      </c>
      <c r="AA725" t="str">
        <f t="shared" si="213"/>
        <v/>
      </c>
    </row>
    <row r="726" spans="1:27" x14ac:dyDescent="0.2">
      <c r="A726" t="s">
        <v>23</v>
      </c>
      <c r="B726" t="s">
        <v>81</v>
      </c>
      <c r="C726" t="s">
        <v>1860</v>
      </c>
      <c r="D726" t="s">
        <v>10</v>
      </c>
      <c r="E726" t="s">
        <v>3</v>
      </c>
      <c r="F726" t="s">
        <v>1851</v>
      </c>
      <c r="G726" t="s">
        <v>1783</v>
      </c>
      <c r="H726" s="4" t="str">
        <f t="shared" si="197"/>
        <v/>
      </c>
      <c r="I726" s="4" t="str">
        <f>IF(RIGHT(B726,1)="M",IF(AND(H726=1,E726="RFS",D726=INDEX('Station Depth Averages'!$A$3:$B$84,MATCH(B726,'Station Depth Averages'!$A$3:$A$84,0),2)),1,""),IF(AND(H726=1,OR(D726="SYN",D726="SRF",D726="MID")),1,IF(AND(H726=1,OR(E727="FDn",E727="LDn")),1,IF(AND(H726=1,OR(E726="FDn",E726="LDn")),1,""))))</f>
        <v/>
      </c>
      <c r="J726" s="4" t="str">
        <f t="shared" si="198"/>
        <v/>
      </c>
      <c r="K726" s="4" t="str">
        <f t="shared" si="199"/>
        <v/>
      </c>
      <c r="L726" s="4" t="str">
        <f t="shared" si="200"/>
        <v/>
      </c>
      <c r="M726" s="4" t="str">
        <f t="shared" si="201"/>
        <v/>
      </c>
      <c r="N726" s="4" t="str">
        <f t="shared" si="202"/>
        <v/>
      </c>
      <c r="O726" s="4" t="str">
        <f t="shared" si="203"/>
        <v/>
      </c>
      <c r="P726" s="4" t="str">
        <f t="shared" si="204"/>
        <v/>
      </c>
      <c r="Q726" s="4" t="str">
        <f t="shared" si="205"/>
        <v/>
      </c>
      <c r="R726" s="4" t="str">
        <f t="shared" si="206"/>
        <v/>
      </c>
      <c r="S726" s="4" t="str">
        <f t="shared" si="207"/>
        <v/>
      </c>
      <c r="T726" s="4">
        <f t="shared" si="208"/>
        <v>2</v>
      </c>
      <c r="U726">
        <f>IF(VLOOKUP(C726,'QA Table'!$Y$5:$Y$20,1,TRUE)=C726,1,0)</f>
        <v>0</v>
      </c>
      <c r="V726" t="str">
        <f t="shared" si="209"/>
        <v/>
      </c>
      <c r="W726" t="str">
        <f t="shared" si="210"/>
        <v/>
      </c>
      <c r="X726" t="str">
        <f t="shared" si="211"/>
        <v/>
      </c>
      <c r="Y726">
        <f t="shared" si="212"/>
        <v>0</v>
      </c>
      <c r="AA726" t="str">
        <f t="shared" si="213"/>
        <v/>
      </c>
    </row>
    <row r="727" spans="1:27" x14ac:dyDescent="0.2">
      <c r="A727" t="s">
        <v>23</v>
      </c>
      <c r="B727" t="s">
        <v>81</v>
      </c>
      <c r="C727" t="s">
        <v>1861</v>
      </c>
      <c r="D727" t="s">
        <v>1034</v>
      </c>
      <c r="E727" t="s">
        <v>3</v>
      </c>
      <c r="F727" t="s">
        <v>1851</v>
      </c>
      <c r="G727" t="s">
        <v>1783</v>
      </c>
      <c r="H727" s="4" t="str">
        <f t="shared" si="197"/>
        <v/>
      </c>
      <c r="I727" s="4" t="str">
        <f>IF(RIGHT(B727,1)="M",IF(AND(H727=1,E727="RFS",D727=INDEX('Station Depth Averages'!$A$3:$B$84,MATCH(B727,'Station Depth Averages'!$A$3:$A$84,0),2)),1,""),IF(AND(H727=1,OR(D727="SYN",D727="SRF",D727="MID")),1,IF(AND(H727=1,OR(E728="FDn",E728="LDn")),1,IF(AND(H727=1,OR(E727="FDn",E727="LDn")),1,""))))</f>
        <v/>
      </c>
      <c r="J727" s="4" t="str">
        <f t="shared" si="198"/>
        <v/>
      </c>
      <c r="K727" s="4" t="str">
        <f t="shared" si="199"/>
        <v/>
      </c>
      <c r="L727" s="4" t="str">
        <f t="shared" si="200"/>
        <v/>
      </c>
      <c r="M727" s="4" t="str">
        <f t="shared" si="201"/>
        <v/>
      </c>
      <c r="N727" s="4" t="str">
        <f t="shared" si="202"/>
        <v/>
      </c>
      <c r="O727" s="4" t="str">
        <f t="shared" si="203"/>
        <v/>
      </c>
      <c r="P727" s="4" t="str">
        <f t="shared" si="204"/>
        <v/>
      </c>
      <c r="Q727" s="4" t="str">
        <f t="shared" si="205"/>
        <v/>
      </c>
      <c r="R727" s="4" t="str">
        <f t="shared" si="206"/>
        <v/>
      </c>
      <c r="S727" s="4">
        <f t="shared" si="207"/>
        <v>1</v>
      </c>
      <c r="T727" s="4" t="str">
        <f t="shared" si="208"/>
        <v/>
      </c>
      <c r="U727">
        <f>IF(VLOOKUP(C727,'QA Table'!$Y$5:$Y$20,1,TRUE)=C727,1,0)</f>
        <v>0</v>
      </c>
      <c r="V727" t="str">
        <f t="shared" si="209"/>
        <v/>
      </c>
      <c r="W727" t="str">
        <f t="shared" si="210"/>
        <v/>
      </c>
      <c r="X727" t="str">
        <f t="shared" si="211"/>
        <v/>
      </c>
      <c r="Y727">
        <f t="shared" si="212"/>
        <v>0</v>
      </c>
      <c r="AA727" t="str">
        <f t="shared" si="213"/>
        <v/>
      </c>
    </row>
    <row r="728" spans="1:27" x14ac:dyDescent="0.2">
      <c r="A728" t="s">
        <v>23</v>
      </c>
      <c r="B728" t="s">
        <v>81</v>
      </c>
      <c r="C728" t="s">
        <v>1862</v>
      </c>
      <c r="D728" t="s">
        <v>1034</v>
      </c>
      <c r="E728" t="s">
        <v>19</v>
      </c>
      <c r="F728" t="s">
        <v>1851</v>
      </c>
      <c r="G728" t="s">
        <v>1783</v>
      </c>
      <c r="H728" s="4" t="str">
        <f t="shared" si="197"/>
        <v/>
      </c>
      <c r="I728" s="4" t="str">
        <f>IF(RIGHT(B728,1)="M",IF(AND(H728=1,E728="RFS",D728=INDEX('Station Depth Averages'!$A$3:$B$84,MATCH(B728,'Station Depth Averages'!$A$3:$A$84,0),2)),1,""),IF(AND(H728=1,OR(D728="SYN",D728="SRF",D728="MID")),1,IF(AND(H728=1,OR(E729="FDn",E729="LDn")),1,IF(AND(H728=1,OR(E728="FDn",E728="LDn")),1,""))))</f>
        <v/>
      </c>
      <c r="J728" s="4" t="str">
        <f t="shared" si="198"/>
        <v/>
      </c>
      <c r="K728" s="4" t="str">
        <f t="shared" si="199"/>
        <v/>
      </c>
      <c r="L728" s="4" t="str">
        <f t="shared" si="200"/>
        <v/>
      </c>
      <c r="M728" s="4" t="str">
        <f t="shared" si="201"/>
        <v/>
      </c>
      <c r="N728" s="4" t="str">
        <f t="shared" si="202"/>
        <v/>
      </c>
      <c r="O728" s="4" t="str">
        <f t="shared" si="203"/>
        <v/>
      </c>
      <c r="P728" s="4" t="str">
        <f t="shared" si="204"/>
        <v/>
      </c>
      <c r="Q728" s="4" t="str">
        <f t="shared" si="205"/>
        <v/>
      </c>
      <c r="R728" s="4" t="str">
        <f t="shared" si="206"/>
        <v/>
      </c>
      <c r="S728" s="4">
        <f t="shared" si="207"/>
        <v>1</v>
      </c>
      <c r="T728" s="4" t="str">
        <f t="shared" si="208"/>
        <v/>
      </c>
      <c r="U728">
        <f>IF(VLOOKUP(C728,'QA Table'!$Y$5:$Y$20,1,TRUE)=C728,1,0)</f>
        <v>0</v>
      </c>
      <c r="V728" t="str">
        <f t="shared" si="209"/>
        <v/>
      </c>
      <c r="W728" t="str">
        <f t="shared" si="210"/>
        <v/>
      </c>
      <c r="X728" t="str">
        <f t="shared" si="211"/>
        <v/>
      </c>
      <c r="Y728">
        <f t="shared" si="212"/>
        <v>0</v>
      </c>
      <c r="AA728" t="str">
        <f t="shared" si="213"/>
        <v/>
      </c>
    </row>
    <row r="729" spans="1:27" x14ac:dyDescent="0.2">
      <c r="A729" t="s">
        <v>23</v>
      </c>
      <c r="B729" t="s">
        <v>82</v>
      </c>
      <c r="C729" t="s">
        <v>1863</v>
      </c>
      <c r="D729" t="s">
        <v>14</v>
      </c>
      <c r="E729" t="s">
        <v>15</v>
      </c>
      <c r="F729" t="s">
        <v>1864</v>
      </c>
      <c r="G729" t="s">
        <v>1783</v>
      </c>
      <c r="H729" s="4">
        <f t="shared" si="197"/>
        <v>1</v>
      </c>
      <c r="I729" s="4">
        <f>IF(RIGHT(B729,1)="M",IF(AND(H729=1,E729="RFS",D729=INDEX('Station Depth Averages'!$A$3:$B$84,MATCH(B729,'Station Depth Averages'!$A$3:$A$84,0),2)),1,""),IF(AND(H729=1,OR(D729="SYN",D729="SRF",D729="MID")),1,IF(AND(H729=1,OR(E730="FDn",E730="LDn")),1,IF(AND(H729=1,OR(E729="FDn",E729="LDn")),1,""))))</f>
        <v>1</v>
      </c>
      <c r="J729" s="4">
        <f t="shared" si="198"/>
        <v>1</v>
      </c>
      <c r="K729" s="4" t="str">
        <f t="shared" si="199"/>
        <v/>
      </c>
      <c r="L729" s="4" t="str">
        <f t="shared" si="200"/>
        <v/>
      </c>
      <c r="M729" s="4" t="str">
        <f t="shared" si="201"/>
        <v/>
      </c>
      <c r="N729" s="4" t="str">
        <f t="shared" si="202"/>
        <v/>
      </c>
      <c r="O729" s="4" t="str">
        <f t="shared" si="203"/>
        <v/>
      </c>
      <c r="P729" s="4" t="str">
        <f t="shared" si="204"/>
        <v/>
      </c>
      <c r="Q729" s="4" t="str">
        <f t="shared" si="205"/>
        <v/>
      </c>
      <c r="R729" s="4" t="str">
        <f t="shared" si="206"/>
        <v/>
      </c>
      <c r="S729" s="4" t="str">
        <f t="shared" si="207"/>
        <v/>
      </c>
      <c r="T729" s="4" t="str">
        <f t="shared" si="208"/>
        <v/>
      </c>
      <c r="U729">
        <f>IF(VLOOKUP(C729,'QA Table'!$Y$5:$Y$20,1,TRUE)=C729,1,0)</f>
        <v>0</v>
      </c>
      <c r="V729" t="str">
        <f t="shared" si="209"/>
        <v/>
      </c>
      <c r="W729" t="str">
        <f t="shared" si="210"/>
        <v/>
      </c>
      <c r="X729">
        <f t="shared" si="211"/>
        <v>3</v>
      </c>
      <c r="Y729">
        <f t="shared" si="212"/>
        <v>0</v>
      </c>
      <c r="AA729">
        <f t="shared" si="213"/>
        <v>1</v>
      </c>
    </row>
    <row r="730" spans="1:27" x14ac:dyDescent="0.2">
      <c r="A730" t="s">
        <v>23</v>
      </c>
      <c r="B730" t="s">
        <v>82</v>
      </c>
      <c r="C730" t="s">
        <v>1121</v>
      </c>
      <c r="D730" t="s">
        <v>2</v>
      </c>
      <c r="E730" t="s">
        <v>3</v>
      </c>
      <c r="F730" t="s">
        <v>1864</v>
      </c>
      <c r="G730" t="s">
        <v>1783</v>
      </c>
      <c r="H730" s="4">
        <f t="shared" si="197"/>
        <v>1</v>
      </c>
      <c r="I730" s="4">
        <f>IF(RIGHT(B730,1)="M",IF(AND(H730=1,E730="RFS",D730=INDEX('Station Depth Averages'!$A$3:$B$84,MATCH(B730,'Station Depth Averages'!$A$3:$A$84,0),2)),1,""),IF(AND(H730=1,OR(D730="SYN",D730="SRF",D730="MID")),1,IF(AND(H730=1,OR(E731="FDn",E731="LDn")),1,IF(AND(H730=1,OR(E730="FDn",E730="LDn")),1,""))))</f>
        <v>1</v>
      </c>
      <c r="J730" s="4">
        <f t="shared" si="198"/>
        <v>1</v>
      </c>
      <c r="K730" s="4" t="str">
        <f t="shared" si="199"/>
        <v/>
      </c>
      <c r="L730" s="4" t="str">
        <f t="shared" si="200"/>
        <v/>
      </c>
      <c r="M730" s="4" t="str">
        <f t="shared" si="201"/>
        <v/>
      </c>
      <c r="N730" s="4" t="str">
        <f t="shared" si="202"/>
        <v/>
      </c>
      <c r="O730" s="4" t="str">
        <f t="shared" si="203"/>
        <v/>
      </c>
      <c r="P730" s="4" t="str">
        <f t="shared" si="204"/>
        <v/>
      </c>
      <c r="Q730" s="4" t="str">
        <f t="shared" si="205"/>
        <v/>
      </c>
      <c r="R730" s="4" t="str">
        <f t="shared" si="206"/>
        <v/>
      </c>
      <c r="S730" s="4" t="str">
        <f t="shared" si="207"/>
        <v/>
      </c>
      <c r="T730" s="4" t="str">
        <f t="shared" si="208"/>
        <v/>
      </c>
      <c r="U730">
        <f>IF(VLOOKUP(C730,'QA Table'!$Y$5:$Y$20,1,TRUE)=C730,1,0)</f>
        <v>0</v>
      </c>
      <c r="V730" t="str">
        <f t="shared" si="209"/>
        <v/>
      </c>
      <c r="W730" t="str">
        <f t="shared" si="210"/>
        <v/>
      </c>
      <c r="X730">
        <f t="shared" si="211"/>
        <v>3</v>
      </c>
      <c r="Y730">
        <f t="shared" si="212"/>
        <v>0</v>
      </c>
      <c r="AA730">
        <f t="shared" si="213"/>
        <v>1</v>
      </c>
    </row>
    <row r="731" spans="1:27" x14ac:dyDescent="0.2">
      <c r="A731" t="s">
        <v>23</v>
      </c>
      <c r="B731" t="s">
        <v>82</v>
      </c>
      <c r="C731" t="s">
        <v>1865</v>
      </c>
      <c r="D731" t="s">
        <v>1050</v>
      </c>
      <c r="E731" t="s">
        <v>3</v>
      </c>
      <c r="F731" t="s">
        <v>1864</v>
      </c>
      <c r="G731" t="s">
        <v>1783</v>
      </c>
      <c r="H731" s="4" t="str">
        <f t="shared" si="197"/>
        <v/>
      </c>
      <c r="I731" s="4" t="str">
        <f>IF(RIGHT(B731,1)="M",IF(AND(H731=1,E731="RFS",D731=INDEX('Station Depth Averages'!$A$3:$B$84,MATCH(B731,'Station Depth Averages'!$A$3:$A$84,0),2)),1,""),IF(AND(H731=1,OR(D731="SYN",D731="SRF",D731="MID")),1,IF(AND(H731=1,OR(E732="FDn",E732="LDn")),1,IF(AND(H731=1,OR(E731="FDn",E731="LDn")),1,""))))</f>
        <v/>
      </c>
      <c r="J731" s="4" t="str">
        <f t="shared" si="198"/>
        <v/>
      </c>
      <c r="K731" s="4" t="str">
        <f t="shared" si="199"/>
        <v/>
      </c>
      <c r="L731" s="4" t="str">
        <f t="shared" si="200"/>
        <v/>
      </c>
      <c r="M731" s="4" t="str">
        <f t="shared" si="201"/>
        <v/>
      </c>
      <c r="N731" s="4" t="str">
        <f t="shared" si="202"/>
        <v/>
      </c>
      <c r="O731" s="4" t="str">
        <f t="shared" si="203"/>
        <v/>
      </c>
      <c r="P731" s="4" t="str">
        <f t="shared" si="204"/>
        <v/>
      </c>
      <c r="Q731" s="4" t="str">
        <f t="shared" si="205"/>
        <v/>
      </c>
      <c r="R731" s="4" t="str">
        <f t="shared" si="206"/>
        <v/>
      </c>
      <c r="S731" s="4" t="str">
        <f t="shared" si="207"/>
        <v/>
      </c>
      <c r="T731" s="4" t="str">
        <f t="shared" si="208"/>
        <v/>
      </c>
      <c r="U731">
        <f>IF(VLOOKUP(C731,'QA Table'!$Y$5:$Y$20,1,TRUE)=C731,1,0)</f>
        <v>0</v>
      </c>
      <c r="V731" t="str">
        <f t="shared" si="209"/>
        <v/>
      </c>
      <c r="W731" t="str">
        <f t="shared" si="210"/>
        <v/>
      </c>
      <c r="X731" t="str">
        <f t="shared" si="211"/>
        <v/>
      </c>
      <c r="Y731">
        <f t="shared" si="212"/>
        <v>0</v>
      </c>
      <c r="AA731" t="str">
        <f t="shared" si="213"/>
        <v/>
      </c>
    </row>
    <row r="732" spans="1:27" x14ac:dyDescent="0.2">
      <c r="A732" t="s">
        <v>23</v>
      </c>
      <c r="B732" t="s">
        <v>82</v>
      </c>
      <c r="C732" t="s">
        <v>1866</v>
      </c>
      <c r="D732" t="s">
        <v>4</v>
      </c>
      <c r="E732" t="s">
        <v>3</v>
      </c>
      <c r="F732" t="s">
        <v>1864</v>
      </c>
      <c r="G732" t="s">
        <v>1783</v>
      </c>
      <c r="H732" s="4" t="str">
        <f t="shared" si="197"/>
        <v/>
      </c>
      <c r="I732" s="4" t="str">
        <f>IF(RIGHT(B732,1)="M",IF(AND(H732=1,E732="RFS",D732=INDEX('Station Depth Averages'!$A$3:$B$84,MATCH(B732,'Station Depth Averages'!$A$3:$A$84,0),2)),1,""),IF(AND(H732=1,OR(D732="SYN",D732="SRF",D732="MID")),1,IF(AND(H732=1,OR(E733="FDn",E733="LDn")),1,IF(AND(H732=1,OR(E732="FDn",E732="LDn")),1,""))))</f>
        <v/>
      </c>
      <c r="J732" s="4" t="str">
        <f t="shared" si="198"/>
        <v/>
      </c>
      <c r="K732" s="4" t="str">
        <f t="shared" si="199"/>
        <v/>
      </c>
      <c r="L732" s="4" t="str">
        <f t="shared" si="200"/>
        <v/>
      </c>
      <c r="M732" s="4" t="str">
        <f t="shared" si="201"/>
        <v/>
      </c>
      <c r="N732" s="4" t="str">
        <f t="shared" si="202"/>
        <v/>
      </c>
      <c r="O732" s="4" t="str">
        <f t="shared" si="203"/>
        <v/>
      </c>
      <c r="P732" s="4" t="str">
        <f t="shared" si="204"/>
        <v/>
      </c>
      <c r="Q732" s="4" t="str">
        <f t="shared" si="205"/>
        <v/>
      </c>
      <c r="R732" s="4" t="str">
        <f t="shared" si="206"/>
        <v/>
      </c>
      <c r="S732" s="4" t="str">
        <f t="shared" si="207"/>
        <v/>
      </c>
      <c r="T732" s="4" t="str">
        <f t="shared" si="208"/>
        <v/>
      </c>
      <c r="U732">
        <f>IF(VLOOKUP(C732,'QA Table'!$Y$5:$Y$20,1,TRUE)=C732,1,0)</f>
        <v>0</v>
      </c>
      <c r="V732" t="str">
        <f t="shared" si="209"/>
        <v/>
      </c>
      <c r="W732" t="str">
        <f t="shared" si="210"/>
        <v/>
      </c>
      <c r="X732" t="str">
        <f t="shared" si="211"/>
        <v/>
      </c>
      <c r="Y732">
        <f t="shared" si="212"/>
        <v>0</v>
      </c>
      <c r="AA732" t="str">
        <f t="shared" si="213"/>
        <v/>
      </c>
    </row>
    <row r="733" spans="1:27" x14ac:dyDescent="0.2">
      <c r="A733" t="s">
        <v>23</v>
      </c>
      <c r="B733" t="s">
        <v>82</v>
      </c>
      <c r="C733" t="s">
        <v>1867</v>
      </c>
      <c r="D733" t="s">
        <v>1051</v>
      </c>
      <c r="E733" t="s">
        <v>3</v>
      </c>
      <c r="F733" t="s">
        <v>1864</v>
      </c>
      <c r="G733" t="s">
        <v>1783</v>
      </c>
      <c r="H733" s="4" t="str">
        <f t="shared" si="197"/>
        <v/>
      </c>
      <c r="I733" s="4" t="str">
        <f>IF(RIGHT(B733,1)="M",IF(AND(H733=1,E733="RFS",D733=INDEX('Station Depth Averages'!$A$3:$B$84,MATCH(B733,'Station Depth Averages'!$A$3:$A$84,0),2)),1,""),IF(AND(H733=1,OR(D733="SYN",D733="SRF",D733="MID")),1,IF(AND(H733=1,OR(E734="FDn",E734="LDn")),1,IF(AND(H733=1,OR(E733="FDn",E733="LDn")),1,""))))</f>
        <v/>
      </c>
      <c r="J733" s="4" t="str">
        <f t="shared" si="198"/>
        <v/>
      </c>
      <c r="K733" s="4" t="str">
        <f t="shared" si="199"/>
        <v/>
      </c>
      <c r="L733" s="4" t="str">
        <f t="shared" si="200"/>
        <v/>
      </c>
      <c r="M733" s="4" t="str">
        <f t="shared" si="201"/>
        <v/>
      </c>
      <c r="N733" s="4" t="str">
        <f t="shared" si="202"/>
        <v/>
      </c>
      <c r="O733" s="4" t="str">
        <f t="shared" si="203"/>
        <v/>
      </c>
      <c r="P733" s="4" t="str">
        <f t="shared" si="204"/>
        <v/>
      </c>
      <c r="Q733" s="4" t="str">
        <f t="shared" si="205"/>
        <v/>
      </c>
      <c r="R733" s="4" t="str">
        <f t="shared" si="206"/>
        <v/>
      </c>
      <c r="S733" s="4" t="str">
        <f t="shared" si="207"/>
        <v/>
      </c>
      <c r="T733" s="4" t="str">
        <f t="shared" si="208"/>
        <v/>
      </c>
      <c r="U733">
        <f>IF(VLOOKUP(C733,'QA Table'!$Y$5:$Y$20,1,TRUE)=C733,1,0)</f>
        <v>0</v>
      </c>
      <c r="V733" t="str">
        <f t="shared" si="209"/>
        <v/>
      </c>
      <c r="W733" t="str">
        <f t="shared" si="210"/>
        <v/>
      </c>
      <c r="X733" t="str">
        <f t="shared" si="211"/>
        <v/>
      </c>
      <c r="Y733">
        <f t="shared" si="212"/>
        <v>0</v>
      </c>
      <c r="AA733" t="str">
        <f t="shared" si="213"/>
        <v/>
      </c>
    </row>
    <row r="734" spans="1:27" x14ac:dyDescent="0.2">
      <c r="A734" t="s">
        <v>23</v>
      </c>
      <c r="B734" t="s">
        <v>82</v>
      </c>
      <c r="C734" t="s">
        <v>1868</v>
      </c>
      <c r="D734" t="s">
        <v>119</v>
      </c>
      <c r="E734" t="s">
        <v>3</v>
      </c>
      <c r="F734" t="s">
        <v>1864</v>
      </c>
      <c r="G734" t="s">
        <v>1783</v>
      </c>
      <c r="H734" s="4">
        <f t="shared" si="197"/>
        <v>1</v>
      </c>
      <c r="I734" s="4">
        <f>IF(RIGHT(B734,1)="M",IF(AND(H734=1,E734="RFS",D734=INDEX('Station Depth Averages'!$A$3:$B$84,MATCH(B734,'Station Depth Averages'!$A$3:$A$84,0),2)),1,""),IF(AND(H734=1,OR(D734="SYN",D734="SRF",D734="MID")),1,IF(AND(H734=1,OR(E735="FDn",E735="LDn")),1,IF(AND(H734=1,OR(E734="FDn",E734="LDn")),1,""))))</f>
        <v>1</v>
      </c>
      <c r="J734" s="4">
        <f t="shared" si="198"/>
        <v>1</v>
      </c>
      <c r="K734" s="4" t="str">
        <f t="shared" si="199"/>
        <v/>
      </c>
      <c r="L734" s="4" t="str">
        <f t="shared" si="200"/>
        <v/>
      </c>
      <c r="M734" s="4" t="str">
        <f t="shared" si="201"/>
        <v/>
      </c>
      <c r="N734" s="4" t="str">
        <f t="shared" si="202"/>
        <v/>
      </c>
      <c r="O734" s="4" t="str">
        <f t="shared" si="203"/>
        <v/>
      </c>
      <c r="P734" s="4" t="str">
        <f t="shared" si="204"/>
        <v/>
      </c>
      <c r="Q734" s="4" t="str">
        <f t="shared" si="205"/>
        <v/>
      </c>
      <c r="R734" s="4" t="str">
        <f t="shared" si="206"/>
        <v/>
      </c>
      <c r="S734" s="4" t="str">
        <f t="shared" si="207"/>
        <v/>
      </c>
      <c r="T734" s="4" t="str">
        <f t="shared" si="208"/>
        <v/>
      </c>
      <c r="U734">
        <f>IF(VLOOKUP(C734,'QA Table'!$Y$5:$Y$20,1,TRUE)=C734,1,0)</f>
        <v>0</v>
      </c>
      <c r="V734" t="str">
        <f t="shared" si="209"/>
        <v/>
      </c>
      <c r="W734" t="str">
        <f t="shared" si="210"/>
        <v/>
      </c>
      <c r="X734">
        <f t="shared" si="211"/>
        <v>3</v>
      </c>
      <c r="Y734">
        <f t="shared" si="212"/>
        <v>0</v>
      </c>
      <c r="AA734">
        <f t="shared" si="213"/>
        <v>1</v>
      </c>
    </row>
    <row r="735" spans="1:27" x14ac:dyDescent="0.2">
      <c r="A735" t="s">
        <v>23</v>
      </c>
      <c r="B735" t="s">
        <v>82</v>
      </c>
      <c r="C735" t="s">
        <v>1869</v>
      </c>
      <c r="D735" t="s">
        <v>5</v>
      </c>
      <c r="E735" t="s">
        <v>3</v>
      </c>
      <c r="F735" t="s">
        <v>1864</v>
      </c>
      <c r="G735" t="s">
        <v>1783</v>
      </c>
      <c r="H735" s="4">
        <f t="shared" si="197"/>
        <v>1</v>
      </c>
      <c r="I735" s="4" t="str">
        <f>IF(RIGHT(B735,1)="M",IF(AND(H735=1,E735="RFS",D735=INDEX('Station Depth Averages'!$A$3:$B$84,MATCH(B735,'Station Depth Averages'!$A$3:$A$84,0),2)),1,""),IF(AND(H735=1,OR(D735="SYN",D735="SRF",D735="MID")),1,IF(AND(H735=1,OR(E736="FDn",E736="LDn")),1,IF(AND(H735=1,OR(E735="FDn",E735="LDn")),1,""))))</f>
        <v/>
      </c>
      <c r="J735" s="4">
        <f t="shared" si="198"/>
        <v>1</v>
      </c>
      <c r="K735" s="4" t="str">
        <f t="shared" si="199"/>
        <v/>
      </c>
      <c r="L735" s="4" t="str">
        <f t="shared" si="200"/>
        <v/>
      </c>
      <c r="M735" s="4" t="str">
        <f t="shared" si="201"/>
        <v/>
      </c>
      <c r="N735" s="4" t="str">
        <f t="shared" si="202"/>
        <v/>
      </c>
      <c r="O735" s="4" t="str">
        <f t="shared" si="203"/>
        <v/>
      </c>
      <c r="P735" s="4" t="str">
        <f t="shared" si="204"/>
        <v/>
      </c>
      <c r="Q735" s="4" t="str">
        <f t="shared" si="205"/>
        <v/>
      </c>
      <c r="R735" s="4" t="str">
        <f t="shared" si="206"/>
        <v/>
      </c>
      <c r="S735" s="4" t="str">
        <f t="shared" si="207"/>
        <v/>
      </c>
      <c r="T735" s="4" t="str">
        <f t="shared" si="208"/>
        <v/>
      </c>
      <c r="U735">
        <f>IF(VLOOKUP(C735,'QA Table'!$Y$5:$Y$20,1,TRUE)=C735,1,0)</f>
        <v>0</v>
      </c>
      <c r="V735" t="str">
        <f t="shared" si="209"/>
        <v/>
      </c>
      <c r="W735" t="str">
        <f t="shared" si="210"/>
        <v/>
      </c>
      <c r="X735">
        <f t="shared" si="211"/>
        <v>3</v>
      </c>
      <c r="Y735">
        <f t="shared" si="212"/>
        <v>0</v>
      </c>
      <c r="AA735">
        <f t="shared" si="213"/>
        <v>1</v>
      </c>
    </row>
    <row r="736" spans="1:27" x14ac:dyDescent="0.2">
      <c r="A736" t="s">
        <v>23</v>
      </c>
      <c r="B736" t="s">
        <v>82</v>
      </c>
      <c r="C736" t="s">
        <v>1870</v>
      </c>
      <c r="D736" t="s">
        <v>6</v>
      </c>
      <c r="E736" t="s">
        <v>3</v>
      </c>
      <c r="F736" t="s">
        <v>1864</v>
      </c>
      <c r="G736" t="s">
        <v>1783</v>
      </c>
      <c r="H736" s="4">
        <f t="shared" si="197"/>
        <v>1</v>
      </c>
      <c r="I736" s="4" t="str">
        <f>IF(RIGHT(B736,1)="M",IF(AND(H736=1,E736="RFS",D736=INDEX('Station Depth Averages'!$A$3:$B$84,MATCH(B736,'Station Depth Averages'!$A$3:$A$84,0),2)),1,""),IF(AND(H736=1,OR(D736="SYN",D736="SRF",D736="MID")),1,IF(AND(H736=1,OR(E737="FDn",E737="LDn")),1,IF(AND(H736=1,OR(E736="FDn",E736="LDn")),1,""))))</f>
        <v/>
      </c>
      <c r="J736" s="4">
        <f t="shared" si="198"/>
        <v>1</v>
      </c>
      <c r="K736" s="4" t="str">
        <f t="shared" si="199"/>
        <v/>
      </c>
      <c r="L736" s="4" t="str">
        <f t="shared" si="200"/>
        <v/>
      </c>
      <c r="M736" s="4" t="str">
        <f t="shared" si="201"/>
        <v/>
      </c>
      <c r="N736" s="4" t="str">
        <f t="shared" si="202"/>
        <v/>
      </c>
      <c r="O736" s="4" t="str">
        <f t="shared" si="203"/>
        <v/>
      </c>
      <c r="P736" s="4" t="str">
        <f t="shared" si="204"/>
        <v/>
      </c>
      <c r="Q736" s="4" t="str">
        <f t="shared" si="205"/>
        <v/>
      </c>
      <c r="R736" s="4" t="str">
        <f t="shared" si="206"/>
        <v/>
      </c>
      <c r="S736" s="4" t="str">
        <f t="shared" si="207"/>
        <v/>
      </c>
      <c r="T736" s="4" t="str">
        <f t="shared" si="208"/>
        <v/>
      </c>
      <c r="U736">
        <f>IF(VLOOKUP(C736,'QA Table'!$Y$5:$Y$20,1,TRUE)=C736,1,0)</f>
        <v>0</v>
      </c>
      <c r="V736" t="str">
        <f t="shared" si="209"/>
        <v/>
      </c>
      <c r="W736" t="str">
        <f t="shared" si="210"/>
        <v/>
      </c>
      <c r="X736">
        <f t="shared" si="211"/>
        <v>3</v>
      </c>
      <c r="Y736">
        <f t="shared" si="212"/>
        <v>0</v>
      </c>
      <c r="AA736">
        <f t="shared" si="213"/>
        <v>1</v>
      </c>
    </row>
    <row r="737" spans="1:27" x14ac:dyDescent="0.2">
      <c r="A737" t="s">
        <v>23</v>
      </c>
      <c r="B737" t="s">
        <v>82</v>
      </c>
      <c r="C737" t="s">
        <v>1871</v>
      </c>
      <c r="D737" t="s">
        <v>8</v>
      </c>
      <c r="E737" t="s">
        <v>3</v>
      </c>
      <c r="F737" t="s">
        <v>1864</v>
      </c>
      <c r="G737" t="s">
        <v>1783</v>
      </c>
      <c r="H737" s="4">
        <f t="shared" si="197"/>
        <v>1</v>
      </c>
      <c r="I737" s="4" t="str">
        <f>IF(RIGHT(B737,1)="M",IF(AND(H737=1,E737="RFS",D737=INDEX('Station Depth Averages'!$A$3:$B$84,MATCH(B737,'Station Depth Averages'!$A$3:$A$84,0),2)),1,""),IF(AND(H737=1,OR(D737="SYN",D737="SRF",D737="MID")),1,IF(AND(H737=1,OR(E738="FDn",E738="LDn")),1,IF(AND(H737=1,OR(E737="FDn",E737="LDn")),1,""))))</f>
        <v/>
      </c>
      <c r="J737" s="4" t="str">
        <f t="shared" si="198"/>
        <v/>
      </c>
      <c r="K737" s="4">
        <f t="shared" si="199"/>
        <v>1</v>
      </c>
      <c r="L737" s="4" t="str">
        <f t="shared" si="200"/>
        <v/>
      </c>
      <c r="M737" s="4" t="str">
        <f t="shared" si="201"/>
        <v/>
      </c>
      <c r="N737" s="4" t="str">
        <f t="shared" si="202"/>
        <v/>
      </c>
      <c r="O737" s="4" t="str">
        <f t="shared" si="203"/>
        <v/>
      </c>
      <c r="P737" s="4" t="str">
        <f t="shared" si="204"/>
        <v/>
      </c>
      <c r="Q737" s="4">
        <f t="shared" si="205"/>
        <v>2</v>
      </c>
      <c r="R737" s="4" t="str">
        <f t="shared" si="206"/>
        <v/>
      </c>
      <c r="S737" s="4" t="str">
        <f t="shared" si="207"/>
        <v/>
      </c>
      <c r="T737" s="4" t="str">
        <f t="shared" si="208"/>
        <v/>
      </c>
      <c r="U737">
        <f>IF(VLOOKUP(C737,'QA Table'!$Y$5:$Y$20,1,TRUE)=C737,1,0)</f>
        <v>0</v>
      </c>
      <c r="V737" t="str">
        <f t="shared" si="209"/>
        <v/>
      </c>
      <c r="W737" t="str">
        <f t="shared" si="210"/>
        <v/>
      </c>
      <c r="X737">
        <f t="shared" si="211"/>
        <v>3</v>
      </c>
      <c r="Y737">
        <f t="shared" si="212"/>
        <v>0</v>
      </c>
      <c r="AA737">
        <f t="shared" si="213"/>
        <v>1</v>
      </c>
    </row>
    <row r="738" spans="1:27" x14ac:dyDescent="0.2">
      <c r="A738" t="s">
        <v>23</v>
      </c>
      <c r="B738" t="s">
        <v>82</v>
      </c>
      <c r="C738" t="s">
        <v>1872</v>
      </c>
      <c r="D738" t="s">
        <v>9</v>
      </c>
      <c r="E738" t="s">
        <v>3</v>
      </c>
      <c r="F738" t="s">
        <v>1864</v>
      </c>
      <c r="G738" t="s">
        <v>1783</v>
      </c>
      <c r="H738" s="4" t="str">
        <f t="shared" si="197"/>
        <v/>
      </c>
      <c r="I738" s="4" t="str">
        <f>IF(RIGHT(B738,1)="M",IF(AND(H738=1,E738="RFS",D738=INDEX('Station Depth Averages'!$A$3:$B$84,MATCH(B738,'Station Depth Averages'!$A$3:$A$84,0),2)),1,""),IF(AND(H738=1,OR(D738="SYN",D738="SRF",D738="MID")),1,IF(AND(H738=1,OR(E739="FDn",E739="LDn")),1,IF(AND(H738=1,OR(E738="FDn",E738="LDn")),1,""))))</f>
        <v/>
      </c>
      <c r="J738" s="4" t="str">
        <f t="shared" si="198"/>
        <v/>
      </c>
      <c r="K738" s="4" t="str">
        <f t="shared" si="199"/>
        <v/>
      </c>
      <c r="L738" s="4" t="str">
        <f t="shared" si="200"/>
        <v/>
      </c>
      <c r="M738" s="4" t="str">
        <f t="shared" si="201"/>
        <v/>
      </c>
      <c r="N738" s="4" t="str">
        <f t="shared" si="202"/>
        <v/>
      </c>
      <c r="O738" s="4" t="str">
        <f t="shared" si="203"/>
        <v/>
      </c>
      <c r="P738" s="4" t="str">
        <f t="shared" si="204"/>
        <v/>
      </c>
      <c r="Q738" s="4" t="str">
        <f t="shared" si="205"/>
        <v/>
      </c>
      <c r="R738" s="4" t="str">
        <f t="shared" si="206"/>
        <v/>
      </c>
      <c r="S738" s="4" t="str">
        <f t="shared" si="207"/>
        <v/>
      </c>
      <c r="T738" s="4">
        <f t="shared" si="208"/>
        <v>2</v>
      </c>
      <c r="U738">
        <f>IF(VLOOKUP(C738,'QA Table'!$Y$5:$Y$20,1,TRUE)=C738,1,0)</f>
        <v>0</v>
      </c>
      <c r="V738" t="str">
        <f t="shared" si="209"/>
        <v/>
      </c>
      <c r="W738" t="str">
        <f t="shared" si="210"/>
        <v/>
      </c>
      <c r="X738" t="str">
        <f t="shared" si="211"/>
        <v/>
      </c>
      <c r="Y738">
        <f t="shared" si="212"/>
        <v>0</v>
      </c>
      <c r="AA738" t="str">
        <f t="shared" si="213"/>
        <v/>
      </c>
    </row>
    <row r="739" spans="1:27" x14ac:dyDescent="0.2">
      <c r="A739" t="s">
        <v>23</v>
      </c>
      <c r="B739" t="s">
        <v>82</v>
      </c>
      <c r="C739" t="s">
        <v>1873</v>
      </c>
      <c r="D739" t="s">
        <v>9</v>
      </c>
      <c r="E739" t="s">
        <v>3</v>
      </c>
      <c r="F739" t="s">
        <v>1864</v>
      </c>
      <c r="G739" t="s">
        <v>1783</v>
      </c>
      <c r="H739" s="4" t="str">
        <f t="shared" si="197"/>
        <v/>
      </c>
      <c r="I739" s="4" t="str">
        <f>IF(RIGHT(B739,1)="M",IF(AND(H739=1,E739="RFS",D739=INDEX('Station Depth Averages'!$A$3:$B$84,MATCH(B739,'Station Depth Averages'!$A$3:$A$84,0),2)),1,""),IF(AND(H739=1,OR(D739="SYN",D739="SRF",D739="MID")),1,IF(AND(H739=1,OR(E740="FDn",E740="LDn")),1,IF(AND(H739=1,OR(E739="FDn",E739="LDn")),1,""))))</f>
        <v/>
      </c>
      <c r="J739" s="4" t="str">
        <f t="shared" si="198"/>
        <v/>
      </c>
      <c r="K739" s="4" t="str">
        <f t="shared" si="199"/>
        <v/>
      </c>
      <c r="L739" s="4" t="str">
        <f t="shared" si="200"/>
        <v/>
      </c>
      <c r="M739" s="4" t="str">
        <f t="shared" si="201"/>
        <v/>
      </c>
      <c r="N739" s="4" t="str">
        <f t="shared" si="202"/>
        <v/>
      </c>
      <c r="O739" s="4" t="str">
        <f t="shared" si="203"/>
        <v/>
      </c>
      <c r="P739" s="4" t="str">
        <f t="shared" si="204"/>
        <v/>
      </c>
      <c r="Q739" s="4" t="str">
        <f t="shared" si="205"/>
        <v/>
      </c>
      <c r="R739" s="4" t="str">
        <f t="shared" si="206"/>
        <v/>
      </c>
      <c r="S739" s="4" t="str">
        <f t="shared" si="207"/>
        <v/>
      </c>
      <c r="T739" s="4">
        <f t="shared" si="208"/>
        <v>2</v>
      </c>
      <c r="U739">
        <f>IF(VLOOKUP(C739,'QA Table'!$Y$5:$Y$20,1,TRUE)=C739,1,0)</f>
        <v>0</v>
      </c>
      <c r="V739" t="str">
        <f t="shared" si="209"/>
        <v/>
      </c>
      <c r="W739" t="str">
        <f t="shared" si="210"/>
        <v/>
      </c>
      <c r="X739" t="str">
        <f t="shared" si="211"/>
        <v/>
      </c>
      <c r="Y739">
        <f t="shared" si="212"/>
        <v>0</v>
      </c>
      <c r="AA739" t="str">
        <f t="shared" si="213"/>
        <v/>
      </c>
    </row>
    <row r="740" spans="1:27" x14ac:dyDescent="0.2">
      <c r="A740" t="s">
        <v>23</v>
      </c>
      <c r="B740" t="s">
        <v>82</v>
      </c>
      <c r="C740" t="s">
        <v>1874</v>
      </c>
      <c r="D740" t="s">
        <v>10</v>
      </c>
      <c r="E740" t="s">
        <v>3</v>
      </c>
      <c r="F740" t="s">
        <v>1864</v>
      </c>
      <c r="G740" t="s">
        <v>1783</v>
      </c>
      <c r="H740" s="4" t="str">
        <f t="shared" si="197"/>
        <v/>
      </c>
      <c r="I740" s="4" t="str">
        <f>IF(RIGHT(B740,1)="M",IF(AND(H740=1,E740="RFS",D740=INDEX('Station Depth Averages'!$A$3:$B$84,MATCH(B740,'Station Depth Averages'!$A$3:$A$84,0),2)),1,""),IF(AND(H740=1,OR(D740="SYN",D740="SRF",D740="MID")),1,IF(AND(H740=1,OR(E741="FDn",E741="LDn")),1,IF(AND(H740=1,OR(E740="FDn",E740="LDn")),1,""))))</f>
        <v/>
      </c>
      <c r="J740" s="4" t="str">
        <f t="shared" si="198"/>
        <v/>
      </c>
      <c r="K740" s="4" t="str">
        <f t="shared" si="199"/>
        <v/>
      </c>
      <c r="L740" s="4" t="str">
        <f t="shared" si="200"/>
        <v/>
      </c>
      <c r="M740" s="4" t="str">
        <f t="shared" si="201"/>
        <v/>
      </c>
      <c r="N740" s="4" t="str">
        <f t="shared" si="202"/>
        <v/>
      </c>
      <c r="O740" s="4" t="str">
        <f t="shared" si="203"/>
        <v/>
      </c>
      <c r="P740" s="4" t="str">
        <f t="shared" si="204"/>
        <v/>
      </c>
      <c r="Q740" s="4" t="str">
        <f t="shared" si="205"/>
        <v/>
      </c>
      <c r="R740" s="4" t="str">
        <f t="shared" si="206"/>
        <v/>
      </c>
      <c r="S740" s="4" t="str">
        <f t="shared" si="207"/>
        <v/>
      </c>
      <c r="T740" s="4">
        <f t="shared" si="208"/>
        <v>2</v>
      </c>
      <c r="U740">
        <f>IF(VLOOKUP(C740,'QA Table'!$Y$5:$Y$20,1,TRUE)=C740,1,0)</f>
        <v>0</v>
      </c>
      <c r="V740" t="str">
        <f t="shared" si="209"/>
        <v/>
      </c>
      <c r="W740" t="str">
        <f t="shared" si="210"/>
        <v/>
      </c>
      <c r="X740" t="str">
        <f t="shared" si="211"/>
        <v/>
      </c>
      <c r="Y740">
        <f t="shared" si="212"/>
        <v>0</v>
      </c>
      <c r="AA740" t="str">
        <f t="shared" si="213"/>
        <v/>
      </c>
    </row>
    <row r="741" spans="1:27" x14ac:dyDescent="0.2">
      <c r="A741" t="s">
        <v>23</v>
      </c>
      <c r="B741" t="s">
        <v>82</v>
      </c>
      <c r="C741" t="s">
        <v>1875</v>
      </c>
      <c r="D741" t="s">
        <v>1034</v>
      </c>
      <c r="E741" t="s">
        <v>3</v>
      </c>
      <c r="F741" t="s">
        <v>1864</v>
      </c>
      <c r="G741" t="s">
        <v>1783</v>
      </c>
      <c r="H741" s="4" t="str">
        <f t="shared" si="197"/>
        <v/>
      </c>
      <c r="I741" s="4" t="str">
        <f>IF(RIGHT(B741,1)="M",IF(AND(H741=1,E741="RFS",D741=INDEX('Station Depth Averages'!$A$3:$B$84,MATCH(B741,'Station Depth Averages'!$A$3:$A$84,0),2)),1,""),IF(AND(H741=1,OR(D741="SYN",D741="SRF",D741="MID")),1,IF(AND(H741=1,OR(E742="FDn",E742="LDn")),1,IF(AND(H741=1,OR(E741="FDn",E741="LDn")),1,""))))</f>
        <v/>
      </c>
      <c r="J741" s="4" t="str">
        <f t="shared" si="198"/>
        <v/>
      </c>
      <c r="K741" s="4" t="str">
        <f t="shared" si="199"/>
        <v/>
      </c>
      <c r="L741" s="4" t="str">
        <f t="shared" si="200"/>
        <v/>
      </c>
      <c r="M741" s="4" t="str">
        <f t="shared" si="201"/>
        <v/>
      </c>
      <c r="N741" s="4" t="str">
        <f t="shared" si="202"/>
        <v/>
      </c>
      <c r="O741" s="4" t="str">
        <f t="shared" si="203"/>
        <v/>
      </c>
      <c r="P741" s="4" t="str">
        <f t="shared" si="204"/>
        <v/>
      </c>
      <c r="Q741" s="4" t="str">
        <f t="shared" si="205"/>
        <v/>
      </c>
      <c r="R741" s="4" t="str">
        <f t="shared" si="206"/>
        <v/>
      </c>
      <c r="S741" s="4">
        <f t="shared" si="207"/>
        <v>1</v>
      </c>
      <c r="T741" s="4" t="str">
        <f t="shared" si="208"/>
        <v/>
      </c>
      <c r="U741">
        <f>IF(VLOOKUP(C741,'QA Table'!$Y$5:$Y$20,1,TRUE)=C741,1,0)</f>
        <v>0</v>
      </c>
      <c r="V741" t="str">
        <f t="shared" si="209"/>
        <v/>
      </c>
      <c r="W741" t="str">
        <f t="shared" si="210"/>
        <v/>
      </c>
      <c r="X741" t="str">
        <f t="shared" si="211"/>
        <v/>
      </c>
      <c r="Y741">
        <f t="shared" si="212"/>
        <v>0</v>
      </c>
      <c r="AA741" t="str">
        <f t="shared" si="213"/>
        <v/>
      </c>
    </row>
    <row r="742" spans="1:27" x14ac:dyDescent="0.2">
      <c r="A742" t="s">
        <v>23</v>
      </c>
      <c r="B742" t="s">
        <v>82</v>
      </c>
      <c r="C742" t="s">
        <v>1876</v>
      </c>
      <c r="D742" t="s">
        <v>1034</v>
      </c>
      <c r="E742" t="s">
        <v>19</v>
      </c>
      <c r="F742" t="s">
        <v>1864</v>
      </c>
      <c r="G742" t="s">
        <v>1783</v>
      </c>
      <c r="H742" s="4" t="str">
        <f t="shared" si="197"/>
        <v/>
      </c>
      <c r="I742" s="4" t="str">
        <f>IF(RIGHT(B742,1)="M",IF(AND(H742=1,E742="RFS",D742=INDEX('Station Depth Averages'!$A$3:$B$84,MATCH(B742,'Station Depth Averages'!$A$3:$A$84,0),2)),1,""),IF(AND(H742=1,OR(D742="SYN",D742="SRF",D742="MID")),1,IF(AND(H742=1,OR(E743="FDn",E743="LDn")),1,IF(AND(H742=1,OR(E742="FDn",E742="LDn")),1,""))))</f>
        <v/>
      </c>
      <c r="J742" s="4" t="str">
        <f t="shared" si="198"/>
        <v/>
      </c>
      <c r="K742" s="4" t="str">
        <f t="shared" si="199"/>
        <v/>
      </c>
      <c r="L742" s="4" t="str">
        <f t="shared" si="200"/>
        <v/>
      </c>
      <c r="M742" s="4" t="str">
        <f t="shared" si="201"/>
        <v/>
      </c>
      <c r="N742" s="4" t="str">
        <f t="shared" si="202"/>
        <v/>
      </c>
      <c r="O742" s="4" t="str">
        <f t="shared" si="203"/>
        <v/>
      </c>
      <c r="P742" s="4" t="str">
        <f t="shared" si="204"/>
        <v/>
      </c>
      <c r="Q742" s="4" t="str">
        <f t="shared" si="205"/>
        <v/>
      </c>
      <c r="R742" s="4" t="str">
        <f t="shared" si="206"/>
        <v/>
      </c>
      <c r="S742" s="4">
        <f t="shared" si="207"/>
        <v>1</v>
      </c>
      <c r="T742" s="4" t="str">
        <f t="shared" si="208"/>
        <v/>
      </c>
      <c r="U742">
        <f>IF(VLOOKUP(C742,'QA Table'!$Y$5:$Y$20,1,TRUE)=C742,1,0)</f>
        <v>0</v>
      </c>
      <c r="V742" t="str">
        <f t="shared" si="209"/>
        <v/>
      </c>
      <c r="W742" t="str">
        <f t="shared" si="210"/>
        <v/>
      </c>
      <c r="X742" t="str">
        <f t="shared" si="211"/>
        <v/>
      </c>
      <c r="Y742">
        <f t="shared" si="212"/>
        <v>0</v>
      </c>
      <c r="AA742" t="str">
        <f t="shared" si="213"/>
        <v/>
      </c>
    </row>
    <row r="743" spans="1:27" x14ac:dyDescent="0.2">
      <c r="A743" t="s">
        <v>23</v>
      </c>
      <c r="B743" t="s">
        <v>83</v>
      </c>
      <c r="C743" t="s">
        <v>1877</v>
      </c>
      <c r="D743" t="s">
        <v>2</v>
      </c>
      <c r="E743" t="s">
        <v>3</v>
      </c>
      <c r="F743" t="s">
        <v>1878</v>
      </c>
      <c r="G743" t="s">
        <v>1783</v>
      </c>
      <c r="H743" s="4">
        <f t="shared" si="197"/>
        <v>1</v>
      </c>
      <c r="I743" s="4" t="str">
        <f>IF(RIGHT(B743,1)="M",IF(AND(H743=1,E743="RFS",D743=INDEX('Station Depth Averages'!$A$3:$B$84,MATCH(B743,'Station Depth Averages'!$A$3:$A$84,0),2)),1,""),IF(AND(H743=1,OR(D743="SYN",D743="SRF",D743="MID")),1,IF(AND(H743=1,OR(E744="FDn",E744="LDn")),1,IF(AND(H743=1,OR(E743="FDn",E743="LDn")),1,""))))</f>
        <v/>
      </c>
      <c r="J743" s="4">
        <f t="shared" si="198"/>
        <v>1</v>
      </c>
      <c r="K743" s="4" t="str">
        <f t="shared" si="199"/>
        <v/>
      </c>
      <c r="L743" s="4" t="str">
        <f t="shared" si="200"/>
        <v/>
      </c>
      <c r="M743" s="4" t="str">
        <f t="shared" si="201"/>
        <v/>
      </c>
      <c r="N743" s="4" t="str">
        <f t="shared" si="202"/>
        <v/>
      </c>
      <c r="O743" s="4" t="str">
        <f t="shared" si="203"/>
        <v/>
      </c>
      <c r="P743" s="4" t="str">
        <f t="shared" si="204"/>
        <v/>
      </c>
      <c r="Q743" s="4" t="str">
        <f t="shared" si="205"/>
        <v/>
      </c>
      <c r="R743" s="4" t="str">
        <f t="shared" si="206"/>
        <v/>
      </c>
      <c r="S743" s="4" t="str">
        <f t="shared" si="207"/>
        <v/>
      </c>
      <c r="T743" s="4" t="str">
        <f t="shared" si="208"/>
        <v/>
      </c>
      <c r="U743">
        <f>IF(VLOOKUP(C743,'QA Table'!$Y$5:$Y$20,1,TRUE)=C743,1,0)</f>
        <v>0</v>
      </c>
      <c r="V743" t="str">
        <f t="shared" si="209"/>
        <v/>
      </c>
      <c r="W743" t="str">
        <f t="shared" si="210"/>
        <v/>
      </c>
      <c r="X743">
        <f t="shared" si="211"/>
        <v>3</v>
      </c>
      <c r="Y743">
        <f t="shared" si="212"/>
        <v>0</v>
      </c>
      <c r="AA743">
        <f t="shared" si="213"/>
        <v>1</v>
      </c>
    </row>
    <row r="744" spans="1:27" x14ac:dyDescent="0.2">
      <c r="A744" t="s">
        <v>23</v>
      </c>
      <c r="B744" t="s">
        <v>83</v>
      </c>
      <c r="C744" t="s">
        <v>1879</v>
      </c>
      <c r="D744" t="s">
        <v>1050</v>
      </c>
      <c r="E744" t="s">
        <v>3</v>
      </c>
      <c r="F744" t="s">
        <v>1878</v>
      </c>
      <c r="G744" t="s">
        <v>1783</v>
      </c>
      <c r="H744" s="4">
        <f t="shared" si="197"/>
        <v>1</v>
      </c>
      <c r="I744" s="4" t="str">
        <f>IF(RIGHT(B744,1)="M",IF(AND(H744=1,E744="RFS",D744=INDEX('Station Depth Averages'!$A$3:$B$84,MATCH(B744,'Station Depth Averages'!$A$3:$A$84,0),2)),1,""),IF(AND(H744=1,OR(D744="SYN",D744="SRF",D744="MID")),1,IF(AND(H744=1,OR(E745="FDn",E745="LDn")),1,IF(AND(H744=1,OR(E744="FDn",E744="LDn")),1,""))))</f>
        <v/>
      </c>
      <c r="J744" s="4">
        <f t="shared" si="198"/>
        <v>1</v>
      </c>
      <c r="K744" s="4" t="str">
        <f t="shared" si="199"/>
        <v/>
      </c>
      <c r="L744" s="4" t="str">
        <f t="shared" si="200"/>
        <v/>
      </c>
      <c r="M744" s="4" t="str">
        <f t="shared" si="201"/>
        <v/>
      </c>
      <c r="N744" s="4" t="str">
        <f t="shared" si="202"/>
        <v/>
      </c>
      <c r="O744" s="4" t="str">
        <f t="shared" si="203"/>
        <v/>
      </c>
      <c r="P744" s="4" t="str">
        <f t="shared" si="204"/>
        <v/>
      </c>
      <c r="Q744" s="4" t="str">
        <f t="shared" si="205"/>
        <v/>
      </c>
      <c r="R744" s="4" t="str">
        <f t="shared" si="206"/>
        <v/>
      </c>
      <c r="S744" s="4" t="str">
        <f t="shared" si="207"/>
        <v/>
      </c>
      <c r="T744" s="4" t="str">
        <f t="shared" si="208"/>
        <v/>
      </c>
      <c r="U744">
        <f>IF(VLOOKUP(C744,'QA Table'!$Y$5:$Y$20,1,TRUE)=C744,1,0)</f>
        <v>0</v>
      </c>
      <c r="V744" t="str">
        <f t="shared" si="209"/>
        <v/>
      </c>
      <c r="W744" t="str">
        <f t="shared" si="210"/>
        <v/>
      </c>
      <c r="X744">
        <f t="shared" si="211"/>
        <v>3</v>
      </c>
      <c r="Y744">
        <f t="shared" si="212"/>
        <v>0</v>
      </c>
      <c r="AA744">
        <f t="shared" si="213"/>
        <v>1</v>
      </c>
    </row>
    <row r="745" spans="1:27" x14ac:dyDescent="0.2">
      <c r="A745" t="s">
        <v>23</v>
      </c>
      <c r="B745" t="s">
        <v>83</v>
      </c>
      <c r="C745" t="s">
        <v>1880</v>
      </c>
      <c r="D745" t="s">
        <v>4</v>
      </c>
      <c r="E745" t="s">
        <v>3</v>
      </c>
      <c r="F745" t="s">
        <v>1878</v>
      </c>
      <c r="G745" t="s">
        <v>1783</v>
      </c>
      <c r="H745" s="4">
        <f t="shared" si="197"/>
        <v>1</v>
      </c>
      <c r="I745" s="4" t="str">
        <f>IF(RIGHT(B745,1)="M",IF(AND(H745=1,E745="RFS",D745=INDEX('Station Depth Averages'!$A$3:$B$84,MATCH(B745,'Station Depth Averages'!$A$3:$A$84,0),2)),1,""),IF(AND(H745=1,OR(D745="SYN",D745="SRF",D745="MID")),1,IF(AND(H745=1,OR(E746="FDn",E746="LDn")),1,IF(AND(H745=1,OR(E745="FDn",E745="LDn")),1,""))))</f>
        <v/>
      </c>
      <c r="J745" s="4">
        <f t="shared" si="198"/>
        <v>1</v>
      </c>
      <c r="K745" s="4" t="str">
        <f t="shared" si="199"/>
        <v/>
      </c>
      <c r="L745" s="4">
        <f t="shared" si="200"/>
        <v>1</v>
      </c>
      <c r="M745" s="4">
        <f t="shared" si="201"/>
        <v>1</v>
      </c>
      <c r="N745" s="4">
        <f t="shared" si="202"/>
        <v>1</v>
      </c>
      <c r="O745" s="4">
        <f t="shared" si="203"/>
        <v>1</v>
      </c>
      <c r="P745" s="4">
        <f t="shared" si="204"/>
        <v>1</v>
      </c>
      <c r="Q745" s="4" t="str">
        <f t="shared" si="205"/>
        <v/>
      </c>
      <c r="R745" s="4" t="str">
        <f t="shared" si="206"/>
        <v/>
      </c>
      <c r="S745" s="4" t="str">
        <f t="shared" si="207"/>
        <v/>
      </c>
      <c r="T745" s="4" t="str">
        <f t="shared" si="208"/>
        <v/>
      </c>
      <c r="U745">
        <f>IF(VLOOKUP(C745,'QA Table'!$Y$5:$Y$20,1,TRUE)=C745,1,0)</f>
        <v>0</v>
      </c>
      <c r="V745" t="str">
        <f t="shared" si="209"/>
        <v/>
      </c>
      <c r="W745" t="str">
        <f t="shared" si="210"/>
        <v/>
      </c>
      <c r="X745">
        <f t="shared" si="211"/>
        <v>3</v>
      </c>
      <c r="Y745">
        <f t="shared" si="212"/>
        <v>0</v>
      </c>
      <c r="AA745">
        <f t="shared" si="213"/>
        <v>1</v>
      </c>
    </row>
    <row r="746" spans="1:27" x14ac:dyDescent="0.2">
      <c r="A746" t="s">
        <v>23</v>
      </c>
      <c r="B746" t="s">
        <v>83</v>
      </c>
      <c r="C746" t="s">
        <v>1881</v>
      </c>
      <c r="D746" t="s">
        <v>1051</v>
      </c>
      <c r="E746" t="s">
        <v>3</v>
      </c>
      <c r="F746" t="s">
        <v>1878</v>
      </c>
      <c r="G746" t="s">
        <v>1783</v>
      </c>
      <c r="H746" s="4">
        <f t="shared" si="197"/>
        <v>1</v>
      </c>
      <c r="I746" s="4" t="str">
        <f>IF(RIGHT(B746,1)="M",IF(AND(H746=1,E746="RFS",D746=INDEX('Station Depth Averages'!$A$3:$B$84,MATCH(B746,'Station Depth Averages'!$A$3:$A$84,0),2)),1,""),IF(AND(H746=1,OR(D746="SYN",D746="SRF",D746="MID")),1,IF(AND(H746=1,OR(E747="FDn",E747="LDn")),1,IF(AND(H746=1,OR(E746="FDn",E746="LDn")),1,""))))</f>
        <v/>
      </c>
      <c r="J746" s="4">
        <f t="shared" si="198"/>
        <v>1</v>
      </c>
      <c r="K746" s="4" t="str">
        <f t="shared" si="199"/>
        <v/>
      </c>
      <c r="L746" s="4" t="str">
        <f t="shared" si="200"/>
        <v/>
      </c>
      <c r="M746" s="4" t="str">
        <f t="shared" si="201"/>
        <v/>
      </c>
      <c r="N746" s="4" t="str">
        <f t="shared" si="202"/>
        <v/>
      </c>
      <c r="O746" s="4" t="str">
        <f t="shared" si="203"/>
        <v/>
      </c>
      <c r="P746" s="4" t="str">
        <f t="shared" si="204"/>
        <v/>
      </c>
      <c r="Q746" s="4" t="str">
        <f t="shared" si="205"/>
        <v/>
      </c>
      <c r="R746" s="4" t="str">
        <f t="shared" si="206"/>
        <v/>
      </c>
      <c r="S746" s="4" t="str">
        <f t="shared" si="207"/>
        <v/>
      </c>
      <c r="T746" s="4" t="str">
        <f t="shared" si="208"/>
        <v/>
      </c>
      <c r="U746">
        <f>IF(VLOOKUP(C746,'QA Table'!$Y$5:$Y$20,1,TRUE)=C746,1,0)</f>
        <v>0</v>
      </c>
      <c r="V746" t="str">
        <f t="shared" si="209"/>
        <v/>
      </c>
      <c r="W746" t="str">
        <f t="shared" si="210"/>
        <v/>
      </c>
      <c r="X746">
        <f t="shared" si="211"/>
        <v>3</v>
      </c>
      <c r="Y746">
        <f t="shared" si="212"/>
        <v>0</v>
      </c>
      <c r="AA746">
        <f t="shared" si="213"/>
        <v>1</v>
      </c>
    </row>
    <row r="747" spans="1:27" x14ac:dyDescent="0.2">
      <c r="A747" t="s">
        <v>23</v>
      </c>
      <c r="B747" t="s">
        <v>83</v>
      </c>
      <c r="C747" t="s">
        <v>1882</v>
      </c>
      <c r="D747" t="s">
        <v>120</v>
      </c>
      <c r="E747" t="s">
        <v>3</v>
      </c>
      <c r="F747" t="s">
        <v>1878</v>
      </c>
      <c r="G747" t="s">
        <v>1783</v>
      </c>
      <c r="H747" s="4">
        <f t="shared" si="197"/>
        <v>1</v>
      </c>
      <c r="I747" s="4" t="str">
        <f>IF(RIGHT(B747,1)="M",IF(AND(H747=1,E747="RFS",D747=INDEX('Station Depth Averages'!$A$3:$B$84,MATCH(B747,'Station Depth Averages'!$A$3:$A$84,0),2)),1,""),IF(AND(H747=1,OR(D747="SYN",D747="SRF",D747="MID")),1,IF(AND(H747=1,OR(E748="FDn",E748="LDn")),1,IF(AND(H747=1,OR(E747="FDn",E747="LDn")),1,""))))</f>
        <v/>
      </c>
      <c r="J747" s="4">
        <f t="shared" si="198"/>
        <v>1</v>
      </c>
      <c r="K747" s="4" t="str">
        <f t="shared" si="199"/>
        <v/>
      </c>
      <c r="L747" s="4" t="str">
        <f t="shared" si="200"/>
        <v/>
      </c>
      <c r="M747" s="4" t="str">
        <f t="shared" si="201"/>
        <v/>
      </c>
      <c r="N747" s="4" t="str">
        <f t="shared" si="202"/>
        <v/>
      </c>
      <c r="O747" s="4" t="str">
        <f t="shared" si="203"/>
        <v/>
      </c>
      <c r="P747" s="4" t="str">
        <f t="shared" si="204"/>
        <v/>
      </c>
      <c r="Q747" s="4" t="str">
        <f t="shared" si="205"/>
        <v/>
      </c>
      <c r="R747" s="4" t="str">
        <f t="shared" si="206"/>
        <v/>
      </c>
      <c r="S747" s="4" t="str">
        <f t="shared" si="207"/>
        <v/>
      </c>
      <c r="T747" s="4" t="str">
        <f t="shared" si="208"/>
        <v/>
      </c>
      <c r="U747">
        <f>IF(VLOOKUP(C747,'QA Table'!$Y$5:$Y$20,1,TRUE)=C747,1,0)</f>
        <v>0</v>
      </c>
      <c r="V747" t="str">
        <f t="shared" si="209"/>
        <v/>
      </c>
      <c r="W747" t="str">
        <f t="shared" si="210"/>
        <v/>
      </c>
      <c r="X747">
        <f t="shared" si="211"/>
        <v>3</v>
      </c>
      <c r="Y747">
        <f t="shared" si="212"/>
        <v>0</v>
      </c>
      <c r="AA747">
        <f t="shared" si="213"/>
        <v>1</v>
      </c>
    </row>
    <row r="748" spans="1:27" x14ac:dyDescent="0.2">
      <c r="A748" t="s">
        <v>23</v>
      </c>
      <c r="B748" t="s">
        <v>83</v>
      </c>
      <c r="C748" t="s">
        <v>1883</v>
      </c>
      <c r="D748" t="s">
        <v>16</v>
      </c>
      <c r="E748" t="s">
        <v>3</v>
      </c>
      <c r="F748" t="s">
        <v>1878</v>
      </c>
      <c r="G748" t="s">
        <v>1783</v>
      </c>
      <c r="H748" s="4">
        <f t="shared" si="197"/>
        <v>1</v>
      </c>
      <c r="I748" s="4" t="str">
        <f>IF(RIGHT(B748,1)="M",IF(AND(H748=1,E748="RFS",D748=INDEX('Station Depth Averages'!$A$3:$B$84,MATCH(B748,'Station Depth Averages'!$A$3:$A$84,0),2)),1,""),IF(AND(H748=1,OR(D748="SYN",D748="SRF",D748="MID")),1,IF(AND(H748=1,OR(E749="FDn",E749="LDn")),1,IF(AND(H748=1,OR(E748="FDn",E748="LDn")),1,""))))</f>
        <v/>
      </c>
      <c r="J748" s="4">
        <f t="shared" si="198"/>
        <v>1</v>
      </c>
      <c r="K748" s="4" t="str">
        <f t="shared" si="199"/>
        <v/>
      </c>
      <c r="L748" s="4" t="str">
        <f t="shared" si="200"/>
        <v/>
      </c>
      <c r="M748" s="4" t="str">
        <f t="shared" si="201"/>
        <v/>
      </c>
      <c r="N748" s="4" t="str">
        <f t="shared" si="202"/>
        <v/>
      </c>
      <c r="O748" s="4" t="str">
        <f t="shared" si="203"/>
        <v/>
      </c>
      <c r="P748" s="4" t="str">
        <f t="shared" si="204"/>
        <v/>
      </c>
      <c r="Q748" s="4" t="str">
        <f t="shared" si="205"/>
        <v/>
      </c>
      <c r="R748" s="4" t="str">
        <f t="shared" si="206"/>
        <v/>
      </c>
      <c r="S748" s="4" t="str">
        <f t="shared" si="207"/>
        <v/>
      </c>
      <c r="T748" s="4" t="str">
        <f t="shared" si="208"/>
        <v/>
      </c>
      <c r="U748">
        <f>IF(VLOOKUP(C748,'QA Table'!$Y$5:$Y$20,1,TRUE)=C748,1,0)</f>
        <v>0</v>
      </c>
      <c r="V748" t="str">
        <f t="shared" si="209"/>
        <v/>
      </c>
      <c r="W748" t="str">
        <f t="shared" si="210"/>
        <v/>
      </c>
      <c r="X748">
        <f t="shared" si="211"/>
        <v>3</v>
      </c>
      <c r="Y748">
        <f t="shared" si="212"/>
        <v>0</v>
      </c>
      <c r="AA748">
        <f t="shared" si="213"/>
        <v>1</v>
      </c>
    </row>
    <row r="749" spans="1:27" x14ac:dyDescent="0.2">
      <c r="A749" t="s">
        <v>23</v>
      </c>
      <c r="B749" t="s">
        <v>83</v>
      </c>
      <c r="C749" t="s">
        <v>1884</v>
      </c>
      <c r="D749" t="s">
        <v>17</v>
      </c>
      <c r="E749" t="s">
        <v>3</v>
      </c>
      <c r="F749" t="s">
        <v>1878</v>
      </c>
      <c r="G749" t="s">
        <v>1783</v>
      </c>
      <c r="H749" s="4">
        <f t="shared" si="197"/>
        <v>1</v>
      </c>
      <c r="I749" s="4" t="str">
        <f>IF(RIGHT(B749,1)="M",IF(AND(H749=1,E749="RFS",D749=INDEX('Station Depth Averages'!$A$3:$B$84,MATCH(B749,'Station Depth Averages'!$A$3:$A$84,0),2)),1,""),IF(AND(H749=1,OR(D749="SYN",D749="SRF",D749="MID")),1,IF(AND(H749=1,OR(E750="FDn",E750="LDn")),1,IF(AND(H749=1,OR(E749="FDn",E749="LDn")),1,""))))</f>
        <v/>
      </c>
      <c r="J749" s="4">
        <f t="shared" si="198"/>
        <v>1</v>
      </c>
      <c r="K749" s="4" t="str">
        <f t="shared" si="199"/>
        <v/>
      </c>
      <c r="L749" s="4" t="str">
        <f t="shared" si="200"/>
        <v/>
      </c>
      <c r="M749" s="4" t="str">
        <f t="shared" si="201"/>
        <v/>
      </c>
      <c r="N749" s="4" t="str">
        <f t="shared" si="202"/>
        <v/>
      </c>
      <c r="O749" s="4" t="str">
        <f t="shared" si="203"/>
        <v/>
      </c>
      <c r="P749" s="4" t="str">
        <f t="shared" si="204"/>
        <v/>
      </c>
      <c r="Q749" s="4" t="str">
        <f t="shared" si="205"/>
        <v/>
      </c>
      <c r="R749" s="4" t="str">
        <f t="shared" si="206"/>
        <v/>
      </c>
      <c r="S749" s="4" t="str">
        <f t="shared" si="207"/>
        <v/>
      </c>
      <c r="T749" s="4" t="str">
        <f t="shared" si="208"/>
        <v/>
      </c>
      <c r="U749">
        <f>IF(VLOOKUP(C749,'QA Table'!$Y$5:$Y$20,1,TRUE)=C749,1,0)</f>
        <v>0</v>
      </c>
      <c r="V749" t="str">
        <f t="shared" si="209"/>
        <v/>
      </c>
      <c r="W749" t="str">
        <f t="shared" si="210"/>
        <v/>
      </c>
      <c r="X749">
        <f t="shared" si="211"/>
        <v>3</v>
      </c>
      <c r="Y749">
        <f t="shared" si="212"/>
        <v>0</v>
      </c>
      <c r="AA749">
        <f t="shared" si="213"/>
        <v>1</v>
      </c>
    </row>
    <row r="750" spans="1:27" x14ac:dyDescent="0.2">
      <c r="A750" t="s">
        <v>23</v>
      </c>
      <c r="B750" t="s">
        <v>83</v>
      </c>
      <c r="C750" t="s">
        <v>1885</v>
      </c>
      <c r="D750" t="s">
        <v>18</v>
      </c>
      <c r="E750" t="s">
        <v>3</v>
      </c>
      <c r="F750" t="s">
        <v>1878</v>
      </c>
      <c r="G750" t="s">
        <v>1783</v>
      </c>
      <c r="H750" s="4">
        <f t="shared" si="197"/>
        <v>1</v>
      </c>
      <c r="I750" s="4">
        <f>IF(RIGHT(B750,1)="M",IF(AND(H750=1,E750="RFS",D750=INDEX('Station Depth Averages'!$A$3:$B$84,MATCH(B750,'Station Depth Averages'!$A$3:$A$84,0),2)),1,""),IF(AND(H750=1,OR(D750="SYN",D750="SRF",D750="MID")),1,IF(AND(H750=1,OR(E751="FDn",E751="LDn")),1,IF(AND(H750=1,OR(E750="FDn",E750="LDn")),1,""))))</f>
        <v>1</v>
      </c>
      <c r="J750" s="4">
        <f t="shared" si="198"/>
        <v>1</v>
      </c>
      <c r="K750" s="4" t="str">
        <f t="shared" si="199"/>
        <v/>
      </c>
      <c r="L750" s="4" t="str">
        <f t="shared" si="200"/>
        <v/>
      </c>
      <c r="M750" s="4" t="str">
        <f t="shared" si="201"/>
        <v/>
      </c>
      <c r="N750" s="4" t="str">
        <f t="shared" si="202"/>
        <v/>
      </c>
      <c r="O750" s="4" t="str">
        <f t="shared" si="203"/>
        <v/>
      </c>
      <c r="P750" s="4" t="str">
        <f t="shared" si="204"/>
        <v/>
      </c>
      <c r="Q750" s="4" t="str">
        <f t="shared" si="205"/>
        <v/>
      </c>
      <c r="R750" s="4" t="str">
        <f t="shared" si="206"/>
        <v/>
      </c>
      <c r="S750" s="4" t="str">
        <f t="shared" si="207"/>
        <v/>
      </c>
      <c r="T750" s="4" t="str">
        <f t="shared" si="208"/>
        <v/>
      </c>
      <c r="U750">
        <f>IF(VLOOKUP(C750,'QA Table'!$Y$5:$Y$20,1,TRUE)=C750,1,0)</f>
        <v>0</v>
      </c>
      <c r="V750" t="str">
        <f t="shared" si="209"/>
        <v/>
      </c>
      <c r="W750" t="str">
        <f t="shared" si="210"/>
        <v/>
      </c>
      <c r="X750">
        <f t="shared" si="211"/>
        <v>3</v>
      </c>
      <c r="Y750">
        <f t="shared" si="212"/>
        <v>0</v>
      </c>
      <c r="AA750">
        <f t="shared" si="213"/>
        <v>1</v>
      </c>
    </row>
    <row r="751" spans="1:27" x14ac:dyDescent="0.2">
      <c r="A751" t="s">
        <v>23</v>
      </c>
      <c r="B751" t="s">
        <v>83</v>
      </c>
      <c r="C751" t="s">
        <v>1886</v>
      </c>
      <c r="D751" t="s">
        <v>30</v>
      </c>
      <c r="E751" t="s">
        <v>3</v>
      </c>
      <c r="F751" t="s">
        <v>1878</v>
      </c>
      <c r="G751" t="s">
        <v>1783</v>
      </c>
      <c r="H751" s="4">
        <f t="shared" si="197"/>
        <v>1</v>
      </c>
      <c r="I751" s="4" t="str">
        <f>IF(RIGHT(B751,1)="M",IF(AND(H751=1,E751="RFS",D751=INDEX('Station Depth Averages'!$A$3:$B$84,MATCH(B751,'Station Depth Averages'!$A$3:$A$84,0),2)),1,""),IF(AND(H751=1,OR(D751="SYN",D751="SRF",D751="MID")),1,IF(AND(H751=1,OR(E752="FDn",E752="LDn")),1,IF(AND(H751=1,OR(E751="FDn",E751="LDn")),1,""))))</f>
        <v/>
      </c>
      <c r="J751" s="4">
        <f t="shared" si="198"/>
        <v>1</v>
      </c>
      <c r="K751" s="4" t="str">
        <f t="shared" si="199"/>
        <v/>
      </c>
      <c r="L751" s="4" t="str">
        <f t="shared" si="200"/>
        <v/>
      </c>
      <c r="M751" s="4" t="str">
        <f t="shared" si="201"/>
        <v/>
      </c>
      <c r="N751" s="4" t="str">
        <f t="shared" si="202"/>
        <v/>
      </c>
      <c r="O751" s="4" t="str">
        <f t="shared" si="203"/>
        <v/>
      </c>
      <c r="P751" s="4" t="str">
        <f t="shared" si="204"/>
        <v/>
      </c>
      <c r="Q751" s="4" t="str">
        <f t="shared" si="205"/>
        <v/>
      </c>
      <c r="R751" s="4" t="str">
        <f t="shared" si="206"/>
        <v/>
      </c>
      <c r="S751" s="4" t="str">
        <f t="shared" si="207"/>
        <v/>
      </c>
      <c r="T751" s="4" t="str">
        <f t="shared" si="208"/>
        <v/>
      </c>
      <c r="U751">
        <f>IF(VLOOKUP(C751,'QA Table'!$Y$5:$Y$20,1,TRUE)=C751,1,0)</f>
        <v>0</v>
      </c>
      <c r="V751" t="str">
        <f t="shared" si="209"/>
        <v/>
      </c>
      <c r="W751" t="str">
        <f t="shared" si="210"/>
        <v/>
      </c>
      <c r="X751">
        <f t="shared" si="211"/>
        <v>3</v>
      </c>
      <c r="Y751">
        <f t="shared" si="212"/>
        <v>0</v>
      </c>
      <c r="AA751">
        <f t="shared" si="213"/>
        <v>1</v>
      </c>
    </row>
    <row r="752" spans="1:27" x14ac:dyDescent="0.2">
      <c r="A752" t="s">
        <v>23</v>
      </c>
      <c r="B752" t="s">
        <v>83</v>
      </c>
      <c r="C752" t="s">
        <v>1887</v>
      </c>
      <c r="D752" t="s">
        <v>5</v>
      </c>
      <c r="E752" t="s">
        <v>3</v>
      </c>
      <c r="F752" t="s">
        <v>1878</v>
      </c>
      <c r="G752" t="s">
        <v>1783</v>
      </c>
      <c r="H752" s="4">
        <f t="shared" si="197"/>
        <v>1</v>
      </c>
      <c r="I752" s="4" t="str">
        <f>IF(RIGHT(B752,1)="M",IF(AND(H752=1,E752="RFS",D752=INDEX('Station Depth Averages'!$A$3:$B$84,MATCH(B752,'Station Depth Averages'!$A$3:$A$84,0),2)),1,""),IF(AND(H752=1,OR(D752="SYN",D752="SRF",D752="MID")),1,IF(AND(H752=1,OR(E753="FDn",E753="LDn")),1,IF(AND(H752=1,OR(E752="FDn",E752="LDn")),1,""))))</f>
        <v/>
      </c>
      <c r="J752" s="4">
        <f t="shared" si="198"/>
        <v>1</v>
      </c>
      <c r="K752" s="4" t="str">
        <f t="shared" si="199"/>
        <v/>
      </c>
      <c r="L752" s="4" t="str">
        <f t="shared" si="200"/>
        <v/>
      </c>
      <c r="M752" s="4" t="str">
        <f t="shared" si="201"/>
        <v/>
      </c>
      <c r="N752" s="4" t="str">
        <f t="shared" si="202"/>
        <v/>
      </c>
      <c r="O752" s="4" t="str">
        <f t="shared" si="203"/>
        <v/>
      </c>
      <c r="P752" s="4" t="str">
        <f t="shared" si="204"/>
        <v/>
      </c>
      <c r="Q752" s="4" t="str">
        <f t="shared" si="205"/>
        <v/>
      </c>
      <c r="R752" s="4" t="str">
        <f t="shared" si="206"/>
        <v/>
      </c>
      <c r="S752" s="4" t="str">
        <f t="shared" si="207"/>
        <v/>
      </c>
      <c r="T752" s="4" t="str">
        <f t="shared" si="208"/>
        <v/>
      </c>
      <c r="U752">
        <f>IF(VLOOKUP(C752,'QA Table'!$Y$5:$Y$20,1,TRUE)=C752,1,0)</f>
        <v>0</v>
      </c>
      <c r="V752" t="str">
        <f t="shared" si="209"/>
        <v/>
      </c>
      <c r="W752" t="str">
        <f t="shared" si="210"/>
        <v/>
      </c>
      <c r="X752">
        <f t="shared" si="211"/>
        <v>3</v>
      </c>
      <c r="Y752">
        <f t="shared" si="212"/>
        <v>0</v>
      </c>
      <c r="AA752">
        <f t="shared" si="213"/>
        <v>1</v>
      </c>
    </row>
    <row r="753" spans="1:27" x14ac:dyDescent="0.2">
      <c r="A753" t="s">
        <v>23</v>
      </c>
      <c r="B753" t="s">
        <v>83</v>
      </c>
      <c r="C753" t="s">
        <v>1888</v>
      </c>
      <c r="D753" t="s">
        <v>6</v>
      </c>
      <c r="E753" t="s">
        <v>3</v>
      </c>
      <c r="F753" t="s">
        <v>1878</v>
      </c>
      <c r="G753" t="s">
        <v>1783</v>
      </c>
      <c r="H753" s="4">
        <f t="shared" si="197"/>
        <v>1</v>
      </c>
      <c r="I753" s="4" t="str">
        <f>IF(RIGHT(B753,1)="M",IF(AND(H753=1,E753="RFS",D753=INDEX('Station Depth Averages'!$A$3:$B$84,MATCH(B753,'Station Depth Averages'!$A$3:$A$84,0),2)),1,""),IF(AND(H753=1,OR(D753="SYN",D753="SRF",D753="MID")),1,IF(AND(H753=1,OR(E754="FDn",E754="LDn")),1,IF(AND(H753=1,OR(E753="FDn",E753="LDn")),1,""))))</f>
        <v/>
      </c>
      <c r="J753" s="4">
        <f t="shared" si="198"/>
        <v>1</v>
      </c>
      <c r="K753" s="4" t="str">
        <f t="shared" si="199"/>
        <v/>
      </c>
      <c r="L753" s="4" t="str">
        <f t="shared" si="200"/>
        <v/>
      </c>
      <c r="M753" s="4" t="str">
        <f t="shared" si="201"/>
        <v/>
      </c>
      <c r="N753" s="4" t="str">
        <f t="shared" si="202"/>
        <v/>
      </c>
      <c r="O753" s="4" t="str">
        <f t="shared" si="203"/>
        <v/>
      </c>
      <c r="P753" s="4" t="str">
        <f t="shared" si="204"/>
        <v/>
      </c>
      <c r="Q753" s="4" t="str">
        <f t="shared" si="205"/>
        <v/>
      </c>
      <c r="R753" s="4" t="str">
        <f t="shared" si="206"/>
        <v/>
      </c>
      <c r="S753" s="4" t="str">
        <f t="shared" si="207"/>
        <v/>
      </c>
      <c r="T753" s="4" t="str">
        <f t="shared" si="208"/>
        <v/>
      </c>
      <c r="U753">
        <f>IF(VLOOKUP(C753,'QA Table'!$Y$5:$Y$20,1,TRUE)=C753,1,0)</f>
        <v>0</v>
      </c>
      <c r="V753" t="str">
        <f t="shared" si="209"/>
        <v/>
      </c>
      <c r="W753" t="str">
        <f t="shared" si="210"/>
        <v/>
      </c>
      <c r="X753">
        <f t="shared" si="211"/>
        <v>3</v>
      </c>
      <c r="Y753">
        <f t="shared" si="212"/>
        <v>0</v>
      </c>
      <c r="AA753">
        <f t="shared" si="213"/>
        <v>1</v>
      </c>
    </row>
    <row r="754" spans="1:27" x14ac:dyDescent="0.2">
      <c r="A754" t="s">
        <v>23</v>
      </c>
      <c r="B754" t="s">
        <v>83</v>
      </c>
      <c r="C754" t="s">
        <v>1889</v>
      </c>
      <c r="D754" t="s">
        <v>8</v>
      </c>
      <c r="E754" t="s">
        <v>3</v>
      </c>
      <c r="F754" t="s">
        <v>1878</v>
      </c>
      <c r="G754" t="s">
        <v>1783</v>
      </c>
      <c r="H754" s="4">
        <f t="shared" si="197"/>
        <v>1</v>
      </c>
      <c r="I754" s="4" t="str">
        <f>IF(RIGHT(B754,1)="M",IF(AND(H754=1,E754="RFS",D754=INDEX('Station Depth Averages'!$A$3:$B$84,MATCH(B754,'Station Depth Averages'!$A$3:$A$84,0),2)),1,""),IF(AND(H754=1,OR(D754="SYN",D754="SRF",D754="MID")),1,IF(AND(H754=1,OR(E755="FDn",E755="LDn")),1,IF(AND(H754=1,OR(E754="FDn",E754="LDn")),1,""))))</f>
        <v/>
      </c>
      <c r="J754" s="4" t="str">
        <f t="shared" si="198"/>
        <v/>
      </c>
      <c r="K754" s="4">
        <f t="shared" si="199"/>
        <v>1</v>
      </c>
      <c r="L754" s="4" t="str">
        <f t="shared" si="200"/>
        <v/>
      </c>
      <c r="M754" s="4" t="str">
        <f t="shared" si="201"/>
        <v/>
      </c>
      <c r="N754" s="4" t="str">
        <f t="shared" si="202"/>
        <v/>
      </c>
      <c r="O754" s="4" t="str">
        <f t="shared" si="203"/>
        <v/>
      </c>
      <c r="P754" s="4" t="str">
        <f t="shared" si="204"/>
        <v/>
      </c>
      <c r="Q754" s="4">
        <f t="shared" si="205"/>
        <v>2</v>
      </c>
      <c r="R754" s="4" t="str">
        <f t="shared" si="206"/>
        <v/>
      </c>
      <c r="S754" s="4" t="str">
        <f t="shared" si="207"/>
        <v/>
      </c>
      <c r="T754" s="4" t="str">
        <f t="shared" si="208"/>
        <v/>
      </c>
      <c r="U754">
        <f>IF(VLOOKUP(C754,'QA Table'!$Y$5:$Y$20,1,TRUE)=C754,1,0)</f>
        <v>0</v>
      </c>
      <c r="V754" t="str">
        <f t="shared" si="209"/>
        <v/>
      </c>
      <c r="W754" t="str">
        <f t="shared" si="210"/>
        <v/>
      </c>
      <c r="X754">
        <f t="shared" si="211"/>
        <v>3</v>
      </c>
      <c r="Y754">
        <f t="shared" si="212"/>
        <v>0</v>
      </c>
      <c r="AA754">
        <f t="shared" si="213"/>
        <v>1</v>
      </c>
    </row>
    <row r="755" spans="1:27" x14ac:dyDescent="0.2">
      <c r="A755" t="s">
        <v>23</v>
      </c>
      <c r="B755" t="s">
        <v>83</v>
      </c>
      <c r="C755" t="s">
        <v>1890</v>
      </c>
      <c r="D755" t="s">
        <v>9</v>
      </c>
      <c r="E755" t="s">
        <v>3</v>
      </c>
      <c r="F755" t="s">
        <v>1878</v>
      </c>
      <c r="G755" t="s">
        <v>1783</v>
      </c>
      <c r="H755" s="4" t="str">
        <f t="shared" si="197"/>
        <v/>
      </c>
      <c r="I755" s="4" t="str">
        <f>IF(RIGHT(B755,1)="M",IF(AND(H755=1,E755="RFS",D755=INDEX('Station Depth Averages'!$A$3:$B$84,MATCH(B755,'Station Depth Averages'!$A$3:$A$84,0),2)),1,""),IF(AND(H755=1,OR(D755="SYN",D755="SRF",D755="MID")),1,IF(AND(H755=1,OR(E756="FDn",E756="LDn")),1,IF(AND(H755=1,OR(E755="FDn",E755="LDn")),1,""))))</f>
        <v/>
      </c>
      <c r="J755" s="4" t="str">
        <f t="shared" si="198"/>
        <v/>
      </c>
      <c r="K755" s="4" t="str">
        <f t="shared" si="199"/>
        <v/>
      </c>
      <c r="L755" s="4" t="str">
        <f t="shared" si="200"/>
        <v/>
      </c>
      <c r="M755" s="4" t="str">
        <f t="shared" si="201"/>
        <v/>
      </c>
      <c r="N755" s="4" t="str">
        <f t="shared" si="202"/>
        <v/>
      </c>
      <c r="O755" s="4" t="str">
        <f t="shared" si="203"/>
        <v/>
      </c>
      <c r="P755" s="4" t="str">
        <f t="shared" si="204"/>
        <v/>
      </c>
      <c r="Q755" s="4" t="str">
        <f t="shared" si="205"/>
        <v/>
      </c>
      <c r="R755" s="4" t="str">
        <f t="shared" si="206"/>
        <v/>
      </c>
      <c r="S755" s="4" t="str">
        <f t="shared" si="207"/>
        <v/>
      </c>
      <c r="T755" s="4">
        <f t="shared" si="208"/>
        <v>2</v>
      </c>
      <c r="U755">
        <f>IF(VLOOKUP(C755,'QA Table'!$Y$5:$Y$20,1,TRUE)=C755,1,0)</f>
        <v>0</v>
      </c>
      <c r="V755" t="str">
        <f t="shared" si="209"/>
        <v/>
      </c>
      <c r="W755" t="str">
        <f t="shared" si="210"/>
        <v/>
      </c>
      <c r="X755" t="str">
        <f t="shared" si="211"/>
        <v/>
      </c>
      <c r="Y755">
        <f t="shared" si="212"/>
        <v>0</v>
      </c>
      <c r="AA755" t="str">
        <f t="shared" si="213"/>
        <v/>
      </c>
    </row>
    <row r="756" spans="1:27" x14ac:dyDescent="0.2">
      <c r="A756" t="s">
        <v>23</v>
      </c>
      <c r="B756" t="s">
        <v>83</v>
      </c>
      <c r="C756" t="s">
        <v>1891</v>
      </c>
      <c r="D756" t="s">
        <v>10</v>
      </c>
      <c r="E756" t="s">
        <v>3</v>
      </c>
      <c r="F756" t="s">
        <v>1878</v>
      </c>
      <c r="G756" t="s">
        <v>1783</v>
      </c>
      <c r="H756" s="4" t="str">
        <f t="shared" si="197"/>
        <v/>
      </c>
      <c r="I756" s="4" t="str">
        <f>IF(RIGHT(B756,1)="M",IF(AND(H756=1,E756="RFS",D756=INDEX('Station Depth Averages'!$A$3:$B$84,MATCH(B756,'Station Depth Averages'!$A$3:$A$84,0),2)),1,""),IF(AND(H756=1,OR(D756="SYN",D756="SRF",D756="MID")),1,IF(AND(H756=1,OR(E757="FDn",E757="LDn")),1,IF(AND(H756=1,OR(E756="FDn",E756="LDn")),1,""))))</f>
        <v/>
      </c>
      <c r="J756" s="4" t="str">
        <f t="shared" si="198"/>
        <v/>
      </c>
      <c r="K756" s="4" t="str">
        <f t="shared" si="199"/>
        <v/>
      </c>
      <c r="L756" s="4" t="str">
        <f t="shared" si="200"/>
        <v/>
      </c>
      <c r="M756" s="4" t="str">
        <f t="shared" si="201"/>
        <v/>
      </c>
      <c r="N756" s="4" t="str">
        <f t="shared" si="202"/>
        <v/>
      </c>
      <c r="O756" s="4" t="str">
        <f t="shared" si="203"/>
        <v/>
      </c>
      <c r="P756" s="4" t="str">
        <f t="shared" si="204"/>
        <v/>
      </c>
      <c r="Q756" s="4" t="str">
        <f t="shared" si="205"/>
        <v/>
      </c>
      <c r="R756" s="4" t="str">
        <f t="shared" si="206"/>
        <v/>
      </c>
      <c r="S756" s="4" t="str">
        <f t="shared" si="207"/>
        <v/>
      </c>
      <c r="T756" s="4">
        <f t="shared" si="208"/>
        <v>2</v>
      </c>
      <c r="U756">
        <f>IF(VLOOKUP(C756,'QA Table'!$Y$5:$Y$20,1,TRUE)=C756,1,0)</f>
        <v>0</v>
      </c>
      <c r="V756" t="str">
        <f t="shared" si="209"/>
        <v/>
      </c>
      <c r="W756" t="str">
        <f t="shared" si="210"/>
        <v/>
      </c>
      <c r="X756" t="str">
        <f t="shared" si="211"/>
        <v/>
      </c>
      <c r="Y756">
        <f t="shared" si="212"/>
        <v>0</v>
      </c>
      <c r="AA756" t="str">
        <f t="shared" si="213"/>
        <v/>
      </c>
    </row>
    <row r="757" spans="1:27" x14ac:dyDescent="0.2">
      <c r="A757" t="s">
        <v>23</v>
      </c>
      <c r="B757" t="s">
        <v>83</v>
      </c>
      <c r="C757" t="s">
        <v>1892</v>
      </c>
      <c r="D757" t="s">
        <v>1034</v>
      </c>
      <c r="E757" t="s">
        <v>3</v>
      </c>
      <c r="F757" t="s">
        <v>1878</v>
      </c>
      <c r="G757" t="s">
        <v>1783</v>
      </c>
      <c r="H757" s="4" t="str">
        <f t="shared" si="197"/>
        <v/>
      </c>
      <c r="I757" s="4" t="str">
        <f>IF(RIGHT(B757,1)="M",IF(AND(H757=1,E757="RFS",D757=INDEX('Station Depth Averages'!$A$3:$B$84,MATCH(B757,'Station Depth Averages'!$A$3:$A$84,0),2)),1,""),IF(AND(H757=1,OR(D757="SYN",D757="SRF",D757="MID")),1,IF(AND(H757=1,OR(E758="FDn",E758="LDn")),1,IF(AND(H757=1,OR(E757="FDn",E757="LDn")),1,""))))</f>
        <v/>
      </c>
      <c r="J757" s="4" t="str">
        <f t="shared" si="198"/>
        <v/>
      </c>
      <c r="K757" s="4" t="str">
        <f t="shared" si="199"/>
        <v/>
      </c>
      <c r="L757" s="4" t="str">
        <f t="shared" si="200"/>
        <v/>
      </c>
      <c r="M757" s="4" t="str">
        <f t="shared" si="201"/>
        <v/>
      </c>
      <c r="N757" s="4" t="str">
        <f t="shared" si="202"/>
        <v/>
      </c>
      <c r="O757" s="4" t="str">
        <f t="shared" si="203"/>
        <v/>
      </c>
      <c r="P757" s="4" t="str">
        <f t="shared" si="204"/>
        <v/>
      </c>
      <c r="Q757" s="4" t="str">
        <f t="shared" si="205"/>
        <v/>
      </c>
      <c r="R757" s="4" t="str">
        <f t="shared" si="206"/>
        <v/>
      </c>
      <c r="S757" s="4">
        <f t="shared" si="207"/>
        <v>1</v>
      </c>
      <c r="T757" s="4" t="str">
        <f t="shared" si="208"/>
        <v/>
      </c>
      <c r="U757">
        <f>IF(VLOOKUP(C757,'QA Table'!$Y$5:$Y$20,1,TRUE)=C757,1,0)</f>
        <v>0</v>
      </c>
      <c r="V757" t="str">
        <f t="shared" si="209"/>
        <v/>
      </c>
      <c r="W757" t="str">
        <f t="shared" si="210"/>
        <v/>
      </c>
      <c r="X757" t="str">
        <f t="shared" si="211"/>
        <v/>
      </c>
      <c r="Y757">
        <f t="shared" si="212"/>
        <v>0</v>
      </c>
      <c r="AA757" t="str">
        <f t="shared" si="213"/>
        <v/>
      </c>
    </row>
    <row r="758" spans="1:27" x14ac:dyDescent="0.2">
      <c r="A758" t="s">
        <v>23</v>
      </c>
      <c r="B758" t="s">
        <v>83</v>
      </c>
      <c r="C758" t="s">
        <v>1893</v>
      </c>
      <c r="D758" t="s">
        <v>1034</v>
      </c>
      <c r="E758" t="s">
        <v>19</v>
      </c>
      <c r="F758" t="s">
        <v>1878</v>
      </c>
      <c r="G758" t="s">
        <v>1783</v>
      </c>
      <c r="H758" s="4" t="str">
        <f t="shared" si="197"/>
        <v/>
      </c>
      <c r="I758" s="4" t="str">
        <f>IF(RIGHT(B758,1)="M",IF(AND(H758=1,E758="RFS",D758=INDEX('Station Depth Averages'!$A$3:$B$84,MATCH(B758,'Station Depth Averages'!$A$3:$A$84,0),2)),1,""),IF(AND(H758=1,OR(D758="SYN",D758="SRF",D758="MID")),1,IF(AND(H758=1,OR(E759="FDn",E759="LDn")),1,IF(AND(H758=1,OR(E758="FDn",E758="LDn")),1,""))))</f>
        <v/>
      </c>
      <c r="J758" s="4" t="str">
        <f t="shared" si="198"/>
        <v/>
      </c>
      <c r="K758" s="4" t="str">
        <f t="shared" si="199"/>
        <v/>
      </c>
      <c r="L758" s="4" t="str">
        <f t="shared" si="200"/>
        <v/>
      </c>
      <c r="M758" s="4" t="str">
        <f t="shared" si="201"/>
        <v/>
      </c>
      <c r="N758" s="4" t="str">
        <f t="shared" si="202"/>
        <v/>
      </c>
      <c r="O758" s="4" t="str">
        <f t="shared" si="203"/>
        <v/>
      </c>
      <c r="P758" s="4" t="str">
        <f t="shared" si="204"/>
        <v/>
      </c>
      <c r="Q758" s="4" t="str">
        <f t="shared" si="205"/>
        <v/>
      </c>
      <c r="R758" s="4" t="str">
        <f t="shared" si="206"/>
        <v/>
      </c>
      <c r="S758" s="4">
        <f t="shared" si="207"/>
        <v>1</v>
      </c>
      <c r="T758" s="4" t="str">
        <f t="shared" si="208"/>
        <v/>
      </c>
      <c r="U758">
        <f>IF(VLOOKUP(C758,'QA Table'!$Y$5:$Y$20,1,TRUE)=C758,1,0)</f>
        <v>0</v>
      </c>
      <c r="V758" t="str">
        <f t="shared" si="209"/>
        <v/>
      </c>
      <c r="W758" t="str">
        <f t="shared" si="210"/>
        <v/>
      </c>
      <c r="X758" t="str">
        <f t="shared" si="211"/>
        <v/>
      </c>
      <c r="Y758">
        <f t="shared" si="212"/>
        <v>0</v>
      </c>
      <c r="AA758" t="str">
        <f t="shared" si="213"/>
        <v/>
      </c>
    </row>
    <row r="759" spans="1:27" x14ac:dyDescent="0.2">
      <c r="A759" t="s">
        <v>23</v>
      </c>
      <c r="B759" t="s">
        <v>84</v>
      </c>
      <c r="C759" t="s">
        <v>1894</v>
      </c>
      <c r="D759" t="s">
        <v>2</v>
      </c>
      <c r="E759" t="s">
        <v>3</v>
      </c>
      <c r="F759" t="s">
        <v>1895</v>
      </c>
      <c r="G759" t="s">
        <v>1783</v>
      </c>
      <c r="H759" s="4">
        <f t="shared" si="197"/>
        <v>1</v>
      </c>
      <c r="I759" s="4">
        <f>IF(RIGHT(B759,1)="M",IF(AND(H759=1,E759="RFS",D759=INDEX('Station Depth Averages'!$A$3:$B$84,MATCH(B759,'Station Depth Averages'!$A$3:$A$84,0),2)),1,""),IF(AND(H759=1,OR(D759="SYN",D759="SRF",D759="MID")),1,IF(AND(H759=1,OR(E760="FDn",E760="LDn")),1,IF(AND(H759=1,OR(E759="FDn",E759="LDn")),1,""))))</f>
        <v>1</v>
      </c>
      <c r="J759" s="4">
        <f t="shared" si="198"/>
        <v>1</v>
      </c>
      <c r="K759" s="4" t="str">
        <f t="shared" si="199"/>
        <v/>
      </c>
      <c r="L759" s="4" t="str">
        <f t="shared" si="200"/>
        <v/>
      </c>
      <c r="M759" s="4" t="str">
        <f t="shared" si="201"/>
        <v/>
      </c>
      <c r="N759" s="4" t="str">
        <f t="shared" si="202"/>
        <v/>
      </c>
      <c r="O759" s="4" t="str">
        <f t="shared" si="203"/>
        <v/>
      </c>
      <c r="P759" s="4" t="str">
        <f t="shared" si="204"/>
        <v/>
      </c>
      <c r="Q759" s="4" t="str">
        <f t="shared" si="205"/>
        <v/>
      </c>
      <c r="R759" s="4" t="str">
        <f t="shared" si="206"/>
        <v/>
      </c>
      <c r="S759" s="4" t="str">
        <f t="shared" si="207"/>
        <v/>
      </c>
      <c r="T759" s="4" t="str">
        <f t="shared" si="208"/>
        <v/>
      </c>
      <c r="U759">
        <f>IF(VLOOKUP(C759,'QA Table'!$Y$5:$Y$20,1,TRUE)=C759,1,0)</f>
        <v>0</v>
      </c>
      <c r="V759" t="str">
        <f t="shared" si="209"/>
        <v/>
      </c>
      <c r="W759" t="str">
        <f t="shared" si="210"/>
        <v/>
      </c>
      <c r="X759">
        <f t="shared" si="211"/>
        <v>3</v>
      </c>
      <c r="Y759">
        <f t="shared" si="212"/>
        <v>0</v>
      </c>
      <c r="AA759">
        <f t="shared" si="213"/>
        <v>1</v>
      </c>
    </row>
    <row r="760" spans="1:27" x14ac:dyDescent="0.2">
      <c r="A760" t="s">
        <v>23</v>
      </c>
      <c r="B760" t="s">
        <v>84</v>
      </c>
      <c r="C760" t="s">
        <v>1896</v>
      </c>
      <c r="D760" t="s">
        <v>1050</v>
      </c>
      <c r="E760" t="s">
        <v>3</v>
      </c>
      <c r="F760" t="s">
        <v>1895</v>
      </c>
      <c r="G760" t="s">
        <v>1783</v>
      </c>
      <c r="H760" s="4" t="str">
        <f t="shared" si="197"/>
        <v/>
      </c>
      <c r="I760" s="4" t="str">
        <f>IF(RIGHT(B760,1)="M",IF(AND(H760=1,E760="RFS",D760=INDEX('Station Depth Averages'!$A$3:$B$84,MATCH(B760,'Station Depth Averages'!$A$3:$A$84,0),2)),1,""),IF(AND(H760=1,OR(D760="SYN",D760="SRF",D760="MID")),1,IF(AND(H760=1,OR(E761="FDn",E761="LDn")),1,IF(AND(H760=1,OR(E760="FDn",E760="LDn")),1,""))))</f>
        <v/>
      </c>
      <c r="J760" s="4" t="str">
        <f t="shared" si="198"/>
        <v/>
      </c>
      <c r="K760" s="4" t="str">
        <f t="shared" si="199"/>
        <v/>
      </c>
      <c r="L760" s="4" t="str">
        <f t="shared" si="200"/>
        <v/>
      </c>
      <c r="M760" s="4" t="str">
        <f t="shared" si="201"/>
        <v/>
      </c>
      <c r="N760" s="4" t="str">
        <f t="shared" si="202"/>
        <v/>
      </c>
      <c r="O760" s="4" t="str">
        <f t="shared" si="203"/>
        <v/>
      </c>
      <c r="P760" s="4" t="str">
        <f t="shared" si="204"/>
        <v/>
      </c>
      <c r="Q760" s="4" t="str">
        <f t="shared" si="205"/>
        <v/>
      </c>
      <c r="R760" s="4" t="str">
        <f t="shared" si="206"/>
        <v/>
      </c>
      <c r="S760" s="4" t="str">
        <f t="shared" si="207"/>
        <v/>
      </c>
      <c r="T760" s="4" t="str">
        <f t="shared" si="208"/>
        <v/>
      </c>
      <c r="U760">
        <f>IF(VLOOKUP(C760,'QA Table'!$Y$5:$Y$20,1,TRUE)=C760,1,0)</f>
        <v>0</v>
      </c>
      <c r="V760" t="str">
        <f t="shared" si="209"/>
        <v/>
      </c>
      <c r="W760" t="str">
        <f t="shared" si="210"/>
        <v/>
      </c>
      <c r="X760" t="str">
        <f t="shared" si="211"/>
        <v/>
      </c>
      <c r="Y760">
        <f t="shared" si="212"/>
        <v>0</v>
      </c>
      <c r="AA760" t="str">
        <f t="shared" si="213"/>
        <v/>
      </c>
    </row>
    <row r="761" spans="1:27" x14ac:dyDescent="0.2">
      <c r="A761" t="s">
        <v>23</v>
      </c>
      <c r="B761" t="s">
        <v>84</v>
      </c>
      <c r="C761" t="s">
        <v>1897</v>
      </c>
      <c r="D761" t="s">
        <v>4</v>
      </c>
      <c r="E761" t="s">
        <v>3</v>
      </c>
      <c r="F761" t="s">
        <v>1895</v>
      </c>
      <c r="G761" t="s">
        <v>1783</v>
      </c>
      <c r="H761" s="4" t="str">
        <f t="shared" si="197"/>
        <v/>
      </c>
      <c r="I761" s="4" t="str">
        <f>IF(RIGHT(B761,1)="M",IF(AND(H761=1,E761="RFS",D761=INDEX('Station Depth Averages'!$A$3:$B$84,MATCH(B761,'Station Depth Averages'!$A$3:$A$84,0),2)),1,""),IF(AND(H761=1,OR(D761="SYN",D761="SRF",D761="MID")),1,IF(AND(H761=1,OR(E762="FDn",E762="LDn")),1,IF(AND(H761=1,OR(E761="FDn",E761="LDn")),1,""))))</f>
        <v/>
      </c>
      <c r="J761" s="4" t="str">
        <f t="shared" si="198"/>
        <v/>
      </c>
      <c r="K761" s="4" t="str">
        <f t="shared" si="199"/>
        <v/>
      </c>
      <c r="L761" s="4" t="str">
        <f t="shared" si="200"/>
        <v/>
      </c>
      <c r="M761" s="4" t="str">
        <f t="shared" si="201"/>
        <v/>
      </c>
      <c r="N761" s="4" t="str">
        <f t="shared" si="202"/>
        <v/>
      </c>
      <c r="O761" s="4" t="str">
        <f t="shared" si="203"/>
        <v/>
      </c>
      <c r="P761" s="4" t="str">
        <f t="shared" si="204"/>
        <v/>
      </c>
      <c r="Q761" s="4" t="str">
        <f t="shared" si="205"/>
        <v/>
      </c>
      <c r="R761" s="4" t="str">
        <f t="shared" si="206"/>
        <v/>
      </c>
      <c r="S761" s="4" t="str">
        <f t="shared" si="207"/>
        <v/>
      </c>
      <c r="T761" s="4" t="str">
        <f t="shared" si="208"/>
        <v/>
      </c>
      <c r="U761">
        <f>IF(VLOOKUP(C761,'QA Table'!$Y$5:$Y$20,1,TRUE)=C761,1,0)</f>
        <v>0</v>
      </c>
      <c r="V761" t="str">
        <f t="shared" si="209"/>
        <v/>
      </c>
      <c r="W761" t="str">
        <f t="shared" si="210"/>
        <v/>
      </c>
      <c r="X761" t="str">
        <f t="shared" si="211"/>
        <v/>
      </c>
      <c r="Y761">
        <f t="shared" si="212"/>
        <v>0</v>
      </c>
      <c r="AA761" t="str">
        <f t="shared" si="213"/>
        <v/>
      </c>
    </row>
    <row r="762" spans="1:27" x14ac:dyDescent="0.2">
      <c r="A762" t="s">
        <v>23</v>
      </c>
      <c r="B762" t="s">
        <v>84</v>
      </c>
      <c r="C762" t="s">
        <v>1898</v>
      </c>
      <c r="D762" t="s">
        <v>1051</v>
      </c>
      <c r="E762" t="s">
        <v>3</v>
      </c>
      <c r="F762" t="s">
        <v>1895</v>
      </c>
      <c r="G762" t="s">
        <v>1783</v>
      </c>
      <c r="H762" s="4" t="str">
        <f t="shared" si="197"/>
        <v/>
      </c>
      <c r="I762" s="4" t="str">
        <f>IF(RIGHT(B762,1)="M",IF(AND(H762=1,E762="RFS",D762=INDEX('Station Depth Averages'!$A$3:$B$84,MATCH(B762,'Station Depth Averages'!$A$3:$A$84,0),2)),1,""),IF(AND(H762=1,OR(D762="SYN",D762="SRF",D762="MID")),1,IF(AND(H762=1,OR(E763="FDn",E763="LDn")),1,IF(AND(H762=1,OR(E762="FDn",E762="LDn")),1,""))))</f>
        <v/>
      </c>
      <c r="J762" s="4" t="str">
        <f t="shared" si="198"/>
        <v/>
      </c>
      <c r="K762" s="4" t="str">
        <f t="shared" si="199"/>
        <v/>
      </c>
      <c r="L762" s="4" t="str">
        <f t="shared" si="200"/>
        <v/>
      </c>
      <c r="M762" s="4" t="str">
        <f t="shared" si="201"/>
        <v/>
      </c>
      <c r="N762" s="4" t="str">
        <f t="shared" si="202"/>
        <v/>
      </c>
      <c r="O762" s="4" t="str">
        <f t="shared" si="203"/>
        <v/>
      </c>
      <c r="P762" s="4" t="str">
        <f t="shared" si="204"/>
        <v/>
      </c>
      <c r="Q762" s="4" t="str">
        <f t="shared" si="205"/>
        <v/>
      </c>
      <c r="R762" s="4" t="str">
        <f t="shared" si="206"/>
        <v/>
      </c>
      <c r="S762" s="4" t="str">
        <f t="shared" si="207"/>
        <v/>
      </c>
      <c r="T762" s="4" t="str">
        <f t="shared" si="208"/>
        <v/>
      </c>
      <c r="U762">
        <f>IF(VLOOKUP(C762,'QA Table'!$Y$5:$Y$20,1,TRUE)=C762,1,0)</f>
        <v>0</v>
      </c>
      <c r="V762" t="str">
        <f t="shared" si="209"/>
        <v/>
      </c>
      <c r="W762" t="str">
        <f t="shared" si="210"/>
        <v/>
      </c>
      <c r="X762" t="str">
        <f t="shared" si="211"/>
        <v/>
      </c>
      <c r="Y762">
        <f t="shared" si="212"/>
        <v>0</v>
      </c>
      <c r="AA762" t="str">
        <f t="shared" si="213"/>
        <v/>
      </c>
    </row>
    <row r="763" spans="1:27" x14ac:dyDescent="0.2">
      <c r="A763" t="s">
        <v>23</v>
      </c>
      <c r="B763" t="s">
        <v>84</v>
      </c>
      <c r="C763" t="s">
        <v>1899</v>
      </c>
      <c r="D763" t="s">
        <v>119</v>
      </c>
      <c r="E763" t="s">
        <v>3</v>
      </c>
      <c r="F763" t="s">
        <v>1895</v>
      </c>
      <c r="G763" t="s">
        <v>1783</v>
      </c>
      <c r="H763" s="4">
        <f t="shared" si="197"/>
        <v>1</v>
      </c>
      <c r="I763" s="4">
        <f>IF(RIGHT(B763,1)="M",IF(AND(H763=1,E763="RFS",D763=INDEX('Station Depth Averages'!$A$3:$B$84,MATCH(B763,'Station Depth Averages'!$A$3:$A$84,0),2)),1,""),IF(AND(H763=1,OR(D763="SYN",D763="SRF",D763="MID")),1,IF(AND(H763=1,OR(E764="FDn",E764="LDn")),1,IF(AND(H763=1,OR(E763="FDn",E763="LDn")),1,""))))</f>
        <v>1</v>
      </c>
      <c r="J763" s="4">
        <f t="shared" si="198"/>
        <v>1</v>
      </c>
      <c r="K763" s="4" t="str">
        <f t="shared" si="199"/>
        <v/>
      </c>
      <c r="L763" s="4" t="str">
        <f t="shared" si="200"/>
        <v/>
      </c>
      <c r="M763" s="4" t="str">
        <f t="shared" si="201"/>
        <v/>
      </c>
      <c r="N763" s="4" t="str">
        <f t="shared" si="202"/>
        <v/>
      </c>
      <c r="O763" s="4" t="str">
        <f t="shared" si="203"/>
        <v/>
      </c>
      <c r="P763" s="4" t="str">
        <f t="shared" si="204"/>
        <v/>
      </c>
      <c r="Q763" s="4" t="str">
        <f t="shared" si="205"/>
        <v/>
      </c>
      <c r="R763" s="4" t="str">
        <f t="shared" si="206"/>
        <v/>
      </c>
      <c r="S763" s="4" t="str">
        <f t="shared" si="207"/>
        <v/>
      </c>
      <c r="T763" s="4" t="str">
        <f t="shared" si="208"/>
        <v/>
      </c>
      <c r="U763">
        <f>IF(VLOOKUP(C763,'QA Table'!$Y$5:$Y$20,1,TRUE)=C763,1,0)</f>
        <v>0</v>
      </c>
      <c r="V763" t="str">
        <f t="shared" si="209"/>
        <v/>
      </c>
      <c r="W763" t="str">
        <f t="shared" si="210"/>
        <v/>
      </c>
      <c r="X763">
        <f t="shared" si="211"/>
        <v>3</v>
      </c>
      <c r="Y763">
        <f t="shared" si="212"/>
        <v>0</v>
      </c>
      <c r="AA763">
        <f t="shared" si="213"/>
        <v>1</v>
      </c>
    </row>
    <row r="764" spans="1:27" x14ac:dyDescent="0.2">
      <c r="A764" t="s">
        <v>23</v>
      </c>
      <c r="B764" t="s">
        <v>84</v>
      </c>
      <c r="C764" t="s">
        <v>1900</v>
      </c>
      <c r="D764" t="s">
        <v>5</v>
      </c>
      <c r="E764" t="s">
        <v>3</v>
      </c>
      <c r="F764" t="s">
        <v>1895</v>
      </c>
      <c r="G764" t="s">
        <v>1783</v>
      </c>
      <c r="H764" s="4">
        <f t="shared" si="197"/>
        <v>1</v>
      </c>
      <c r="I764" s="4" t="str">
        <f>IF(RIGHT(B764,1)="M",IF(AND(H764=1,E764="RFS",D764=INDEX('Station Depth Averages'!$A$3:$B$84,MATCH(B764,'Station Depth Averages'!$A$3:$A$84,0),2)),1,""),IF(AND(H764=1,OR(D764="SYN",D764="SRF",D764="MID")),1,IF(AND(H764=1,OR(E765="FDn",E765="LDn")),1,IF(AND(H764=1,OR(E764="FDn",E764="LDn")),1,""))))</f>
        <v/>
      </c>
      <c r="J764" s="4">
        <f t="shared" si="198"/>
        <v>1</v>
      </c>
      <c r="K764" s="4" t="str">
        <f t="shared" si="199"/>
        <v/>
      </c>
      <c r="L764" s="4" t="str">
        <f t="shared" si="200"/>
        <v/>
      </c>
      <c r="M764" s="4" t="str">
        <f t="shared" si="201"/>
        <v/>
      </c>
      <c r="N764" s="4" t="str">
        <f t="shared" si="202"/>
        <v/>
      </c>
      <c r="O764" s="4" t="str">
        <f t="shared" si="203"/>
        <v/>
      </c>
      <c r="P764" s="4" t="str">
        <f t="shared" si="204"/>
        <v/>
      </c>
      <c r="Q764" s="4" t="str">
        <f t="shared" si="205"/>
        <v/>
      </c>
      <c r="R764" s="4" t="str">
        <f t="shared" si="206"/>
        <v/>
      </c>
      <c r="S764" s="4" t="str">
        <f t="shared" si="207"/>
        <v/>
      </c>
      <c r="T764" s="4" t="str">
        <f t="shared" si="208"/>
        <v/>
      </c>
      <c r="U764">
        <f>IF(VLOOKUP(C764,'QA Table'!$Y$5:$Y$20,1,TRUE)=C764,1,0)</f>
        <v>0</v>
      </c>
      <c r="V764" t="str">
        <f t="shared" si="209"/>
        <v/>
      </c>
      <c r="W764" t="str">
        <f t="shared" si="210"/>
        <v/>
      </c>
      <c r="X764">
        <f t="shared" si="211"/>
        <v>3</v>
      </c>
      <c r="Y764">
        <f t="shared" si="212"/>
        <v>0</v>
      </c>
      <c r="AA764">
        <f t="shared" si="213"/>
        <v>1</v>
      </c>
    </row>
    <row r="765" spans="1:27" x14ac:dyDescent="0.2">
      <c r="A765" t="s">
        <v>23</v>
      </c>
      <c r="B765" t="s">
        <v>84</v>
      </c>
      <c r="C765" t="s">
        <v>1122</v>
      </c>
      <c r="D765" t="s">
        <v>6</v>
      </c>
      <c r="E765" t="s">
        <v>3</v>
      </c>
      <c r="F765" t="s">
        <v>1895</v>
      </c>
      <c r="G765" t="s">
        <v>1783</v>
      </c>
      <c r="H765" s="4">
        <f t="shared" si="197"/>
        <v>1</v>
      </c>
      <c r="I765" s="4">
        <f>IF(RIGHT(B765,1)="M",IF(AND(H765=1,E765="RFS",D765=INDEX('Station Depth Averages'!$A$3:$B$84,MATCH(B765,'Station Depth Averages'!$A$3:$A$84,0),2)),1,""),IF(AND(H765=1,OR(D765="SYN",D765="SRF",D765="MID")),1,IF(AND(H765=1,OR(E766="FDn",E766="LDn")),1,IF(AND(H765=1,OR(E765="FDn",E765="LDn")),1,""))))</f>
        <v>1</v>
      </c>
      <c r="J765" s="4">
        <f t="shared" si="198"/>
        <v>1</v>
      </c>
      <c r="K765" s="4" t="str">
        <f t="shared" si="199"/>
        <v/>
      </c>
      <c r="L765" s="4" t="str">
        <f t="shared" si="200"/>
        <v/>
      </c>
      <c r="M765" s="4" t="str">
        <f t="shared" si="201"/>
        <v/>
      </c>
      <c r="N765" s="4" t="str">
        <f t="shared" si="202"/>
        <v/>
      </c>
      <c r="O765" s="4" t="str">
        <f t="shared" si="203"/>
        <v/>
      </c>
      <c r="P765" s="4" t="str">
        <f t="shared" si="204"/>
        <v/>
      </c>
      <c r="Q765" s="4" t="str">
        <f t="shared" si="205"/>
        <v/>
      </c>
      <c r="R765" s="4" t="str">
        <f t="shared" si="206"/>
        <v/>
      </c>
      <c r="S765" s="4" t="str">
        <f t="shared" si="207"/>
        <v/>
      </c>
      <c r="T765" s="4" t="str">
        <f t="shared" si="208"/>
        <v/>
      </c>
      <c r="U765">
        <f>IF(VLOOKUP(C765,'QA Table'!$Y$5:$Y$20,1,TRUE)=C765,1,0)</f>
        <v>0</v>
      </c>
      <c r="V765" t="str">
        <f t="shared" si="209"/>
        <v/>
      </c>
      <c r="W765" t="str">
        <f t="shared" si="210"/>
        <v/>
      </c>
      <c r="X765">
        <f t="shared" si="211"/>
        <v>3</v>
      </c>
      <c r="Y765">
        <f t="shared" si="212"/>
        <v>0</v>
      </c>
      <c r="AA765">
        <f t="shared" si="213"/>
        <v>1</v>
      </c>
    </row>
    <row r="766" spans="1:27" x14ac:dyDescent="0.2">
      <c r="A766" t="s">
        <v>23</v>
      </c>
      <c r="B766" t="s">
        <v>84</v>
      </c>
      <c r="C766" t="s">
        <v>1901</v>
      </c>
      <c r="D766" t="s">
        <v>6</v>
      </c>
      <c r="E766" t="s">
        <v>12</v>
      </c>
      <c r="F766" t="s">
        <v>1895</v>
      </c>
      <c r="G766" t="s">
        <v>1783</v>
      </c>
      <c r="H766" s="4">
        <f t="shared" si="197"/>
        <v>1</v>
      </c>
      <c r="I766" s="4">
        <f>IF(RIGHT(B766,1)="M",IF(AND(H766=1,E766="RFS",D766=INDEX('Station Depth Averages'!$A$3:$B$84,MATCH(B766,'Station Depth Averages'!$A$3:$A$84,0),2)),1,""),IF(AND(H766=1,OR(D766="SYN",D766="SRF",D766="MID")),1,IF(AND(H766=1,OR(E767="FDn",E767="LDn")),1,IF(AND(H766=1,OR(E766="FDn",E766="LDn")),1,""))))</f>
        <v>1</v>
      </c>
      <c r="J766" s="4" t="str">
        <f t="shared" si="198"/>
        <v/>
      </c>
      <c r="K766" s="4" t="str">
        <f t="shared" si="199"/>
        <v/>
      </c>
      <c r="L766" s="4" t="str">
        <f t="shared" si="200"/>
        <v/>
      </c>
      <c r="M766" s="4" t="str">
        <f t="shared" si="201"/>
        <v/>
      </c>
      <c r="N766" s="4" t="str">
        <f t="shared" si="202"/>
        <v/>
      </c>
      <c r="O766" s="4" t="str">
        <f t="shared" si="203"/>
        <v/>
      </c>
      <c r="P766" s="4" t="str">
        <f t="shared" si="204"/>
        <v/>
      </c>
      <c r="Q766" s="4" t="str">
        <f t="shared" si="205"/>
        <v/>
      </c>
      <c r="R766" s="4" t="str">
        <f t="shared" si="206"/>
        <v/>
      </c>
      <c r="S766" s="4" t="str">
        <f t="shared" si="207"/>
        <v/>
      </c>
      <c r="T766" s="4" t="str">
        <f t="shared" si="208"/>
        <v/>
      </c>
      <c r="U766">
        <f>IF(VLOOKUP(C766,'QA Table'!$Y$5:$Y$20,1,TRUE)=C766,1,0)</f>
        <v>0</v>
      </c>
      <c r="V766" t="str">
        <f t="shared" si="209"/>
        <v/>
      </c>
      <c r="W766" t="str">
        <f t="shared" si="210"/>
        <v/>
      </c>
      <c r="X766">
        <f t="shared" si="211"/>
        <v>3</v>
      </c>
      <c r="Y766">
        <f t="shared" si="212"/>
        <v>0</v>
      </c>
      <c r="AA766">
        <f t="shared" si="213"/>
        <v>1</v>
      </c>
    </row>
    <row r="767" spans="1:27" x14ac:dyDescent="0.2">
      <c r="A767" t="s">
        <v>23</v>
      </c>
      <c r="B767" t="s">
        <v>84</v>
      </c>
      <c r="C767" t="s">
        <v>1902</v>
      </c>
      <c r="D767" t="s">
        <v>8</v>
      </c>
      <c r="E767" t="s">
        <v>3</v>
      </c>
      <c r="F767" t="s">
        <v>1895</v>
      </c>
      <c r="G767" t="s">
        <v>1783</v>
      </c>
      <c r="H767" s="4">
        <f t="shared" si="197"/>
        <v>1</v>
      </c>
      <c r="I767" s="4" t="str">
        <f>IF(RIGHT(B767,1)="M",IF(AND(H767=1,E767="RFS",D767=INDEX('Station Depth Averages'!$A$3:$B$84,MATCH(B767,'Station Depth Averages'!$A$3:$A$84,0),2)),1,""),IF(AND(H767=1,OR(D767="SYN",D767="SRF",D767="MID")),1,IF(AND(H767=1,OR(E768="FDn",E768="LDn")),1,IF(AND(H767=1,OR(E767="FDn",E767="LDn")),1,""))))</f>
        <v/>
      </c>
      <c r="J767" s="4" t="str">
        <f t="shared" si="198"/>
        <v/>
      </c>
      <c r="K767" s="4">
        <f t="shared" si="199"/>
        <v>1</v>
      </c>
      <c r="L767" s="4" t="str">
        <f t="shared" si="200"/>
        <v/>
      </c>
      <c r="M767" s="4" t="str">
        <f t="shared" si="201"/>
        <v/>
      </c>
      <c r="N767" s="4" t="str">
        <f t="shared" si="202"/>
        <v/>
      </c>
      <c r="O767" s="4" t="str">
        <f t="shared" si="203"/>
        <v/>
      </c>
      <c r="P767" s="4" t="str">
        <f t="shared" si="204"/>
        <v/>
      </c>
      <c r="Q767" s="4">
        <f t="shared" si="205"/>
        <v>2</v>
      </c>
      <c r="R767" s="4" t="str">
        <f t="shared" si="206"/>
        <v/>
      </c>
      <c r="S767" s="4" t="str">
        <f t="shared" si="207"/>
        <v/>
      </c>
      <c r="T767" s="4" t="str">
        <f t="shared" si="208"/>
        <v/>
      </c>
      <c r="U767">
        <f>IF(VLOOKUP(C767,'QA Table'!$Y$5:$Y$20,1,TRUE)=C767,1,0)</f>
        <v>0</v>
      </c>
      <c r="V767" t="str">
        <f t="shared" si="209"/>
        <v/>
      </c>
      <c r="W767" t="str">
        <f t="shared" si="210"/>
        <v/>
      </c>
      <c r="X767">
        <f t="shared" si="211"/>
        <v>3</v>
      </c>
      <c r="Y767">
        <f t="shared" si="212"/>
        <v>0</v>
      </c>
      <c r="AA767">
        <f t="shared" si="213"/>
        <v>1</v>
      </c>
    </row>
    <row r="768" spans="1:27" x14ac:dyDescent="0.2">
      <c r="A768" t="s">
        <v>23</v>
      </c>
      <c r="B768" t="s">
        <v>84</v>
      </c>
      <c r="C768" t="s">
        <v>1903</v>
      </c>
      <c r="D768" t="s">
        <v>9</v>
      </c>
      <c r="E768" t="s">
        <v>3</v>
      </c>
      <c r="F768" t="s">
        <v>1895</v>
      </c>
      <c r="G768" t="s">
        <v>1783</v>
      </c>
      <c r="H768" s="4" t="str">
        <f t="shared" si="197"/>
        <v/>
      </c>
      <c r="I768" s="4" t="str">
        <f>IF(RIGHT(B768,1)="M",IF(AND(H768=1,E768="RFS",D768=INDEX('Station Depth Averages'!$A$3:$B$84,MATCH(B768,'Station Depth Averages'!$A$3:$A$84,0),2)),1,""),IF(AND(H768=1,OR(D768="SYN",D768="SRF",D768="MID")),1,IF(AND(H768=1,OR(E769="FDn",E769="LDn")),1,IF(AND(H768=1,OR(E768="FDn",E768="LDn")),1,""))))</f>
        <v/>
      </c>
      <c r="J768" s="4" t="str">
        <f t="shared" si="198"/>
        <v/>
      </c>
      <c r="K768" s="4" t="str">
        <f t="shared" si="199"/>
        <v/>
      </c>
      <c r="L768" s="4" t="str">
        <f t="shared" si="200"/>
        <v/>
      </c>
      <c r="M768" s="4" t="str">
        <f t="shared" si="201"/>
        <v/>
      </c>
      <c r="N768" s="4" t="str">
        <f t="shared" si="202"/>
        <v/>
      </c>
      <c r="O768" s="4" t="str">
        <f t="shared" si="203"/>
        <v/>
      </c>
      <c r="P768" s="4" t="str">
        <f t="shared" si="204"/>
        <v/>
      </c>
      <c r="Q768" s="4" t="str">
        <f t="shared" si="205"/>
        <v/>
      </c>
      <c r="R768" s="4" t="str">
        <f t="shared" si="206"/>
        <v/>
      </c>
      <c r="S768" s="4" t="str">
        <f t="shared" si="207"/>
        <v/>
      </c>
      <c r="T768" s="4">
        <f t="shared" si="208"/>
        <v>2</v>
      </c>
      <c r="U768">
        <f>IF(VLOOKUP(C768,'QA Table'!$Y$5:$Y$20,1,TRUE)=C768,1,0)</f>
        <v>0</v>
      </c>
      <c r="V768" t="str">
        <f t="shared" si="209"/>
        <v/>
      </c>
      <c r="W768" t="str">
        <f t="shared" si="210"/>
        <v/>
      </c>
      <c r="X768" t="str">
        <f t="shared" si="211"/>
        <v/>
      </c>
      <c r="Y768">
        <f t="shared" si="212"/>
        <v>0</v>
      </c>
      <c r="AA768" t="str">
        <f t="shared" si="213"/>
        <v/>
      </c>
    </row>
    <row r="769" spans="1:27" x14ac:dyDescent="0.2">
      <c r="A769" t="s">
        <v>23</v>
      </c>
      <c r="B769" t="s">
        <v>84</v>
      </c>
      <c r="C769" t="s">
        <v>1904</v>
      </c>
      <c r="D769" t="s">
        <v>9</v>
      </c>
      <c r="E769" t="s">
        <v>3</v>
      </c>
      <c r="F769" t="s">
        <v>1895</v>
      </c>
      <c r="G769" t="s">
        <v>1783</v>
      </c>
      <c r="H769" s="4" t="str">
        <f t="shared" si="197"/>
        <v/>
      </c>
      <c r="I769" s="4" t="str">
        <f>IF(RIGHT(B769,1)="M",IF(AND(H769=1,E769="RFS",D769=INDEX('Station Depth Averages'!$A$3:$B$84,MATCH(B769,'Station Depth Averages'!$A$3:$A$84,0),2)),1,""),IF(AND(H769=1,OR(D769="SYN",D769="SRF",D769="MID")),1,IF(AND(H769=1,OR(E770="FDn",E770="LDn")),1,IF(AND(H769=1,OR(E769="FDn",E769="LDn")),1,""))))</f>
        <v/>
      </c>
      <c r="J769" s="4" t="str">
        <f t="shared" si="198"/>
        <v/>
      </c>
      <c r="K769" s="4" t="str">
        <f t="shared" si="199"/>
        <v/>
      </c>
      <c r="L769" s="4" t="str">
        <f t="shared" si="200"/>
        <v/>
      </c>
      <c r="M769" s="4" t="str">
        <f t="shared" si="201"/>
        <v/>
      </c>
      <c r="N769" s="4" t="str">
        <f t="shared" si="202"/>
        <v/>
      </c>
      <c r="O769" s="4" t="str">
        <f t="shared" si="203"/>
        <v/>
      </c>
      <c r="P769" s="4" t="str">
        <f t="shared" si="204"/>
        <v/>
      </c>
      <c r="Q769" s="4" t="str">
        <f t="shared" si="205"/>
        <v/>
      </c>
      <c r="R769" s="4" t="str">
        <f t="shared" si="206"/>
        <v/>
      </c>
      <c r="S769" s="4" t="str">
        <f t="shared" si="207"/>
        <v/>
      </c>
      <c r="T769" s="4">
        <f t="shared" si="208"/>
        <v>2</v>
      </c>
      <c r="U769">
        <f>IF(VLOOKUP(C769,'QA Table'!$Y$5:$Y$20,1,TRUE)=C769,1,0)</f>
        <v>0</v>
      </c>
      <c r="V769" t="str">
        <f t="shared" si="209"/>
        <v/>
      </c>
      <c r="W769" t="str">
        <f t="shared" si="210"/>
        <v/>
      </c>
      <c r="X769" t="str">
        <f t="shared" si="211"/>
        <v/>
      </c>
      <c r="Y769">
        <f t="shared" si="212"/>
        <v>0</v>
      </c>
      <c r="AA769" t="str">
        <f t="shared" si="213"/>
        <v/>
      </c>
    </row>
    <row r="770" spans="1:27" x14ac:dyDescent="0.2">
      <c r="A770" t="s">
        <v>23</v>
      </c>
      <c r="B770" t="s">
        <v>84</v>
      </c>
      <c r="C770" t="s">
        <v>1905</v>
      </c>
      <c r="D770" t="s">
        <v>10</v>
      </c>
      <c r="E770" t="s">
        <v>3</v>
      </c>
      <c r="F770" t="s">
        <v>1895</v>
      </c>
      <c r="G770" t="s">
        <v>1783</v>
      </c>
      <c r="H770" s="4" t="str">
        <f t="shared" si="197"/>
        <v/>
      </c>
      <c r="I770" s="4" t="str">
        <f>IF(RIGHT(B770,1)="M",IF(AND(H770=1,E770="RFS",D770=INDEX('Station Depth Averages'!$A$3:$B$84,MATCH(B770,'Station Depth Averages'!$A$3:$A$84,0),2)),1,""),IF(AND(H770=1,OR(D770="SYN",D770="SRF",D770="MID")),1,IF(AND(H770=1,OR(E771="FDn",E771="LDn")),1,IF(AND(H770=1,OR(E770="FDn",E770="LDn")),1,""))))</f>
        <v/>
      </c>
      <c r="J770" s="4" t="str">
        <f t="shared" si="198"/>
        <v/>
      </c>
      <c r="K770" s="4" t="str">
        <f t="shared" si="199"/>
        <v/>
      </c>
      <c r="L770" s="4" t="str">
        <f t="shared" si="200"/>
        <v/>
      </c>
      <c r="M770" s="4" t="str">
        <f t="shared" si="201"/>
        <v/>
      </c>
      <c r="N770" s="4" t="str">
        <f t="shared" si="202"/>
        <v/>
      </c>
      <c r="O770" s="4" t="str">
        <f t="shared" si="203"/>
        <v/>
      </c>
      <c r="P770" s="4" t="str">
        <f t="shared" si="204"/>
        <v/>
      </c>
      <c r="Q770" s="4" t="str">
        <f t="shared" si="205"/>
        <v/>
      </c>
      <c r="R770" s="4" t="str">
        <f t="shared" si="206"/>
        <v/>
      </c>
      <c r="S770" s="4" t="str">
        <f t="shared" si="207"/>
        <v/>
      </c>
      <c r="T770" s="4">
        <f t="shared" si="208"/>
        <v>2</v>
      </c>
      <c r="U770">
        <f>IF(VLOOKUP(C770,'QA Table'!$Y$5:$Y$20,1,TRUE)=C770,1,0)</f>
        <v>0</v>
      </c>
      <c r="V770" t="str">
        <f t="shared" si="209"/>
        <v/>
      </c>
      <c r="W770" t="str">
        <f t="shared" si="210"/>
        <v/>
      </c>
      <c r="X770" t="str">
        <f t="shared" si="211"/>
        <v/>
      </c>
      <c r="Y770">
        <f t="shared" si="212"/>
        <v>0</v>
      </c>
      <c r="AA770" t="str">
        <f t="shared" si="213"/>
        <v/>
      </c>
    </row>
    <row r="771" spans="1:27" x14ac:dyDescent="0.2">
      <c r="A771" t="s">
        <v>23</v>
      </c>
      <c r="B771" t="s">
        <v>84</v>
      </c>
      <c r="C771" t="s">
        <v>1906</v>
      </c>
      <c r="D771" t="s">
        <v>1034</v>
      </c>
      <c r="E771" t="s">
        <v>3</v>
      </c>
      <c r="F771" t="s">
        <v>1895</v>
      </c>
      <c r="G771" t="s">
        <v>1783</v>
      </c>
      <c r="H771" s="4" t="str">
        <f t="shared" si="197"/>
        <v/>
      </c>
      <c r="I771" s="4" t="str">
        <f>IF(RIGHT(B771,1)="M",IF(AND(H771=1,E771="RFS",D771=INDEX('Station Depth Averages'!$A$3:$B$84,MATCH(B771,'Station Depth Averages'!$A$3:$A$84,0),2)),1,""),IF(AND(H771=1,OR(D771="SYN",D771="SRF",D771="MID")),1,IF(AND(H771=1,OR(E772="FDn",E772="LDn")),1,IF(AND(H771=1,OR(E771="FDn",E771="LDn")),1,""))))</f>
        <v/>
      </c>
      <c r="J771" s="4" t="str">
        <f t="shared" si="198"/>
        <v/>
      </c>
      <c r="K771" s="4" t="str">
        <f t="shared" si="199"/>
        <v/>
      </c>
      <c r="L771" s="4" t="str">
        <f t="shared" si="200"/>
        <v/>
      </c>
      <c r="M771" s="4" t="str">
        <f t="shared" si="201"/>
        <v/>
      </c>
      <c r="N771" s="4" t="str">
        <f t="shared" si="202"/>
        <v/>
      </c>
      <c r="O771" s="4" t="str">
        <f t="shared" si="203"/>
        <v/>
      </c>
      <c r="P771" s="4" t="str">
        <f t="shared" si="204"/>
        <v/>
      </c>
      <c r="Q771" s="4" t="str">
        <f t="shared" si="205"/>
        <v/>
      </c>
      <c r="R771" s="4" t="str">
        <f t="shared" si="206"/>
        <v/>
      </c>
      <c r="S771" s="4">
        <f t="shared" si="207"/>
        <v>1</v>
      </c>
      <c r="T771" s="4" t="str">
        <f t="shared" si="208"/>
        <v/>
      </c>
      <c r="U771">
        <f>IF(VLOOKUP(C771,'QA Table'!$Y$5:$Y$20,1,TRUE)=C771,1,0)</f>
        <v>0</v>
      </c>
      <c r="V771" t="str">
        <f t="shared" si="209"/>
        <v/>
      </c>
      <c r="W771" t="str">
        <f t="shared" si="210"/>
        <v/>
      </c>
      <c r="X771" t="str">
        <f t="shared" si="211"/>
        <v/>
      </c>
      <c r="Y771">
        <f t="shared" si="212"/>
        <v>0</v>
      </c>
      <c r="AA771" t="str">
        <f t="shared" si="213"/>
        <v/>
      </c>
    </row>
    <row r="772" spans="1:27" x14ac:dyDescent="0.2">
      <c r="A772" t="s">
        <v>23</v>
      </c>
      <c r="B772" t="s">
        <v>84</v>
      </c>
      <c r="C772" t="s">
        <v>1907</v>
      </c>
      <c r="D772" t="s">
        <v>1034</v>
      </c>
      <c r="E772" t="s">
        <v>19</v>
      </c>
      <c r="F772" t="s">
        <v>1895</v>
      </c>
      <c r="G772" t="s">
        <v>1783</v>
      </c>
      <c r="H772" s="4" t="str">
        <f t="shared" si="197"/>
        <v/>
      </c>
      <c r="I772" s="4" t="str">
        <f>IF(RIGHT(B772,1)="M",IF(AND(H772=1,E772="RFS",D772=INDEX('Station Depth Averages'!$A$3:$B$84,MATCH(B772,'Station Depth Averages'!$A$3:$A$84,0),2)),1,""),IF(AND(H772=1,OR(D772="SYN",D772="SRF",D772="MID")),1,IF(AND(H772=1,OR(E773="FDn",E773="LDn")),1,IF(AND(H772=1,OR(E772="FDn",E772="LDn")),1,""))))</f>
        <v/>
      </c>
      <c r="J772" s="4" t="str">
        <f t="shared" si="198"/>
        <v/>
      </c>
      <c r="K772" s="4" t="str">
        <f t="shared" si="199"/>
        <v/>
      </c>
      <c r="L772" s="4" t="str">
        <f t="shared" si="200"/>
        <v/>
      </c>
      <c r="M772" s="4" t="str">
        <f t="shared" si="201"/>
        <v/>
      </c>
      <c r="N772" s="4" t="str">
        <f t="shared" si="202"/>
        <v/>
      </c>
      <c r="O772" s="4" t="str">
        <f t="shared" si="203"/>
        <v/>
      </c>
      <c r="P772" s="4" t="str">
        <f t="shared" si="204"/>
        <v/>
      </c>
      <c r="Q772" s="4" t="str">
        <f t="shared" si="205"/>
        <v/>
      </c>
      <c r="R772" s="4" t="str">
        <f t="shared" si="206"/>
        <v/>
      </c>
      <c r="S772" s="4">
        <f t="shared" si="207"/>
        <v>1</v>
      </c>
      <c r="T772" s="4" t="str">
        <f t="shared" si="208"/>
        <v/>
      </c>
      <c r="U772">
        <f>IF(VLOOKUP(C772,'QA Table'!$Y$5:$Y$20,1,TRUE)=C772,1,0)</f>
        <v>0</v>
      </c>
      <c r="V772" t="str">
        <f t="shared" si="209"/>
        <v/>
      </c>
      <c r="W772" t="str">
        <f t="shared" si="210"/>
        <v/>
      </c>
      <c r="X772" t="str">
        <f t="shared" si="211"/>
        <v/>
      </c>
      <c r="Y772">
        <f t="shared" si="212"/>
        <v>0</v>
      </c>
      <c r="AA772" t="str">
        <f t="shared" si="213"/>
        <v/>
      </c>
    </row>
    <row r="773" spans="1:27" x14ac:dyDescent="0.2">
      <c r="A773" t="s">
        <v>23</v>
      </c>
      <c r="B773" t="s">
        <v>85</v>
      </c>
      <c r="C773" t="s">
        <v>1908</v>
      </c>
      <c r="D773" t="s">
        <v>2</v>
      </c>
      <c r="E773" t="s">
        <v>3</v>
      </c>
      <c r="F773" t="s">
        <v>1909</v>
      </c>
      <c r="G773" t="s">
        <v>1783</v>
      </c>
      <c r="H773" s="4">
        <f t="shared" si="197"/>
        <v>1</v>
      </c>
      <c r="I773" s="4">
        <f>IF(RIGHT(B773,1)="M",IF(AND(H773=1,E773="RFS",D773=INDEX('Station Depth Averages'!$A$3:$B$84,MATCH(B773,'Station Depth Averages'!$A$3:$A$84,0),2)),1,""),IF(AND(H773=1,OR(D773="SYN",D773="SRF",D773="MID")),1,IF(AND(H773=1,OR(E774="FDn",E774="LDn")),1,IF(AND(H773=1,OR(E773="FDn",E773="LDn")),1,""))))</f>
        <v>1</v>
      </c>
      <c r="J773" s="4">
        <f t="shared" si="198"/>
        <v>1</v>
      </c>
      <c r="K773" s="4" t="str">
        <f t="shared" si="199"/>
        <v/>
      </c>
      <c r="L773" s="4" t="str">
        <f t="shared" si="200"/>
        <v/>
      </c>
      <c r="M773" s="4" t="str">
        <f t="shared" si="201"/>
        <v/>
      </c>
      <c r="N773" s="4" t="str">
        <f t="shared" si="202"/>
        <v/>
      </c>
      <c r="O773" s="4" t="str">
        <f t="shared" si="203"/>
        <v/>
      </c>
      <c r="P773" s="4" t="str">
        <f t="shared" si="204"/>
        <v/>
      </c>
      <c r="Q773" s="4" t="str">
        <f t="shared" si="205"/>
        <v/>
      </c>
      <c r="R773" s="4" t="str">
        <f t="shared" si="206"/>
        <v/>
      </c>
      <c r="S773" s="4" t="str">
        <f t="shared" si="207"/>
        <v/>
      </c>
      <c r="T773" s="4" t="str">
        <f t="shared" si="208"/>
        <v/>
      </c>
      <c r="U773">
        <f>IF(VLOOKUP(C773,'QA Table'!$Y$5:$Y$20,1,TRUE)=C773,1,0)</f>
        <v>0</v>
      </c>
      <c r="V773" t="str">
        <f t="shared" si="209"/>
        <v/>
      </c>
      <c r="W773" t="str">
        <f t="shared" si="210"/>
        <v/>
      </c>
      <c r="X773">
        <f t="shared" si="211"/>
        <v>3</v>
      </c>
      <c r="Y773">
        <f t="shared" si="212"/>
        <v>0</v>
      </c>
      <c r="AA773">
        <f t="shared" si="213"/>
        <v>1</v>
      </c>
    </row>
    <row r="774" spans="1:27" x14ac:dyDescent="0.2">
      <c r="A774" t="s">
        <v>23</v>
      </c>
      <c r="B774" t="s">
        <v>85</v>
      </c>
      <c r="C774" t="s">
        <v>1910</v>
      </c>
      <c r="D774" t="s">
        <v>1050</v>
      </c>
      <c r="E774" t="s">
        <v>3</v>
      </c>
      <c r="F774" t="s">
        <v>1909</v>
      </c>
      <c r="G774" t="s">
        <v>1783</v>
      </c>
      <c r="H774" s="4" t="str">
        <f t="shared" si="197"/>
        <v/>
      </c>
      <c r="I774" s="4" t="str">
        <f>IF(RIGHT(B774,1)="M",IF(AND(H774=1,E774="RFS",D774=INDEX('Station Depth Averages'!$A$3:$B$84,MATCH(B774,'Station Depth Averages'!$A$3:$A$84,0),2)),1,""),IF(AND(H774=1,OR(D774="SYN",D774="SRF",D774="MID")),1,IF(AND(H774=1,OR(E775="FDn",E775="LDn")),1,IF(AND(H774=1,OR(E774="FDn",E774="LDn")),1,""))))</f>
        <v/>
      </c>
      <c r="J774" s="4" t="str">
        <f t="shared" si="198"/>
        <v/>
      </c>
      <c r="K774" s="4" t="str">
        <f t="shared" si="199"/>
        <v/>
      </c>
      <c r="L774" s="4" t="str">
        <f t="shared" si="200"/>
        <v/>
      </c>
      <c r="M774" s="4" t="str">
        <f t="shared" si="201"/>
        <v/>
      </c>
      <c r="N774" s="4" t="str">
        <f t="shared" si="202"/>
        <v/>
      </c>
      <c r="O774" s="4" t="str">
        <f t="shared" si="203"/>
        <v/>
      </c>
      <c r="P774" s="4" t="str">
        <f t="shared" si="204"/>
        <v/>
      </c>
      <c r="Q774" s="4" t="str">
        <f t="shared" si="205"/>
        <v/>
      </c>
      <c r="R774" s="4" t="str">
        <f t="shared" si="206"/>
        <v/>
      </c>
      <c r="S774" s="4" t="str">
        <f t="shared" si="207"/>
        <v/>
      </c>
      <c r="T774" s="4" t="str">
        <f t="shared" si="208"/>
        <v/>
      </c>
      <c r="U774">
        <f>IF(VLOOKUP(C774,'QA Table'!$Y$5:$Y$20,1,TRUE)=C774,1,0)</f>
        <v>0</v>
      </c>
      <c r="V774" t="str">
        <f t="shared" si="209"/>
        <v/>
      </c>
      <c r="W774" t="str">
        <f t="shared" si="210"/>
        <v/>
      </c>
      <c r="X774" t="str">
        <f t="shared" si="211"/>
        <v/>
      </c>
      <c r="Y774">
        <f t="shared" si="212"/>
        <v>0</v>
      </c>
      <c r="AA774" t="str">
        <f t="shared" si="213"/>
        <v/>
      </c>
    </row>
    <row r="775" spans="1:27" x14ac:dyDescent="0.2">
      <c r="A775" t="s">
        <v>23</v>
      </c>
      <c r="B775" t="s">
        <v>85</v>
      </c>
      <c r="C775" t="s">
        <v>1911</v>
      </c>
      <c r="D775" t="s">
        <v>4</v>
      </c>
      <c r="E775" t="s">
        <v>3</v>
      </c>
      <c r="F775" t="s">
        <v>1909</v>
      </c>
      <c r="G775" t="s">
        <v>1783</v>
      </c>
      <c r="H775" s="4" t="str">
        <f t="shared" ref="H775:H838" si="214">IF(OR(RIGHT(C775,1)="A",RIGHT(C775,1)="B",RIGHT(C775,1)="C",D775="Benthos",D775="Sediment",D775="Sediments",D775="D100",D775="D20",D775="Mysis",E775="FD1",E775="LD1"),"",1)</f>
        <v/>
      </c>
      <c r="I775" s="4" t="str">
        <f>IF(RIGHT(B775,1)="M",IF(AND(H775=1,E775="RFS",D775=INDEX('Station Depth Averages'!$A$3:$B$84,MATCH(B775,'Station Depth Averages'!$A$3:$A$84,0),2)),1,""),IF(AND(H775=1,OR(D775="SYN",D775="SRF",D775="MID")),1,IF(AND(H775=1,OR(E776="FDn",E776="LDn")),1,IF(AND(H775=1,OR(E775="FDn",E775="LDn")),1,""))))</f>
        <v/>
      </c>
      <c r="J775" s="4" t="str">
        <f t="shared" ref="J775:J838" si="215">IF(OR(D775="INT",D775="Benthos",D775="D100",D775="D20",E775="LDn",D775="mysis",D775="sediment",D775="sediments",OR(RIGHT(C775,1)="A",RIGHT(C775,1)="B",RIGHT(C775,1)="C",E775="FD1",E775="LD1")),"",1)</f>
        <v/>
      </c>
      <c r="K775" s="4" t="str">
        <f t="shared" ref="K775:K838" si="216">IF(D775="INT",1,"")</f>
        <v/>
      </c>
      <c r="L775" s="4" t="str">
        <f t="shared" ref="L775:L838" si="217">IF(AND(LEFT(B775,1)="E",A775&lt;&gt;"E",RIGHT(B775,1)="M"),IF(AND(A775="w",D775="MID",E775="RFS"),1,IF(AND(A775="C",D775="5M",E775="RFS"),1,"")),IF(AND(RIGHT(B775,1)="M",D775="10M",E775="RFS"),1,""))</f>
        <v/>
      </c>
      <c r="M775" s="4" t="str">
        <f t="shared" ref="M775:M838" si="218">IF(L775=1,1,"")</f>
        <v/>
      </c>
      <c r="N775" s="4" t="str">
        <f t="shared" ref="N775:N838" si="219">IF(M775=1,1,"")</f>
        <v/>
      </c>
      <c r="O775" s="4" t="str">
        <f t="shared" ref="O775:O838" si="220">IF(N775=1,1,"")</f>
        <v/>
      </c>
      <c r="P775" s="4" t="str">
        <f t="shared" ref="P775:P838" si="221">IF(O775=1,1,"")</f>
        <v/>
      </c>
      <c r="Q775" s="4" t="str">
        <f t="shared" ref="Q775:Q838" si="222">IF(AND(OR(D775="INT",D775="DCL"),OR(LEFT(B775,2)="SU",LEFT(B775,2)="HU",LEFT(B775,2)="MI",LEFT(B775,2)="CS",LEFT(B775,2)="ON")),2,IF(AND(OR(D775="INT",D775="DCL"),LEFT(B775,2)="ER"),1,""))</f>
        <v/>
      </c>
      <c r="R775" s="4" t="str">
        <f t="shared" ref="R775:R838" si="223">IF(D775="benthos",1,"")</f>
        <v/>
      </c>
      <c r="S775" s="4" t="str">
        <f t="shared" ref="S775:S838" si="224">IF(D775="mysis",1,"")</f>
        <v/>
      </c>
      <c r="T775" s="4" t="str">
        <f t="shared" ref="T775:T838" si="225">IF(AND(OR(D775="d20",D775="d100"),LEFT(B775,2)="SU"),2,IF(OR(D775="D20",D775="d100"),1,""))</f>
        <v/>
      </c>
      <c r="U775">
        <f>IF(VLOOKUP(C775,'QA Table'!$Y$5:$Y$20,1,TRUE)=C775,1,0)</f>
        <v>0</v>
      </c>
      <c r="V775" t="str">
        <f t="shared" ref="V775:V838" si="226">IF(AND(D775="Sediment",RIGHT(C775,1)="8"),1,"")</f>
        <v/>
      </c>
      <c r="W775" t="str">
        <f t="shared" ref="W775:W838" si="227">IF(AND(D775="Sediment",RIGHT(C775,1)="9"),1,"")</f>
        <v/>
      </c>
      <c r="X775" t="str">
        <f t="shared" ref="X775:X838" si="228">IF(AND(H775=1,OR(LEFT(B775,1)="M",LEFT(B775,1)="E",LEFT(B775,1)="O",LEFT(B775,1)="C")),4,IF(AND(H775=1,OR(LEFT(B775,1)="H",LEFT(B775,1)="S")),3,""))</f>
        <v/>
      </c>
      <c r="Y775">
        <f t="shared" ref="Y775:Y838" si="229">IF(U775=1,1,IF(AND(E775="LD1",U774=1),1,IF(AND(E775="FD1",U773=1),1,0)))</f>
        <v>0</v>
      </c>
      <c r="AA775" t="str">
        <f t="shared" ref="AA775:AA838" si="230">IF(X775&lt;&gt;"",1,"")</f>
        <v/>
      </c>
    </row>
    <row r="776" spans="1:27" x14ac:dyDescent="0.2">
      <c r="A776" t="s">
        <v>23</v>
      </c>
      <c r="B776" t="s">
        <v>85</v>
      </c>
      <c r="C776" t="s">
        <v>1912</v>
      </c>
      <c r="D776" t="s">
        <v>1051</v>
      </c>
      <c r="E776" t="s">
        <v>3</v>
      </c>
      <c r="F776" t="s">
        <v>1909</v>
      </c>
      <c r="G776" t="s">
        <v>1783</v>
      </c>
      <c r="H776" s="4" t="str">
        <f t="shared" si="214"/>
        <v/>
      </c>
      <c r="I776" s="4" t="str">
        <f>IF(RIGHT(B776,1)="M",IF(AND(H776=1,E776="RFS",D776=INDEX('Station Depth Averages'!$A$3:$B$84,MATCH(B776,'Station Depth Averages'!$A$3:$A$84,0),2)),1,""),IF(AND(H776=1,OR(D776="SYN",D776="SRF",D776="MID")),1,IF(AND(H776=1,OR(E777="FDn",E777="LDn")),1,IF(AND(H776=1,OR(E776="FDn",E776="LDn")),1,""))))</f>
        <v/>
      </c>
      <c r="J776" s="4" t="str">
        <f t="shared" si="215"/>
        <v/>
      </c>
      <c r="K776" s="4" t="str">
        <f t="shared" si="216"/>
        <v/>
      </c>
      <c r="L776" s="4" t="str">
        <f t="shared" si="217"/>
        <v/>
      </c>
      <c r="M776" s="4" t="str">
        <f t="shared" si="218"/>
        <v/>
      </c>
      <c r="N776" s="4" t="str">
        <f t="shared" si="219"/>
        <v/>
      </c>
      <c r="O776" s="4" t="str">
        <f t="shared" si="220"/>
        <v/>
      </c>
      <c r="P776" s="4" t="str">
        <f t="shared" si="221"/>
        <v/>
      </c>
      <c r="Q776" s="4" t="str">
        <f t="shared" si="222"/>
        <v/>
      </c>
      <c r="R776" s="4" t="str">
        <f t="shared" si="223"/>
        <v/>
      </c>
      <c r="S776" s="4" t="str">
        <f t="shared" si="224"/>
        <v/>
      </c>
      <c r="T776" s="4" t="str">
        <f t="shared" si="225"/>
        <v/>
      </c>
      <c r="U776">
        <f>IF(VLOOKUP(C776,'QA Table'!$Y$5:$Y$20,1,TRUE)=C776,1,0)</f>
        <v>0</v>
      </c>
      <c r="V776" t="str">
        <f t="shared" si="226"/>
        <v/>
      </c>
      <c r="W776" t="str">
        <f t="shared" si="227"/>
        <v/>
      </c>
      <c r="X776" t="str">
        <f t="shared" si="228"/>
        <v/>
      </c>
      <c r="Y776">
        <f t="shared" si="229"/>
        <v>0</v>
      </c>
      <c r="AA776" t="str">
        <f t="shared" si="230"/>
        <v/>
      </c>
    </row>
    <row r="777" spans="1:27" x14ac:dyDescent="0.2">
      <c r="A777" t="s">
        <v>23</v>
      </c>
      <c r="B777" t="s">
        <v>85</v>
      </c>
      <c r="C777" t="s">
        <v>1913</v>
      </c>
      <c r="D777" t="s">
        <v>119</v>
      </c>
      <c r="E777" t="s">
        <v>3</v>
      </c>
      <c r="F777" t="s">
        <v>1909</v>
      </c>
      <c r="G777" t="s">
        <v>1783</v>
      </c>
      <c r="H777" s="4">
        <f t="shared" si="214"/>
        <v>1</v>
      </c>
      <c r="I777" s="4">
        <f>IF(RIGHT(B777,1)="M",IF(AND(H777=1,E777="RFS",D777=INDEX('Station Depth Averages'!$A$3:$B$84,MATCH(B777,'Station Depth Averages'!$A$3:$A$84,0),2)),1,""),IF(AND(H777=1,OR(D777="SYN",D777="SRF",D777="MID")),1,IF(AND(H777=1,OR(E778="FDn",E778="LDn")),1,IF(AND(H777=1,OR(E777="FDn",E777="LDn")),1,""))))</f>
        <v>1</v>
      </c>
      <c r="J777" s="4">
        <f t="shared" si="215"/>
        <v>1</v>
      </c>
      <c r="K777" s="4" t="str">
        <f t="shared" si="216"/>
        <v/>
      </c>
      <c r="L777" s="4" t="str">
        <f t="shared" si="217"/>
        <v/>
      </c>
      <c r="M777" s="4" t="str">
        <f t="shared" si="218"/>
        <v/>
      </c>
      <c r="N777" s="4" t="str">
        <f t="shared" si="219"/>
        <v/>
      </c>
      <c r="O777" s="4" t="str">
        <f t="shared" si="220"/>
        <v/>
      </c>
      <c r="P777" s="4" t="str">
        <f t="shared" si="221"/>
        <v/>
      </c>
      <c r="Q777" s="4" t="str">
        <f t="shared" si="222"/>
        <v/>
      </c>
      <c r="R777" s="4" t="str">
        <f t="shared" si="223"/>
        <v/>
      </c>
      <c r="S777" s="4" t="str">
        <f t="shared" si="224"/>
        <v/>
      </c>
      <c r="T777" s="4" t="str">
        <f t="shared" si="225"/>
        <v/>
      </c>
      <c r="U777">
        <f>IF(VLOOKUP(C777,'QA Table'!$Y$5:$Y$20,1,TRUE)=C777,1,0)</f>
        <v>0</v>
      </c>
      <c r="V777" t="str">
        <f t="shared" si="226"/>
        <v/>
      </c>
      <c r="W777" t="str">
        <f t="shared" si="227"/>
        <v/>
      </c>
      <c r="X777">
        <f t="shared" si="228"/>
        <v>3</v>
      </c>
      <c r="Y777">
        <f t="shared" si="229"/>
        <v>0</v>
      </c>
      <c r="AA777">
        <f t="shared" si="230"/>
        <v>1</v>
      </c>
    </row>
    <row r="778" spans="1:27" x14ac:dyDescent="0.2">
      <c r="A778" t="s">
        <v>23</v>
      </c>
      <c r="B778" t="s">
        <v>85</v>
      </c>
      <c r="C778" t="s">
        <v>1914</v>
      </c>
      <c r="D778" t="s">
        <v>5</v>
      </c>
      <c r="E778" t="s">
        <v>3</v>
      </c>
      <c r="F778" t="s">
        <v>1909</v>
      </c>
      <c r="G778" t="s">
        <v>1783</v>
      </c>
      <c r="H778" s="4">
        <f t="shared" si="214"/>
        <v>1</v>
      </c>
      <c r="I778" s="4" t="str">
        <f>IF(RIGHT(B778,1)="M",IF(AND(H778=1,E778="RFS",D778=INDEX('Station Depth Averages'!$A$3:$B$84,MATCH(B778,'Station Depth Averages'!$A$3:$A$84,0),2)),1,""),IF(AND(H778=1,OR(D778="SYN",D778="SRF",D778="MID")),1,IF(AND(H778=1,OR(E779="FDn",E779="LDn")),1,IF(AND(H778=1,OR(E778="FDn",E778="LDn")),1,""))))</f>
        <v/>
      </c>
      <c r="J778" s="4">
        <f t="shared" si="215"/>
        <v>1</v>
      </c>
      <c r="K778" s="4" t="str">
        <f t="shared" si="216"/>
        <v/>
      </c>
      <c r="L778" s="4" t="str">
        <f t="shared" si="217"/>
        <v/>
      </c>
      <c r="M778" s="4" t="str">
        <f t="shared" si="218"/>
        <v/>
      </c>
      <c r="N778" s="4" t="str">
        <f t="shared" si="219"/>
        <v/>
      </c>
      <c r="O778" s="4" t="str">
        <f t="shared" si="220"/>
        <v/>
      </c>
      <c r="P778" s="4" t="str">
        <f t="shared" si="221"/>
        <v/>
      </c>
      <c r="Q778" s="4" t="str">
        <f t="shared" si="222"/>
        <v/>
      </c>
      <c r="R778" s="4" t="str">
        <f t="shared" si="223"/>
        <v/>
      </c>
      <c r="S778" s="4" t="str">
        <f t="shared" si="224"/>
        <v/>
      </c>
      <c r="T778" s="4" t="str">
        <f t="shared" si="225"/>
        <v/>
      </c>
      <c r="U778">
        <f>IF(VLOOKUP(C778,'QA Table'!$Y$5:$Y$20,1,TRUE)=C778,1,0)</f>
        <v>0</v>
      </c>
      <c r="V778" t="str">
        <f t="shared" si="226"/>
        <v/>
      </c>
      <c r="W778" t="str">
        <f t="shared" si="227"/>
        <v/>
      </c>
      <c r="X778">
        <f t="shared" si="228"/>
        <v>3</v>
      </c>
      <c r="Y778">
        <f t="shared" si="229"/>
        <v>0</v>
      </c>
      <c r="AA778">
        <f t="shared" si="230"/>
        <v>1</v>
      </c>
    </row>
    <row r="779" spans="1:27" x14ac:dyDescent="0.2">
      <c r="A779" t="s">
        <v>23</v>
      </c>
      <c r="B779" t="s">
        <v>85</v>
      </c>
      <c r="C779" t="s">
        <v>1915</v>
      </c>
      <c r="D779" t="s">
        <v>6</v>
      </c>
      <c r="E779" t="s">
        <v>3</v>
      </c>
      <c r="F779" t="s">
        <v>1909</v>
      </c>
      <c r="G779" t="s">
        <v>1783</v>
      </c>
      <c r="H779" s="4">
        <f t="shared" si="214"/>
        <v>1</v>
      </c>
      <c r="I779" s="4" t="str">
        <f>IF(RIGHT(B779,1)="M",IF(AND(H779=1,E779="RFS",D779=INDEX('Station Depth Averages'!$A$3:$B$84,MATCH(B779,'Station Depth Averages'!$A$3:$A$84,0),2)),1,""),IF(AND(H779=1,OR(D779="SYN",D779="SRF",D779="MID")),1,IF(AND(H779=1,OR(E780="FDn",E780="LDn")),1,IF(AND(H779=1,OR(E779="FDn",E779="LDn")),1,""))))</f>
        <v/>
      </c>
      <c r="J779" s="4">
        <f t="shared" si="215"/>
        <v>1</v>
      </c>
      <c r="K779" s="4" t="str">
        <f t="shared" si="216"/>
        <v/>
      </c>
      <c r="L779" s="4" t="str">
        <f t="shared" si="217"/>
        <v/>
      </c>
      <c r="M779" s="4" t="str">
        <f t="shared" si="218"/>
        <v/>
      </c>
      <c r="N779" s="4" t="str">
        <f t="shared" si="219"/>
        <v/>
      </c>
      <c r="O779" s="4" t="str">
        <f t="shared" si="220"/>
        <v/>
      </c>
      <c r="P779" s="4" t="str">
        <f t="shared" si="221"/>
        <v/>
      </c>
      <c r="Q779" s="4" t="str">
        <f t="shared" si="222"/>
        <v/>
      </c>
      <c r="R779" s="4" t="str">
        <f t="shared" si="223"/>
        <v/>
      </c>
      <c r="S779" s="4" t="str">
        <f t="shared" si="224"/>
        <v/>
      </c>
      <c r="T779" s="4" t="str">
        <f t="shared" si="225"/>
        <v/>
      </c>
      <c r="U779">
        <f>IF(VLOOKUP(C779,'QA Table'!$Y$5:$Y$20,1,TRUE)=C779,1,0)</f>
        <v>0</v>
      </c>
      <c r="V779" t="str">
        <f t="shared" si="226"/>
        <v/>
      </c>
      <c r="W779" t="str">
        <f t="shared" si="227"/>
        <v/>
      </c>
      <c r="X779">
        <f t="shared" si="228"/>
        <v>3</v>
      </c>
      <c r="Y779">
        <f t="shared" si="229"/>
        <v>0</v>
      </c>
      <c r="AA779">
        <f t="shared" si="230"/>
        <v>1</v>
      </c>
    </row>
    <row r="780" spans="1:27" x14ac:dyDescent="0.2">
      <c r="A780" t="s">
        <v>23</v>
      </c>
      <c r="B780" t="s">
        <v>85</v>
      </c>
      <c r="C780" t="s">
        <v>1916</v>
      </c>
      <c r="D780" t="s">
        <v>8</v>
      </c>
      <c r="E780" t="s">
        <v>3</v>
      </c>
      <c r="F780" t="s">
        <v>1909</v>
      </c>
      <c r="G780" t="s">
        <v>1783</v>
      </c>
      <c r="H780" s="4">
        <f t="shared" si="214"/>
        <v>1</v>
      </c>
      <c r="I780" s="4" t="str">
        <f>IF(RIGHT(B780,1)="M",IF(AND(H780=1,E780="RFS",D780=INDEX('Station Depth Averages'!$A$3:$B$84,MATCH(B780,'Station Depth Averages'!$A$3:$A$84,0),2)),1,""),IF(AND(H780=1,OR(D780="SYN",D780="SRF",D780="MID")),1,IF(AND(H780=1,OR(E781="FDn",E781="LDn")),1,IF(AND(H780=1,OR(E780="FDn",E780="LDn")),1,""))))</f>
        <v/>
      </c>
      <c r="J780" s="4" t="str">
        <f t="shared" si="215"/>
        <v/>
      </c>
      <c r="K780" s="4">
        <f t="shared" si="216"/>
        <v>1</v>
      </c>
      <c r="L780" s="4" t="str">
        <f t="shared" si="217"/>
        <v/>
      </c>
      <c r="M780" s="4" t="str">
        <f t="shared" si="218"/>
        <v/>
      </c>
      <c r="N780" s="4" t="str">
        <f t="shared" si="219"/>
        <v/>
      </c>
      <c r="O780" s="4" t="str">
        <f t="shared" si="220"/>
        <v/>
      </c>
      <c r="P780" s="4" t="str">
        <f t="shared" si="221"/>
        <v/>
      </c>
      <c r="Q780" s="4">
        <f t="shared" si="222"/>
        <v>2</v>
      </c>
      <c r="R780" s="4" t="str">
        <f t="shared" si="223"/>
        <v/>
      </c>
      <c r="S780" s="4" t="str">
        <f t="shared" si="224"/>
        <v/>
      </c>
      <c r="T780" s="4" t="str">
        <f t="shared" si="225"/>
        <v/>
      </c>
      <c r="U780">
        <f>IF(VLOOKUP(C780,'QA Table'!$Y$5:$Y$20,1,TRUE)=C780,1,0)</f>
        <v>0</v>
      </c>
      <c r="V780" t="str">
        <f t="shared" si="226"/>
        <v/>
      </c>
      <c r="W780" t="str">
        <f t="shared" si="227"/>
        <v/>
      </c>
      <c r="X780">
        <f t="shared" si="228"/>
        <v>3</v>
      </c>
      <c r="Y780">
        <f t="shared" si="229"/>
        <v>0</v>
      </c>
      <c r="AA780">
        <f t="shared" si="230"/>
        <v>1</v>
      </c>
    </row>
    <row r="781" spans="1:27" x14ac:dyDescent="0.2">
      <c r="A781" t="s">
        <v>23</v>
      </c>
      <c r="B781" t="s">
        <v>85</v>
      </c>
      <c r="C781" t="s">
        <v>1917</v>
      </c>
      <c r="D781" t="s">
        <v>9</v>
      </c>
      <c r="E781" t="s">
        <v>3</v>
      </c>
      <c r="F781" t="s">
        <v>1909</v>
      </c>
      <c r="G781" t="s">
        <v>1783</v>
      </c>
      <c r="H781" s="4" t="str">
        <f t="shared" si="214"/>
        <v/>
      </c>
      <c r="I781" s="4" t="str">
        <f>IF(RIGHT(B781,1)="M",IF(AND(H781=1,E781="RFS",D781=INDEX('Station Depth Averages'!$A$3:$B$84,MATCH(B781,'Station Depth Averages'!$A$3:$A$84,0),2)),1,""),IF(AND(H781=1,OR(D781="SYN",D781="SRF",D781="MID")),1,IF(AND(H781=1,OR(E782="FDn",E782="LDn")),1,IF(AND(H781=1,OR(E781="FDn",E781="LDn")),1,""))))</f>
        <v/>
      </c>
      <c r="J781" s="4" t="str">
        <f t="shared" si="215"/>
        <v/>
      </c>
      <c r="K781" s="4" t="str">
        <f t="shared" si="216"/>
        <v/>
      </c>
      <c r="L781" s="4" t="str">
        <f t="shared" si="217"/>
        <v/>
      </c>
      <c r="M781" s="4" t="str">
        <f t="shared" si="218"/>
        <v/>
      </c>
      <c r="N781" s="4" t="str">
        <f t="shared" si="219"/>
        <v/>
      </c>
      <c r="O781" s="4" t="str">
        <f t="shared" si="220"/>
        <v/>
      </c>
      <c r="P781" s="4" t="str">
        <f t="shared" si="221"/>
        <v/>
      </c>
      <c r="Q781" s="4" t="str">
        <f t="shared" si="222"/>
        <v/>
      </c>
      <c r="R781" s="4" t="str">
        <f t="shared" si="223"/>
        <v/>
      </c>
      <c r="S781" s="4" t="str">
        <f t="shared" si="224"/>
        <v/>
      </c>
      <c r="T781" s="4">
        <f t="shared" si="225"/>
        <v>2</v>
      </c>
      <c r="U781">
        <f>IF(VLOOKUP(C781,'QA Table'!$Y$5:$Y$20,1,TRUE)=C781,1,0)</f>
        <v>0</v>
      </c>
      <c r="V781" t="str">
        <f t="shared" si="226"/>
        <v/>
      </c>
      <c r="W781" t="str">
        <f t="shared" si="227"/>
        <v/>
      </c>
      <c r="X781" t="str">
        <f t="shared" si="228"/>
        <v/>
      </c>
      <c r="Y781">
        <f t="shared" si="229"/>
        <v>0</v>
      </c>
      <c r="AA781" t="str">
        <f t="shared" si="230"/>
        <v/>
      </c>
    </row>
    <row r="782" spans="1:27" x14ac:dyDescent="0.2">
      <c r="A782" t="s">
        <v>23</v>
      </c>
      <c r="B782" t="s">
        <v>85</v>
      </c>
      <c r="C782" t="s">
        <v>1918</v>
      </c>
      <c r="D782" t="s">
        <v>10</v>
      </c>
      <c r="E782" t="s">
        <v>3</v>
      </c>
      <c r="F782" t="s">
        <v>1909</v>
      </c>
      <c r="G782" t="s">
        <v>1783</v>
      </c>
      <c r="H782" s="4" t="str">
        <f t="shared" si="214"/>
        <v/>
      </c>
      <c r="I782" s="4" t="str">
        <f>IF(RIGHT(B782,1)="M",IF(AND(H782=1,E782="RFS",D782=INDEX('Station Depth Averages'!$A$3:$B$84,MATCH(B782,'Station Depth Averages'!$A$3:$A$84,0),2)),1,""),IF(AND(H782=1,OR(D782="SYN",D782="SRF",D782="MID")),1,IF(AND(H782=1,OR(E783="FDn",E783="LDn")),1,IF(AND(H782=1,OR(E782="FDn",E782="LDn")),1,""))))</f>
        <v/>
      </c>
      <c r="J782" s="4" t="str">
        <f t="shared" si="215"/>
        <v/>
      </c>
      <c r="K782" s="4" t="str">
        <f t="shared" si="216"/>
        <v/>
      </c>
      <c r="L782" s="4" t="str">
        <f t="shared" si="217"/>
        <v/>
      </c>
      <c r="M782" s="4" t="str">
        <f t="shared" si="218"/>
        <v/>
      </c>
      <c r="N782" s="4" t="str">
        <f t="shared" si="219"/>
        <v/>
      </c>
      <c r="O782" s="4" t="str">
        <f t="shared" si="220"/>
        <v/>
      </c>
      <c r="P782" s="4" t="str">
        <f t="shared" si="221"/>
        <v/>
      </c>
      <c r="Q782" s="4" t="str">
        <f t="shared" si="222"/>
        <v/>
      </c>
      <c r="R782" s="4" t="str">
        <f t="shared" si="223"/>
        <v/>
      </c>
      <c r="S782" s="4" t="str">
        <f t="shared" si="224"/>
        <v/>
      </c>
      <c r="T782" s="4">
        <f t="shared" si="225"/>
        <v>2</v>
      </c>
      <c r="U782">
        <f>IF(VLOOKUP(C782,'QA Table'!$Y$5:$Y$20,1,TRUE)=C782,1,0)</f>
        <v>0</v>
      </c>
      <c r="V782" t="str">
        <f t="shared" si="226"/>
        <v/>
      </c>
      <c r="W782" t="str">
        <f t="shared" si="227"/>
        <v/>
      </c>
      <c r="X782" t="str">
        <f t="shared" si="228"/>
        <v/>
      </c>
      <c r="Y782">
        <f t="shared" si="229"/>
        <v>0</v>
      </c>
      <c r="AA782" t="str">
        <f t="shared" si="230"/>
        <v/>
      </c>
    </row>
    <row r="783" spans="1:27" x14ac:dyDescent="0.2">
      <c r="A783" t="s">
        <v>23</v>
      </c>
      <c r="B783" t="s">
        <v>85</v>
      </c>
      <c r="C783" t="s">
        <v>1919</v>
      </c>
      <c r="D783" t="s">
        <v>1034</v>
      </c>
      <c r="E783" t="s">
        <v>3</v>
      </c>
      <c r="F783" t="s">
        <v>1909</v>
      </c>
      <c r="G783" t="s">
        <v>1783</v>
      </c>
      <c r="H783" s="4" t="str">
        <f t="shared" si="214"/>
        <v/>
      </c>
      <c r="I783" s="4" t="str">
        <f>IF(RIGHT(B783,1)="M",IF(AND(H783=1,E783="RFS",D783=INDEX('Station Depth Averages'!$A$3:$B$84,MATCH(B783,'Station Depth Averages'!$A$3:$A$84,0),2)),1,""),IF(AND(H783=1,OR(D783="SYN",D783="SRF",D783="MID")),1,IF(AND(H783=1,OR(E784="FDn",E784="LDn")),1,IF(AND(H783=1,OR(E783="FDn",E783="LDn")),1,""))))</f>
        <v/>
      </c>
      <c r="J783" s="4" t="str">
        <f t="shared" si="215"/>
        <v/>
      </c>
      <c r="K783" s="4" t="str">
        <f t="shared" si="216"/>
        <v/>
      </c>
      <c r="L783" s="4" t="str">
        <f t="shared" si="217"/>
        <v/>
      </c>
      <c r="M783" s="4" t="str">
        <f t="shared" si="218"/>
        <v/>
      </c>
      <c r="N783" s="4" t="str">
        <f t="shared" si="219"/>
        <v/>
      </c>
      <c r="O783" s="4" t="str">
        <f t="shared" si="220"/>
        <v/>
      </c>
      <c r="P783" s="4" t="str">
        <f t="shared" si="221"/>
        <v/>
      </c>
      <c r="Q783" s="4" t="str">
        <f t="shared" si="222"/>
        <v/>
      </c>
      <c r="R783" s="4" t="str">
        <f t="shared" si="223"/>
        <v/>
      </c>
      <c r="S783" s="4">
        <f t="shared" si="224"/>
        <v>1</v>
      </c>
      <c r="T783" s="4" t="str">
        <f t="shared" si="225"/>
        <v/>
      </c>
      <c r="U783">
        <f>IF(VLOOKUP(C783,'QA Table'!$Y$5:$Y$20,1,TRUE)=C783,1,0)</f>
        <v>0</v>
      </c>
      <c r="V783" t="str">
        <f t="shared" si="226"/>
        <v/>
      </c>
      <c r="W783" t="str">
        <f t="shared" si="227"/>
        <v/>
      </c>
      <c r="X783" t="str">
        <f t="shared" si="228"/>
        <v/>
      </c>
      <c r="Y783">
        <f t="shared" si="229"/>
        <v>0</v>
      </c>
      <c r="AA783" t="str">
        <f t="shared" si="230"/>
        <v/>
      </c>
    </row>
    <row r="784" spans="1:27" x14ac:dyDescent="0.2">
      <c r="A784" t="s">
        <v>23</v>
      </c>
      <c r="B784" t="s">
        <v>85</v>
      </c>
      <c r="C784" t="s">
        <v>1920</v>
      </c>
      <c r="D784" t="s">
        <v>1034</v>
      </c>
      <c r="E784" t="s">
        <v>19</v>
      </c>
      <c r="F784" t="s">
        <v>1909</v>
      </c>
      <c r="G784" t="s">
        <v>1783</v>
      </c>
      <c r="H784" s="4" t="str">
        <f t="shared" si="214"/>
        <v/>
      </c>
      <c r="I784" s="4" t="str">
        <f>IF(RIGHT(B784,1)="M",IF(AND(H784=1,E784="RFS",D784=INDEX('Station Depth Averages'!$A$3:$B$84,MATCH(B784,'Station Depth Averages'!$A$3:$A$84,0),2)),1,""),IF(AND(H784=1,OR(D784="SYN",D784="SRF",D784="MID")),1,IF(AND(H784=1,OR(E785="FDn",E785="LDn")),1,IF(AND(H784=1,OR(E784="FDn",E784="LDn")),1,""))))</f>
        <v/>
      </c>
      <c r="J784" s="4" t="str">
        <f t="shared" si="215"/>
        <v/>
      </c>
      <c r="K784" s="4" t="str">
        <f t="shared" si="216"/>
        <v/>
      </c>
      <c r="L784" s="4" t="str">
        <f t="shared" si="217"/>
        <v/>
      </c>
      <c r="M784" s="4" t="str">
        <f t="shared" si="218"/>
        <v/>
      </c>
      <c r="N784" s="4" t="str">
        <f t="shared" si="219"/>
        <v/>
      </c>
      <c r="O784" s="4" t="str">
        <f t="shared" si="220"/>
        <v/>
      </c>
      <c r="P784" s="4" t="str">
        <f t="shared" si="221"/>
        <v/>
      </c>
      <c r="Q784" s="4" t="str">
        <f t="shared" si="222"/>
        <v/>
      </c>
      <c r="R784" s="4" t="str">
        <f t="shared" si="223"/>
        <v/>
      </c>
      <c r="S784" s="4">
        <f t="shared" si="224"/>
        <v>1</v>
      </c>
      <c r="T784" s="4" t="str">
        <f t="shared" si="225"/>
        <v/>
      </c>
      <c r="U784">
        <f>IF(VLOOKUP(C784,'QA Table'!$Y$5:$Y$20,1,TRUE)=C784,1,0)</f>
        <v>0</v>
      </c>
      <c r="V784" t="str">
        <f t="shared" si="226"/>
        <v/>
      </c>
      <c r="W784" t="str">
        <f t="shared" si="227"/>
        <v/>
      </c>
      <c r="X784" t="str">
        <f t="shared" si="228"/>
        <v/>
      </c>
      <c r="Y784">
        <f t="shared" si="229"/>
        <v>0</v>
      </c>
      <c r="AA784" t="str">
        <f t="shared" si="230"/>
        <v/>
      </c>
    </row>
    <row r="785" spans="1:27" x14ac:dyDescent="0.2">
      <c r="A785" t="s">
        <v>23</v>
      </c>
      <c r="B785" t="s">
        <v>86</v>
      </c>
      <c r="C785" t="s">
        <v>1921</v>
      </c>
      <c r="D785" t="s">
        <v>2</v>
      </c>
      <c r="E785" t="s">
        <v>3</v>
      </c>
      <c r="F785" t="s">
        <v>1922</v>
      </c>
      <c r="G785" t="s">
        <v>1783</v>
      </c>
      <c r="H785" s="4">
        <f t="shared" si="214"/>
        <v>1</v>
      </c>
      <c r="I785" s="4">
        <f>IF(RIGHT(B785,1)="M",IF(AND(H785=1,E785="RFS",D785=INDEX('Station Depth Averages'!$A$3:$B$84,MATCH(B785,'Station Depth Averages'!$A$3:$A$84,0),2)),1,""),IF(AND(H785=1,OR(D785="SYN",D785="SRF",D785="MID")),1,IF(AND(H785=1,OR(E786="FDn",E786="LDn")),1,IF(AND(H785=1,OR(E785="FDn",E785="LDn")),1,""))))</f>
        <v>1</v>
      </c>
      <c r="J785" s="4">
        <f t="shared" si="215"/>
        <v>1</v>
      </c>
      <c r="K785" s="4" t="str">
        <f t="shared" si="216"/>
        <v/>
      </c>
      <c r="L785" s="4" t="str">
        <f t="shared" si="217"/>
        <v/>
      </c>
      <c r="M785" s="4" t="str">
        <f t="shared" si="218"/>
        <v/>
      </c>
      <c r="N785" s="4" t="str">
        <f t="shared" si="219"/>
        <v/>
      </c>
      <c r="O785" s="4" t="str">
        <f t="shared" si="220"/>
        <v/>
      </c>
      <c r="P785" s="4" t="str">
        <f t="shared" si="221"/>
        <v/>
      </c>
      <c r="Q785" s="4" t="str">
        <f t="shared" si="222"/>
        <v/>
      </c>
      <c r="R785" s="4" t="str">
        <f t="shared" si="223"/>
        <v/>
      </c>
      <c r="S785" s="4" t="str">
        <f t="shared" si="224"/>
        <v/>
      </c>
      <c r="T785" s="4" t="str">
        <f t="shared" si="225"/>
        <v/>
      </c>
      <c r="U785">
        <f>IF(VLOOKUP(C785,'QA Table'!$Y$5:$Y$20,1,TRUE)=C785,1,0)</f>
        <v>0</v>
      </c>
      <c r="V785" t="str">
        <f t="shared" si="226"/>
        <v/>
      </c>
      <c r="W785" t="str">
        <f t="shared" si="227"/>
        <v/>
      </c>
      <c r="X785">
        <f t="shared" si="228"/>
        <v>3</v>
      </c>
      <c r="Y785">
        <f t="shared" si="229"/>
        <v>0</v>
      </c>
      <c r="AA785">
        <f t="shared" si="230"/>
        <v>1</v>
      </c>
    </row>
    <row r="786" spans="1:27" x14ac:dyDescent="0.2">
      <c r="A786" t="s">
        <v>23</v>
      </c>
      <c r="B786" t="s">
        <v>86</v>
      </c>
      <c r="C786" t="s">
        <v>1923</v>
      </c>
      <c r="D786" t="s">
        <v>1050</v>
      </c>
      <c r="E786" t="s">
        <v>3</v>
      </c>
      <c r="F786" t="s">
        <v>1922</v>
      </c>
      <c r="G786" t="s">
        <v>1783</v>
      </c>
      <c r="H786" s="4" t="str">
        <f t="shared" si="214"/>
        <v/>
      </c>
      <c r="I786" s="4" t="str">
        <f>IF(RIGHT(B786,1)="M",IF(AND(H786=1,E786="RFS",D786=INDEX('Station Depth Averages'!$A$3:$B$84,MATCH(B786,'Station Depth Averages'!$A$3:$A$84,0),2)),1,""),IF(AND(H786=1,OR(D786="SYN",D786="SRF",D786="MID")),1,IF(AND(H786=1,OR(E787="FDn",E787="LDn")),1,IF(AND(H786=1,OR(E786="FDn",E786="LDn")),1,""))))</f>
        <v/>
      </c>
      <c r="J786" s="4" t="str">
        <f t="shared" si="215"/>
        <v/>
      </c>
      <c r="K786" s="4" t="str">
        <f t="shared" si="216"/>
        <v/>
      </c>
      <c r="L786" s="4" t="str">
        <f t="shared" si="217"/>
        <v/>
      </c>
      <c r="M786" s="4" t="str">
        <f t="shared" si="218"/>
        <v/>
      </c>
      <c r="N786" s="4" t="str">
        <f t="shared" si="219"/>
        <v/>
      </c>
      <c r="O786" s="4" t="str">
        <f t="shared" si="220"/>
        <v/>
      </c>
      <c r="P786" s="4" t="str">
        <f t="shared" si="221"/>
        <v/>
      </c>
      <c r="Q786" s="4" t="str">
        <f t="shared" si="222"/>
        <v/>
      </c>
      <c r="R786" s="4" t="str">
        <f t="shared" si="223"/>
        <v/>
      </c>
      <c r="S786" s="4" t="str">
        <f t="shared" si="224"/>
        <v/>
      </c>
      <c r="T786" s="4" t="str">
        <f t="shared" si="225"/>
        <v/>
      </c>
      <c r="U786">
        <f>IF(VLOOKUP(C786,'QA Table'!$Y$5:$Y$20,1,TRUE)=C786,1,0)</f>
        <v>0</v>
      </c>
      <c r="V786" t="str">
        <f t="shared" si="226"/>
        <v/>
      </c>
      <c r="W786" t="str">
        <f t="shared" si="227"/>
        <v/>
      </c>
      <c r="X786" t="str">
        <f t="shared" si="228"/>
        <v/>
      </c>
      <c r="Y786">
        <f t="shared" si="229"/>
        <v>0</v>
      </c>
      <c r="AA786" t="str">
        <f t="shared" si="230"/>
        <v/>
      </c>
    </row>
    <row r="787" spans="1:27" x14ac:dyDescent="0.2">
      <c r="A787" t="s">
        <v>23</v>
      </c>
      <c r="B787" t="s">
        <v>86</v>
      </c>
      <c r="C787" t="s">
        <v>1924</v>
      </c>
      <c r="D787" t="s">
        <v>4</v>
      </c>
      <c r="E787" t="s">
        <v>3</v>
      </c>
      <c r="F787" t="s">
        <v>1922</v>
      </c>
      <c r="G787" t="s">
        <v>1783</v>
      </c>
      <c r="H787" s="4" t="str">
        <f t="shared" si="214"/>
        <v/>
      </c>
      <c r="I787" s="4" t="str">
        <f>IF(RIGHT(B787,1)="M",IF(AND(H787=1,E787="RFS",D787=INDEX('Station Depth Averages'!$A$3:$B$84,MATCH(B787,'Station Depth Averages'!$A$3:$A$84,0),2)),1,""),IF(AND(H787=1,OR(D787="SYN",D787="SRF",D787="MID")),1,IF(AND(H787=1,OR(E788="FDn",E788="LDn")),1,IF(AND(H787=1,OR(E787="FDn",E787="LDn")),1,""))))</f>
        <v/>
      </c>
      <c r="J787" s="4" t="str">
        <f t="shared" si="215"/>
        <v/>
      </c>
      <c r="K787" s="4" t="str">
        <f t="shared" si="216"/>
        <v/>
      </c>
      <c r="L787" s="4" t="str">
        <f t="shared" si="217"/>
        <v/>
      </c>
      <c r="M787" s="4" t="str">
        <f t="shared" si="218"/>
        <v/>
      </c>
      <c r="N787" s="4" t="str">
        <f t="shared" si="219"/>
        <v/>
      </c>
      <c r="O787" s="4" t="str">
        <f t="shared" si="220"/>
        <v/>
      </c>
      <c r="P787" s="4" t="str">
        <f t="shared" si="221"/>
        <v/>
      </c>
      <c r="Q787" s="4" t="str">
        <f t="shared" si="222"/>
        <v/>
      </c>
      <c r="R787" s="4" t="str">
        <f t="shared" si="223"/>
        <v/>
      </c>
      <c r="S787" s="4" t="str">
        <f t="shared" si="224"/>
        <v/>
      </c>
      <c r="T787" s="4" t="str">
        <f t="shared" si="225"/>
        <v/>
      </c>
      <c r="U787">
        <f>IF(VLOOKUP(C787,'QA Table'!$Y$5:$Y$20,1,TRUE)=C787,1,0)</f>
        <v>0</v>
      </c>
      <c r="V787" t="str">
        <f t="shared" si="226"/>
        <v/>
      </c>
      <c r="W787" t="str">
        <f t="shared" si="227"/>
        <v/>
      </c>
      <c r="X787" t="str">
        <f t="shared" si="228"/>
        <v/>
      </c>
      <c r="Y787">
        <f t="shared" si="229"/>
        <v>0</v>
      </c>
      <c r="AA787" t="str">
        <f t="shared" si="230"/>
        <v/>
      </c>
    </row>
    <row r="788" spans="1:27" x14ac:dyDescent="0.2">
      <c r="A788" t="s">
        <v>23</v>
      </c>
      <c r="B788" t="s">
        <v>86</v>
      </c>
      <c r="C788" t="s">
        <v>1925</v>
      </c>
      <c r="D788" t="s">
        <v>1051</v>
      </c>
      <c r="E788" t="s">
        <v>3</v>
      </c>
      <c r="F788" t="s">
        <v>1922</v>
      </c>
      <c r="G788" t="s">
        <v>1783</v>
      </c>
      <c r="H788" s="4" t="str">
        <f t="shared" si="214"/>
        <v/>
      </c>
      <c r="I788" s="4" t="str">
        <f>IF(RIGHT(B788,1)="M",IF(AND(H788=1,E788="RFS",D788=INDEX('Station Depth Averages'!$A$3:$B$84,MATCH(B788,'Station Depth Averages'!$A$3:$A$84,0),2)),1,""),IF(AND(H788=1,OR(D788="SYN",D788="SRF",D788="MID")),1,IF(AND(H788=1,OR(E789="FDn",E789="LDn")),1,IF(AND(H788=1,OR(E788="FDn",E788="LDn")),1,""))))</f>
        <v/>
      </c>
      <c r="J788" s="4" t="str">
        <f t="shared" si="215"/>
        <v/>
      </c>
      <c r="K788" s="4" t="str">
        <f t="shared" si="216"/>
        <v/>
      </c>
      <c r="L788" s="4" t="str">
        <f t="shared" si="217"/>
        <v/>
      </c>
      <c r="M788" s="4" t="str">
        <f t="shared" si="218"/>
        <v/>
      </c>
      <c r="N788" s="4" t="str">
        <f t="shared" si="219"/>
        <v/>
      </c>
      <c r="O788" s="4" t="str">
        <f t="shared" si="220"/>
        <v/>
      </c>
      <c r="P788" s="4" t="str">
        <f t="shared" si="221"/>
        <v/>
      </c>
      <c r="Q788" s="4" t="str">
        <f t="shared" si="222"/>
        <v/>
      </c>
      <c r="R788" s="4" t="str">
        <f t="shared" si="223"/>
        <v/>
      </c>
      <c r="S788" s="4" t="str">
        <f t="shared" si="224"/>
        <v/>
      </c>
      <c r="T788" s="4" t="str">
        <f t="shared" si="225"/>
        <v/>
      </c>
      <c r="U788">
        <f>IF(VLOOKUP(C788,'QA Table'!$Y$5:$Y$20,1,TRUE)=C788,1,0)</f>
        <v>0</v>
      </c>
      <c r="V788" t="str">
        <f t="shared" si="226"/>
        <v/>
      </c>
      <c r="W788" t="str">
        <f t="shared" si="227"/>
        <v/>
      </c>
      <c r="X788" t="str">
        <f t="shared" si="228"/>
        <v/>
      </c>
      <c r="Y788">
        <f t="shared" si="229"/>
        <v>0</v>
      </c>
      <c r="AA788" t="str">
        <f t="shared" si="230"/>
        <v/>
      </c>
    </row>
    <row r="789" spans="1:27" x14ac:dyDescent="0.2">
      <c r="A789" t="s">
        <v>23</v>
      </c>
      <c r="B789" t="s">
        <v>86</v>
      </c>
      <c r="C789" t="s">
        <v>1926</v>
      </c>
      <c r="D789" t="s">
        <v>119</v>
      </c>
      <c r="E789" t="s">
        <v>3</v>
      </c>
      <c r="F789" t="s">
        <v>1922</v>
      </c>
      <c r="G789" t="s">
        <v>1783</v>
      </c>
      <c r="H789" s="4">
        <f t="shared" si="214"/>
        <v>1</v>
      </c>
      <c r="I789" s="4">
        <f>IF(RIGHT(B789,1)="M",IF(AND(H789=1,E789="RFS",D789=INDEX('Station Depth Averages'!$A$3:$B$84,MATCH(B789,'Station Depth Averages'!$A$3:$A$84,0),2)),1,""),IF(AND(H789=1,OR(D789="SYN",D789="SRF",D789="MID")),1,IF(AND(H789=1,OR(E790="FDn",E790="LDn")),1,IF(AND(H789=1,OR(E789="FDn",E789="LDn")),1,""))))</f>
        <v>1</v>
      </c>
      <c r="J789" s="4">
        <f t="shared" si="215"/>
        <v>1</v>
      </c>
      <c r="K789" s="4" t="str">
        <f t="shared" si="216"/>
        <v/>
      </c>
      <c r="L789" s="4" t="str">
        <f t="shared" si="217"/>
        <v/>
      </c>
      <c r="M789" s="4" t="str">
        <f t="shared" si="218"/>
        <v/>
      </c>
      <c r="N789" s="4" t="str">
        <f t="shared" si="219"/>
        <v/>
      </c>
      <c r="O789" s="4" t="str">
        <f t="shared" si="220"/>
        <v/>
      </c>
      <c r="P789" s="4" t="str">
        <f t="shared" si="221"/>
        <v/>
      </c>
      <c r="Q789" s="4" t="str">
        <f t="shared" si="222"/>
        <v/>
      </c>
      <c r="R789" s="4" t="str">
        <f t="shared" si="223"/>
        <v/>
      </c>
      <c r="S789" s="4" t="str">
        <f t="shared" si="224"/>
        <v/>
      </c>
      <c r="T789" s="4" t="str">
        <f t="shared" si="225"/>
        <v/>
      </c>
      <c r="U789">
        <f>IF(VLOOKUP(C789,'QA Table'!$Y$5:$Y$20,1,TRUE)=C789,1,0)</f>
        <v>0</v>
      </c>
      <c r="V789" t="str">
        <f t="shared" si="226"/>
        <v/>
      </c>
      <c r="W789" t="str">
        <f t="shared" si="227"/>
        <v/>
      </c>
      <c r="X789">
        <f t="shared" si="228"/>
        <v>3</v>
      </c>
      <c r="Y789">
        <f t="shared" si="229"/>
        <v>0</v>
      </c>
      <c r="AA789">
        <f t="shared" si="230"/>
        <v>1</v>
      </c>
    </row>
    <row r="790" spans="1:27" x14ac:dyDescent="0.2">
      <c r="A790" t="s">
        <v>23</v>
      </c>
      <c r="B790" t="s">
        <v>86</v>
      </c>
      <c r="C790" t="s">
        <v>1927</v>
      </c>
      <c r="D790" t="s">
        <v>5</v>
      </c>
      <c r="E790" t="s">
        <v>3</v>
      </c>
      <c r="F790" t="s">
        <v>1922</v>
      </c>
      <c r="G790" t="s">
        <v>1783</v>
      </c>
      <c r="H790" s="4">
        <f t="shared" si="214"/>
        <v>1</v>
      </c>
      <c r="I790" s="4" t="str">
        <f>IF(RIGHT(B790,1)="M",IF(AND(H790=1,E790="RFS",D790=INDEX('Station Depth Averages'!$A$3:$B$84,MATCH(B790,'Station Depth Averages'!$A$3:$A$84,0),2)),1,""),IF(AND(H790=1,OR(D790="SYN",D790="SRF",D790="MID")),1,IF(AND(H790=1,OR(E791="FDn",E791="LDn")),1,IF(AND(H790=1,OR(E790="FDn",E790="LDn")),1,""))))</f>
        <v/>
      </c>
      <c r="J790" s="4">
        <f t="shared" si="215"/>
        <v>1</v>
      </c>
      <c r="K790" s="4" t="str">
        <f t="shared" si="216"/>
        <v/>
      </c>
      <c r="L790" s="4" t="str">
        <f t="shared" si="217"/>
        <v/>
      </c>
      <c r="M790" s="4" t="str">
        <f t="shared" si="218"/>
        <v/>
      </c>
      <c r="N790" s="4" t="str">
        <f t="shared" si="219"/>
        <v/>
      </c>
      <c r="O790" s="4" t="str">
        <f t="shared" si="220"/>
        <v/>
      </c>
      <c r="P790" s="4" t="str">
        <f t="shared" si="221"/>
        <v/>
      </c>
      <c r="Q790" s="4" t="str">
        <f t="shared" si="222"/>
        <v/>
      </c>
      <c r="R790" s="4" t="str">
        <f t="shared" si="223"/>
        <v/>
      </c>
      <c r="S790" s="4" t="str">
        <f t="shared" si="224"/>
        <v/>
      </c>
      <c r="T790" s="4" t="str">
        <f t="shared" si="225"/>
        <v/>
      </c>
      <c r="U790">
        <f>IF(VLOOKUP(C790,'QA Table'!$Y$5:$Y$20,1,TRUE)=C790,1,0)</f>
        <v>0</v>
      </c>
      <c r="V790" t="str">
        <f t="shared" si="226"/>
        <v/>
      </c>
      <c r="W790" t="str">
        <f t="shared" si="227"/>
        <v/>
      </c>
      <c r="X790">
        <f t="shared" si="228"/>
        <v>3</v>
      </c>
      <c r="Y790">
        <f t="shared" si="229"/>
        <v>0</v>
      </c>
      <c r="AA790">
        <f t="shared" si="230"/>
        <v>1</v>
      </c>
    </row>
    <row r="791" spans="1:27" x14ac:dyDescent="0.2">
      <c r="A791" t="s">
        <v>23</v>
      </c>
      <c r="B791" t="s">
        <v>86</v>
      </c>
      <c r="C791" t="s">
        <v>1124</v>
      </c>
      <c r="D791" t="s">
        <v>6</v>
      </c>
      <c r="E791" t="s">
        <v>3</v>
      </c>
      <c r="F791" t="s">
        <v>1922</v>
      </c>
      <c r="G791" t="s">
        <v>1783</v>
      </c>
      <c r="H791" s="4">
        <f t="shared" si="214"/>
        <v>1</v>
      </c>
      <c r="I791" s="4" t="str">
        <f>IF(RIGHT(B791,1)="M",IF(AND(H791=1,E791="RFS",D791=INDEX('Station Depth Averages'!$A$3:$B$84,MATCH(B791,'Station Depth Averages'!$A$3:$A$84,0),2)),1,""),IF(AND(H791=1,OR(D791="SYN",D791="SRF",D791="MID")),1,IF(AND(H791=1,OR(E792="FDn",E792="LDn")),1,IF(AND(H791=1,OR(E791="FDn",E791="LDn")),1,""))))</f>
        <v/>
      </c>
      <c r="J791" s="4">
        <f t="shared" si="215"/>
        <v>1</v>
      </c>
      <c r="K791" s="4" t="str">
        <f t="shared" si="216"/>
        <v/>
      </c>
      <c r="L791" s="4" t="str">
        <f t="shared" si="217"/>
        <v/>
      </c>
      <c r="M791" s="4" t="str">
        <f t="shared" si="218"/>
        <v/>
      </c>
      <c r="N791" s="4" t="str">
        <f t="shared" si="219"/>
        <v/>
      </c>
      <c r="O791" s="4" t="str">
        <f t="shared" si="220"/>
        <v/>
      </c>
      <c r="P791" s="4" t="str">
        <f t="shared" si="221"/>
        <v/>
      </c>
      <c r="Q791" s="4" t="str">
        <f t="shared" si="222"/>
        <v/>
      </c>
      <c r="R791" s="4" t="str">
        <f t="shared" si="223"/>
        <v/>
      </c>
      <c r="S791" s="4" t="str">
        <f t="shared" si="224"/>
        <v/>
      </c>
      <c r="T791" s="4" t="str">
        <f t="shared" si="225"/>
        <v/>
      </c>
      <c r="U791">
        <f>IF(VLOOKUP(C791,'QA Table'!$Y$5:$Y$20,1,TRUE)=C791,1,0)</f>
        <v>1</v>
      </c>
      <c r="V791" t="str">
        <f t="shared" si="226"/>
        <v/>
      </c>
      <c r="W791" t="str">
        <f t="shared" si="227"/>
        <v/>
      </c>
      <c r="X791">
        <f t="shared" si="228"/>
        <v>3</v>
      </c>
      <c r="Y791">
        <f t="shared" si="229"/>
        <v>1</v>
      </c>
      <c r="AA791">
        <f t="shared" si="230"/>
        <v>1</v>
      </c>
    </row>
    <row r="792" spans="1:27" x14ac:dyDescent="0.2">
      <c r="A792" t="s">
        <v>23</v>
      </c>
      <c r="B792" t="s">
        <v>86</v>
      </c>
      <c r="C792" t="s">
        <v>1928</v>
      </c>
      <c r="D792" t="s">
        <v>8</v>
      </c>
      <c r="E792" t="s">
        <v>3</v>
      </c>
      <c r="F792" t="s">
        <v>1922</v>
      </c>
      <c r="G792" t="s">
        <v>1783</v>
      </c>
      <c r="H792" s="4">
        <f t="shared" si="214"/>
        <v>1</v>
      </c>
      <c r="I792" s="4" t="str">
        <f>IF(RIGHT(B792,1)="M",IF(AND(H792=1,E792="RFS",D792=INDEX('Station Depth Averages'!$A$3:$B$84,MATCH(B792,'Station Depth Averages'!$A$3:$A$84,0),2)),1,""),IF(AND(H792=1,OR(D792="SYN",D792="SRF",D792="MID")),1,IF(AND(H792=1,OR(E793="FDn",E793="LDn")),1,IF(AND(H792=1,OR(E792="FDn",E792="LDn")),1,""))))</f>
        <v/>
      </c>
      <c r="J792" s="4" t="str">
        <f t="shared" si="215"/>
        <v/>
      </c>
      <c r="K792" s="4">
        <f t="shared" si="216"/>
        <v>1</v>
      </c>
      <c r="L792" s="4" t="str">
        <f t="shared" si="217"/>
        <v/>
      </c>
      <c r="M792" s="4" t="str">
        <f t="shared" si="218"/>
        <v/>
      </c>
      <c r="N792" s="4" t="str">
        <f t="shared" si="219"/>
        <v/>
      </c>
      <c r="O792" s="4" t="str">
        <f t="shared" si="220"/>
        <v/>
      </c>
      <c r="P792" s="4" t="str">
        <f t="shared" si="221"/>
        <v/>
      </c>
      <c r="Q792" s="4">
        <f t="shared" si="222"/>
        <v>2</v>
      </c>
      <c r="R792" s="4" t="str">
        <f t="shared" si="223"/>
        <v/>
      </c>
      <c r="S792" s="4" t="str">
        <f t="shared" si="224"/>
        <v/>
      </c>
      <c r="T792" s="4" t="str">
        <f t="shared" si="225"/>
        <v/>
      </c>
      <c r="U792">
        <f>IF(VLOOKUP(C792,'QA Table'!$Y$5:$Y$20,1,TRUE)=C792,1,0)</f>
        <v>0</v>
      </c>
      <c r="V792" t="str">
        <f t="shared" si="226"/>
        <v/>
      </c>
      <c r="W792" t="str">
        <f t="shared" si="227"/>
        <v/>
      </c>
      <c r="X792">
        <f t="shared" si="228"/>
        <v>3</v>
      </c>
      <c r="Y792">
        <f t="shared" si="229"/>
        <v>0</v>
      </c>
      <c r="AA792">
        <f t="shared" si="230"/>
        <v>1</v>
      </c>
    </row>
    <row r="793" spans="1:27" x14ac:dyDescent="0.2">
      <c r="A793" t="s">
        <v>23</v>
      </c>
      <c r="B793" t="s">
        <v>86</v>
      </c>
      <c r="C793" t="s">
        <v>1929</v>
      </c>
      <c r="D793" t="s">
        <v>9</v>
      </c>
      <c r="E793" t="s">
        <v>3</v>
      </c>
      <c r="F793" t="s">
        <v>1922</v>
      </c>
      <c r="G793" t="s">
        <v>1783</v>
      </c>
      <c r="H793" s="4" t="str">
        <f t="shared" si="214"/>
        <v/>
      </c>
      <c r="I793" s="4" t="str">
        <f>IF(RIGHT(B793,1)="M",IF(AND(H793=1,E793="RFS",D793=INDEX('Station Depth Averages'!$A$3:$B$84,MATCH(B793,'Station Depth Averages'!$A$3:$A$84,0),2)),1,""),IF(AND(H793=1,OR(D793="SYN",D793="SRF",D793="MID")),1,IF(AND(H793=1,OR(E794="FDn",E794="LDn")),1,IF(AND(H793=1,OR(E793="FDn",E793="LDn")),1,""))))</f>
        <v/>
      </c>
      <c r="J793" s="4" t="str">
        <f t="shared" si="215"/>
        <v/>
      </c>
      <c r="K793" s="4" t="str">
        <f t="shared" si="216"/>
        <v/>
      </c>
      <c r="L793" s="4" t="str">
        <f t="shared" si="217"/>
        <v/>
      </c>
      <c r="M793" s="4" t="str">
        <f t="shared" si="218"/>
        <v/>
      </c>
      <c r="N793" s="4" t="str">
        <f t="shared" si="219"/>
        <v/>
      </c>
      <c r="O793" s="4" t="str">
        <f t="shared" si="220"/>
        <v/>
      </c>
      <c r="P793" s="4" t="str">
        <f t="shared" si="221"/>
        <v/>
      </c>
      <c r="Q793" s="4" t="str">
        <f t="shared" si="222"/>
        <v/>
      </c>
      <c r="R793" s="4" t="str">
        <f t="shared" si="223"/>
        <v/>
      </c>
      <c r="S793" s="4" t="str">
        <f t="shared" si="224"/>
        <v/>
      </c>
      <c r="T793" s="4">
        <f t="shared" si="225"/>
        <v>2</v>
      </c>
      <c r="U793">
        <f>IF(VLOOKUP(C793,'QA Table'!$Y$5:$Y$20,1,TRUE)=C793,1,0)</f>
        <v>0</v>
      </c>
      <c r="V793" t="str">
        <f t="shared" si="226"/>
        <v/>
      </c>
      <c r="W793" t="str">
        <f t="shared" si="227"/>
        <v/>
      </c>
      <c r="X793" t="str">
        <f t="shared" si="228"/>
        <v/>
      </c>
      <c r="Y793">
        <f t="shared" si="229"/>
        <v>0</v>
      </c>
      <c r="AA793" t="str">
        <f t="shared" si="230"/>
        <v/>
      </c>
    </row>
    <row r="794" spans="1:27" x14ac:dyDescent="0.2">
      <c r="A794" t="s">
        <v>23</v>
      </c>
      <c r="B794" t="s">
        <v>86</v>
      </c>
      <c r="C794" t="s">
        <v>1930</v>
      </c>
      <c r="D794" t="s">
        <v>9</v>
      </c>
      <c r="E794" t="s">
        <v>3</v>
      </c>
      <c r="F794" t="s">
        <v>1922</v>
      </c>
      <c r="G794" t="s">
        <v>1783</v>
      </c>
      <c r="H794" s="4" t="str">
        <f t="shared" si="214"/>
        <v/>
      </c>
      <c r="I794" s="4" t="str">
        <f>IF(RIGHT(B794,1)="M",IF(AND(H794=1,E794="RFS",D794=INDEX('Station Depth Averages'!$A$3:$B$84,MATCH(B794,'Station Depth Averages'!$A$3:$A$84,0),2)),1,""),IF(AND(H794=1,OR(D794="SYN",D794="SRF",D794="MID")),1,IF(AND(H794=1,OR(E795="FDn",E795="LDn")),1,IF(AND(H794=1,OR(E794="FDn",E794="LDn")),1,""))))</f>
        <v/>
      </c>
      <c r="J794" s="4" t="str">
        <f t="shared" si="215"/>
        <v/>
      </c>
      <c r="K794" s="4" t="str">
        <f t="shared" si="216"/>
        <v/>
      </c>
      <c r="L794" s="4" t="str">
        <f t="shared" si="217"/>
        <v/>
      </c>
      <c r="M794" s="4" t="str">
        <f t="shared" si="218"/>
        <v/>
      </c>
      <c r="N794" s="4" t="str">
        <f t="shared" si="219"/>
        <v/>
      </c>
      <c r="O794" s="4" t="str">
        <f t="shared" si="220"/>
        <v/>
      </c>
      <c r="P794" s="4" t="str">
        <f t="shared" si="221"/>
        <v/>
      </c>
      <c r="Q794" s="4" t="str">
        <f t="shared" si="222"/>
        <v/>
      </c>
      <c r="R794" s="4" t="str">
        <f t="shared" si="223"/>
        <v/>
      </c>
      <c r="S794" s="4" t="str">
        <f t="shared" si="224"/>
        <v/>
      </c>
      <c r="T794" s="4">
        <f t="shared" si="225"/>
        <v>2</v>
      </c>
      <c r="U794">
        <f>IF(VLOOKUP(C794,'QA Table'!$Y$5:$Y$20,1,TRUE)=C794,1,0)</f>
        <v>0</v>
      </c>
      <c r="V794" t="str">
        <f t="shared" si="226"/>
        <v/>
      </c>
      <c r="W794" t="str">
        <f t="shared" si="227"/>
        <v/>
      </c>
      <c r="X794" t="str">
        <f t="shared" si="228"/>
        <v/>
      </c>
      <c r="Y794">
        <f t="shared" si="229"/>
        <v>0</v>
      </c>
      <c r="AA794" t="str">
        <f t="shared" si="230"/>
        <v/>
      </c>
    </row>
    <row r="795" spans="1:27" x14ac:dyDescent="0.2">
      <c r="A795" t="s">
        <v>23</v>
      </c>
      <c r="B795" t="s">
        <v>86</v>
      </c>
      <c r="C795" t="s">
        <v>1931</v>
      </c>
      <c r="D795" t="s">
        <v>10</v>
      </c>
      <c r="E795" t="s">
        <v>3</v>
      </c>
      <c r="F795" t="s">
        <v>1922</v>
      </c>
      <c r="G795" t="s">
        <v>1783</v>
      </c>
      <c r="H795" s="4" t="str">
        <f t="shared" si="214"/>
        <v/>
      </c>
      <c r="I795" s="4" t="str">
        <f>IF(RIGHT(B795,1)="M",IF(AND(H795=1,E795="RFS",D795=INDEX('Station Depth Averages'!$A$3:$B$84,MATCH(B795,'Station Depth Averages'!$A$3:$A$84,0),2)),1,""),IF(AND(H795=1,OR(D795="SYN",D795="SRF",D795="MID")),1,IF(AND(H795=1,OR(E796="FDn",E796="LDn")),1,IF(AND(H795=1,OR(E795="FDn",E795="LDn")),1,""))))</f>
        <v/>
      </c>
      <c r="J795" s="4" t="str">
        <f t="shared" si="215"/>
        <v/>
      </c>
      <c r="K795" s="4" t="str">
        <f t="shared" si="216"/>
        <v/>
      </c>
      <c r="L795" s="4" t="str">
        <f t="shared" si="217"/>
        <v/>
      </c>
      <c r="M795" s="4" t="str">
        <f t="shared" si="218"/>
        <v/>
      </c>
      <c r="N795" s="4" t="str">
        <f t="shared" si="219"/>
        <v/>
      </c>
      <c r="O795" s="4" t="str">
        <f t="shared" si="220"/>
        <v/>
      </c>
      <c r="P795" s="4" t="str">
        <f t="shared" si="221"/>
        <v/>
      </c>
      <c r="Q795" s="4" t="str">
        <f t="shared" si="222"/>
        <v/>
      </c>
      <c r="R795" s="4" t="str">
        <f t="shared" si="223"/>
        <v/>
      </c>
      <c r="S795" s="4" t="str">
        <f t="shared" si="224"/>
        <v/>
      </c>
      <c r="T795" s="4">
        <f t="shared" si="225"/>
        <v>2</v>
      </c>
      <c r="U795">
        <f>IF(VLOOKUP(C795,'QA Table'!$Y$5:$Y$20,1,TRUE)=C795,1,0)</f>
        <v>0</v>
      </c>
      <c r="V795" t="str">
        <f t="shared" si="226"/>
        <v/>
      </c>
      <c r="W795" t="str">
        <f t="shared" si="227"/>
        <v/>
      </c>
      <c r="X795" t="str">
        <f t="shared" si="228"/>
        <v/>
      </c>
      <c r="Y795">
        <f t="shared" si="229"/>
        <v>0</v>
      </c>
      <c r="AA795" t="str">
        <f t="shared" si="230"/>
        <v/>
      </c>
    </row>
    <row r="796" spans="1:27" x14ac:dyDescent="0.2">
      <c r="A796" t="s">
        <v>23</v>
      </c>
      <c r="B796" t="s">
        <v>86</v>
      </c>
      <c r="C796" t="s">
        <v>1932</v>
      </c>
      <c r="D796" t="s">
        <v>1034</v>
      </c>
      <c r="E796" t="s">
        <v>3</v>
      </c>
      <c r="F796" t="s">
        <v>1922</v>
      </c>
      <c r="G796" t="s">
        <v>1783</v>
      </c>
      <c r="H796" s="4" t="str">
        <f t="shared" si="214"/>
        <v/>
      </c>
      <c r="I796" s="4" t="str">
        <f>IF(RIGHT(B796,1)="M",IF(AND(H796=1,E796="RFS",D796=INDEX('Station Depth Averages'!$A$3:$B$84,MATCH(B796,'Station Depth Averages'!$A$3:$A$84,0),2)),1,""),IF(AND(H796=1,OR(D796="SYN",D796="SRF",D796="MID")),1,IF(AND(H796=1,OR(E797="FDn",E797="LDn")),1,IF(AND(H796=1,OR(E796="FDn",E796="LDn")),1,""))))</f>
        <v/>
      </c>
      <c r="J796" s="4" t="str">
        <f t="shared" si="215"/>
        <v/>
      </c>
      <c r="K796" s="4" t="str">
        <f t="shared" si="216"/>
        <v/>
      </c>
      <c r="L796" s="4" t="str">
        <f t="shared" si="217"/>
        <v/>
      </c>
      <c r="M796" s="4" t="str">
        <f t="shared" si="218"/>
        <v/>
      </c>
      <c r="N796" s="4" t="str">
        <f t="shared" si="219"/>
        <v/>
      </c>
      <c r="O796" s="4" t="str">
        <f t="shared" si="220"/>
        <v/>
      </c>
      <c r="P796" s="4" t="str">
        <f t="shared" si="221"/>
        <v/>
      </c>
      <c r="Q796" s="4" t="str">
        <f t="shared" si="222"/>
        <v/>
      </c>
      <c r="R796" s="4" t="str">
        <f t="shared" si="223"/>
        <v/>
      </c>
      <c r="S796" s="4">
        <f t="shared" si="224"/>
        <v>1</v>
      </c>
      <c r="T796" s="4" t="str">
        <f t="shared" si="225"/>
        <v/>
      </c>
      <c r="U796">
        <f>IF(VLOOKUP(C796,'QA Table'!$Y$5:$Y$20,1,TRUE)=C796,1,0)</f>
        <v>0</v>
      </c>
      <c r="V796" t="str">
        <f t="shared" si="226"/>
        <v/>
      </c>
      <c r="W796" t="str">
        <f t="shared" si="227"/>
        <v/>
      </c>
      <c r="X796" t="str">
        <f t="shared" si="228"/>
        <v/>
      </c>
      <c r="Y796">
        <f t="shared" si="229"/>
        <v>0</v>
      </c>
      <c r="AA796" t="str">
        <f t="shared" si="230"/>
        <v/>
      </c>
    </row>
    <row r="797" spans="1:27" x14ac:dyDescent="0.2">
      <c r="A797" t="s">
        <v>23</v>
      </c>
      <c r="B797" t="s">
        <v>86</v>
      </c>
      <c r="C797" t="s">
        <v>1933</v>
      </c>
      <c r="D797" t="s">
        <v>1034</v>
      </c>
      <c r="E797" t="s">
        <v>19</v>
      </c>
      <c r="F797" t="s">
        <v>1922</v>
      </c>
      <c r="G797" t="s">
        <v>1783</v>
      </c>
      <c r="H797" s="4" t="str">
        <f t="shared" si="214"/>
        <v/>
      </c>
      <c r="I797" s="4" t="str">
        <f>IF(RIGHT(B797,1)="M",IF(AND(H797=1,E797="RFS",D797=INDEX('Station Depth Averages'!$A$3:$B$84,MATCH(B797,'Station Depth Averages'!$A$3:$A$84,0),2)),1,""),IF(AND(H797=1,OR(D797="SYN",D797="SRF",D797="MID")),1,IF(AND(H797=1,OR(E798="FDn",E798="LDn")),1,IF(AND(H797=1,OR(E797="FDn",E797="LDn")),1,""))))</f>
        <v/>
      </c>
      <c r="J797" s="4" t="str">
        <f t="shared" si="215"/>
        <v/>
      </c>
      <c r="K797" s="4" t="str">
        <f t="shared" si="216"/>
        <v/>
      </c>
      <c r="L797" s="4" t="str">
        <f t="shared" si="217"/>
        <v/>
      </c>
      <c r="M797" s="4" t="str">
        <f t="shared" si="218"/>
        <v/>
      </c>
      <c r="N797" s="4" t="str">
        <f t="shared" si="219"/>
        <v/>
      </c>
      <c r="O797" s="4" t="str">
        <f t="shared" si="220"/>
        <v/>
      </c>
      <c r="P797" s="4" t="str">
        <f t="shared" si="221"/>
        <v/>
      </c>
      <c r="Q797" s="4" t="str">
        <f t="shared" si="222"/>
        <v/>
      </c>
      <c r="R797" s="4" t="str">
        <f t="shared" si="223"/>
        <v/>
      </c>
      <c r="S797" s="4">
        <f t="shared" si="224"/>
        <v>1</v>
      </c>
      <c r="T797" s="4" t="str">
        <f t="shared" si="225"/>
        <v/>
      </c>
      <c r="U797">
        <f>IF(VLOOKUP(C797,'QA Table'!$Y$5:$Y$20,1,TRUE)=C797,1,0)</f>
        <v>0</v>
      </c>
      <c r="V797" t="str">
        <f t="shared" si="226"/>
        <v/>
      </c>
      <c r="W797" t="str">
        <f t="shared" si="227"/>
        <v/>
      </c>
      <c r="X797" t="str">
        <f t="shared" si="228"/>
        <v/>
      </c>
      <c r="Y797">
        <f t="shared" si="229"/>
        <v>0</v>
      </c>
      <c r="AA797" t="str">
        <f t="shared" si="230"/>
        <v/>
      </c>
    </row>
    <row r="798" spans="1:27" x14ac:dyDescent="0.2">
      <c r="A798" t="s">
        <v>23</v>
      </c>
      <c r="B798" t="s">
        <v>87</v>
      </c>
      <c r="C798" t="s">
        <v>1934</v>
      </c>
      <c r="D798" t="s">
        <v>2</v>
      </c>
      <c r="E798" t="s">
        <v>3</v>
      </c>
      <c r="F798" t="s">
        <v>1935</v>
      </c>
      <c r="G798" t="s">
        <v>1783</v>
      </c>
      <c r="H798" s="4">
        <f t="shared" si="214"/>
        <v>1</v>
      </c>
      <c r="I798" s="4">
        <f>IF(RIGHT(B798,1)="M",IF(AND(H798=1,E798="RFS",D798=INDEX('Station Depth Averages'!$A$3:$B$84,MATCH(B798,'Station Depth Averages'!$A$3:$A$84,0),2)),1,""),IF(AND(H798=1,OR(D798="SYN",D798="SRF",D798="MID")),1,IF(AND(H798=1,OR(E799="FDn",E799="LDn")),1,IF(AND(H798=1,OR(E798="FDn",E798="LDn")),1,""))))</f>
        <v>1</v>
      </c>
      <c r="J798" s="4">
        <f t="shared" si="215"/>
        <v>1</v>
      </c>
      <c r="K798" s="4" t="str">
        <f t="shared" si="216"/>
        <v/>
      </c>
      <c r="L798" s="4" t="str">
        <f t="shared" si="217"/>
        <v/>
      </c>
      <c r="M798" s="4" t="str">
        <f t="shared" si="218"/>
        <v/>
      </c>
      <c r="N798" s="4" t="str">
        <f t="shared" si="219"/>
        <v/>
      </c>
      <c r="O798" s="4" t="str">
        <f t="shared" si="220"/>
        <v/>
      </c>
      <c r="P798" s="4" t="str">
        <f t="shared" si="221"/>
        <v/>
      </c>
      <c r="Q798" s="4" t="str">
        <f t="shared" si="222"/>
        <v/>
      </c>
      <c r="R798" s="4" t="str">
        <f t="shared" si="223"/>
        <v/>
      </c>
      <c r="S798" s="4" t="str">
        <f t="shared" si="224"/>
        <v/>
      </c>
      <c r="T798" s="4" t="str">
        <f t="shared" si="225"/>
        <v/>
      </c>
      <c r="U798">
        <f>IF(VLOOKUP(C798,'QA Table'!$Y$5:$Y$20,1,TRUE)=C798,1,0)</f>
        <v>0</v>
      </c>
      <c r="V798" t="str">
        <f t="shared" si="226"/>
        <v/>
      </c>
      <c r="W798" t="str">
        <f t="shared" si="227"/>
        <v/>
      </c>
      <c r="X798">
        <f t="shared" si="228"/>
        <v>3</v>
      </c>
      <c r="Y798">
        <f t="shared" si="229"/>
        <v>0</v>
      </c>
      <c r="AA798">
        <f t="shared" si="230"/>
        <v>1</v>
      </c>
    </row>
    <row r="799" spans="1:27" x14ac:dyDescent="0.2">
      <c r="A799" t="s">
        <v>23</v>
      </c>
      <c r="B799" t="s">
        <v>87</v>
      </c>
      <c r="C799" t="s">
        <v>1936</v>
      </c>
      <c r="D799" t="s">
        <v>1050</v>
      </c>
      <c r="E799" t="s">
        <v>3</v>
      </c>
      <c r="F799" t="s">
        <v>1935</v>
      </c>
      <c r="G799" t="s">
        <v>1783</v>
      </c>
      <c r="H799" s="4" t="str">
        <f t="shared" si="214"/>
        <v/>
      </c>
      <c r="I799" s="4" t="str">
        <f>IF(RIGHT(B799,1)="M",IF(AND(H799=1,E799="RFS",D799=INDEX('Station Depth Averages'!$A$3:$B$84,MATCH(B799,'Station Depth Averages'!$A$3:$A$84,0),2)),1,""),IF(AND(H799=1,OR(D799="SYN",D799="SRF",D799="MID")),1,IF(AND(H799=1,OR(E800="FDn",E800="LDn")),1,IF(AND(H799=1,OR(E799="FDn",E799="LDn")),1,""))))</f>
        <v/>
      </c>
      <c r="J799" s="4" t="str">
        <f t="shared" si="215"/>
        <v/>
      </c>
      <c r="K799" s="4" t="str">
        <f t="shared" si="216"/>
        <v/>
      </c>
      <c r="L799" s="4" t="str">
        <f t="shared" si="217"/>
        <v/>
      </c>
      <c r="M799" s="4" t="str">
        <f t="shared" si="218"/>
        <v/>
      </c>
      <c r="N799" s="4" t="str">
        <f t="shared" si="219"/>
        <v/>
      </c>
      <c r="O799" s="4" t="str">
        <f t="shared" si="220"/>
        <v/>
      </c>
      <c r="P799" s="4" t="str">
        <f t="shared" si="221"/>
        <v/>
      </c>
      <c r="Q799" s="4" t="str">
        <f t="shared" si="222"/>
        <v/>
      </c>
      <c r="R799" s="4" t="str">
        <f t="shared" si="223"/>
        <v/>
      </c>
      <c r="S799" s="4" t="str">
        <f t="shared" si="224"/>
        <v/>
      </c>
      <c r="T799" s="4" t="str">
        <f t="shared" si="225"/>
        <v/>
      </c>
      <c r="U799">
        <f>IF(VLOOKUP(C799,'QA Table'!$Y$5:$Y$20,1,TRUE)=C799,1,0)</f>
        <v>0</v>
      </c>
      <c r="V799" t="str">
        <f t="shared" si="226"/>
        <v/>
      </c>
      <c r="W799" t="str">
        <f t="shared" si="227"/>
        <v/>
      </c>
      <c r="X799" t="str">
        <f t="shared" si="228"/>
        <v/>
      </c>
      <c r="Y799">
        <f t="shared" si="229"/>
        <v>0</v>
      </c>
      <c r="AA799" t="str">
        <f t="shared" si="230"/>
        <v/>
      </c>
    </row>
    <row r="800" spans="1:27" x14ac:dyDescent="0.2">
      <c r="A800" t="s">
        <v>23</v>
      </c>
      <c r="B800" t="s">
        <v>87</v>
      </c>
      <c r="C800" t="s">
        <v>1937</v>
      </c>
      <c r="D800" t="s">
        <v>4</v>
      </c>
      <c r="E800" t="s">
        <v>3</v>
      </c>
      <c r="F800" t="s">
        <v>1935</v>
      </c>
      <c r="G800" t="s">
        <v>1783</v>
      </c>
      <c r="H800" s="4" t="str">
        <f t="shared" si="214"/>
        <v/>
      </c>
      <c r="I800" s="4" t="str">
        <f>IF(RIGHT(B800,1)="M",IF(AND(H800=1,E800="RFS",D800=INDEX('Station Depth Averages'!$A$3:$B$84,MATCH(B800,'Station Depth Averages'!$A$3:$A$84,0),2)),1,""),IF(AND(H800=1,OR(D800="SYN",D800="SRF",D800="MID")),1,IF(AND(H800=1,OR(E801="FDn",E801="LDn")),1,IF(AND(H800=1,OR(E800="FDn",E800="LDn")),1,""))))</f>
        <v/>
      </c>
      <c r="J800" s="4" t="str">
        <f t="shared" si="215"/>
        <v/>
      </c>
      <c r="K800" s="4" t="str">
        <f t="shared" si="216"/>
        <v/>
      </c>
      <c r="L800" s="4" t="str">
        <f t="shared" si="217"/>
        <v/>
      </c>
      <c r="M800" s="4" t="str">
        <f t="shared" si="218"/>
        <v/>
      </c>
      <c r="N800" s="4" t="str">
        <f t="shared" si="219"/>
        <v/>
      </c>
      <c r="O800" s="4" t="str">
        <f t="shared" si="220"/>
        <v/>
      </c>
      <c r="P800" s="4" t="str">
        <f t="shared" si="221"/>
        <v/>
      </c>
      <c r="Q800" s="4" t="str">
        <f t="shared" si="222"/>
        <v/>
      </c>
      <c r="R800" s="4" t="str">
        <f t="shared" si="223"/>
        <v/>
      </c>
      <c r="S800" s="4" t="str">
        <f t="shared" si="224"/>
        <v/>
      </c>
      <c r="T800" s="4" t="str">
        <f t="shared" si="225"/>
        <v/>
      </c>
      <c r="U800">
        <f>IF(VLOOKUP(C800,'QA Table'!$Y$5:$Y$20,1,TRUE)=C800,1,0)</f>
        <v>0</v>
      </c>
      <c r="V800" t="str">
        <f t="shared" si="226"/>
        <v/>
      </c>
      <c r="W800" t="str">
        <f t="shared" si="227"/>
        <v/>
      </c>
      <c r="X800" t="str">
        <f t="shared" si="228"/>
        <v/>
      </c>
      <c r="Y800">
        <f t="shared" si="229"/>
        <v>0</v>
      </c>
      <c r="AA800" t="str">
        <f t="shared" si="230"/>
        <v/>
      </c>
    </row>
    <row r="801" spans="1:27" x14ac:dyDescent="0.2">
      <c r="A801" t="s">
        <v>23</v>
      </c>
      <c r="B801" t="s">
        <v>87</v>
      </c>
      <c r="C801" t="s">
        <v>1938</v>
      </c>
      <c r="D801" t="s">
        <v>1051</v>
      </c>
      <c r="E801" t="s">
        <v>3</v>
      </c>
      <c r="F801" t="s">
        <v>1935</v>
      </c>
      <c r="G801" t="s">
        <v>1783</v>
      </c>
      <c r="H801" s="4" t="str">
        <f t="shared" si="214"/>
        <v/>
      </c>
      <c r="I801" s="4" t="str">
        <f>IF(RIGHT(B801,1)="M",IF(AND(H801=1,E801="RFS",D801=INDEX('Station Depth Averages'!$A$3:$B$84,MATCH(B801,'Station Depth Averages'!$A$3:$A$84,0),2)),1,""),IF(AND(H801=1,OR(D801="SYN",D801="SRF",D801="MID")),1,IF(AND(H801=1,OR(E802="FDn",E802="LDn")),1,IF(AND(H801=1,OR(E801="FDn",E801="LDn")),1,""))))</f>
        <v/>
      </c>
      <c r="J801" s="4" t="str">
        <f t="shared" si="215"/>
        <v/>
      </c>
      <c r="K801" s="4" t="str">
        <f t="shared" si="216"/>
        <v/>
      </c>
      <c r="L801" s="4" t="str">
        <f t="shared" si="217"/>
        <v/>
      </c>
      <c r="M801" s="4" t="str">
        <f t="shared" si="218"/>
        <v/>
      </c>
      <c r="N801" s="4" t="str">
        <f t="shared" si="219"/>
        <v/>
      </c>
      <c r="O801" s="4" t="str">
        <f t="shared" si="220"/>
        <v/>
      </c>
      <c r="P801" s="4" t="str">
        <f t="shared" si="221"/>
        <v/>
      </c>
      <c r="Q801" s="4" t="str">
        <f t="shared" si="222"/>
        <v/>
      </c>
      <c r="R801" s="4" t="str">
        <f t="shared" si="223"/>
        <v/>
      </c>
      <c r="S801" s="4" t="str">
        <f t="shared" si="224"/>
        <v/>
      </c>
      <c r="T801" s="4" t="str">
        <f t="shared" si="225"/>
        <v/>
      </c>
      <c r="U801">
        <f>IF(VLOOKUP(C801,'QA Table'!$Y$5:$Y$20,1,TRUE)=C801,1,0)</f>
        <v>0</v>
      </c>
      <c r="V801" t="str">
        <f t="shared" si="226"/>
        <v/>
      </c>
      <c r="W801" t="str">
        <f t="shared" si="227"/>
        <v/>
      </c>
      <c r="X801" t="str">
        <f t="shared" si="228"/>
        <v/>
      </c>
      <c r="Y801">
        <f t="shared" si="229"/>
        <v>0</v>
      </c>
      <c r="AA801" t="str">
        <f t="shared" si="230"/>
        <v/>
      </c>
    </row>
    <row r="802" spans="1:27" x14ac:dyDescent="0.2">
      <c r="A802" t="s">
        <v>23</v>
      </c>
      <c r="B802" t="s">
        <v>87</v>
      </c>
      <c r="C802" t="s">
        <v>1939</v>
      </c>
      <c r="D802" t="s">
        <v>119</v>
      </c>
      <c r="E802" t="s">
        <v>3</v>
      </c>
      <c r="F802" t="s">
        <v>1935</v>
      </c>
      <c r="G802" t="s">
        <v>1783</v>
      </c>
      <c r="H802" s="4">
        <f t="shared" si="214"/>
        <v>1</v>
      </c>
      <c r="I802" s="4">
        <f>IF(RIGHT(B802,1)="M",IF(AND(H802=1,E802="RFS",D802=INDEX('Station Depth Averages'!$A$3:$B$84,MATCH(B802,'Station Depth Averages'!$A$3:$A$84,0),2)),1,""),IF(AND(H802=1,OR(D802="SYN",D802="SRF",D802="MID")),1,IF(AND(H802=1,OR(E803="FDn",E803="LDn")),1,IF(AND(H802=1,OR(E802="FDn",E802="LDn")),1,""))))</f>
        <v>1</v>
      </c>
      <c r="J802" s="4">
        <f t="shared" si="215"/>
        <v>1</v>
      </c>
      <c r="K802" s="4" t="str">
        <f t="shared" si="216"/>
        <v/>
      </c>
      <c r="L802" s="4" t="str">
        <f t="shared" si="217"/>
        <v/>
      </c>
      <c r="M802" s="4" t="str">
        <f t="shared" si="218"/>
        <v/>
      </c>
      <c r="N802" s="4" t="str">
        <f t="shared" si="219"/>
        <v/>
      </c>
      <c r="O802" s="4" t="str">
        <f t="shared" si="220"/>
        <v/>
      </c>
      <c r="P802" s="4" t="str">
        <f t="shared" si="221"/>
        <v/>
      </c>
      <c r="Q802" s="4" t="str">
        <f t="shared" si="222"/>
        <v/>
      </c>
      <c r="R802" s="4" t="str">
        <f t="shared" si="223"/>
        <v/>
      </c>
      <c r="S802" s="4" t="str">
        <f t="shared" si="224"/>
        <v/>
      </c>
      <c r="T802" s="4" t="str">
        <f t="shared" si="225"/>
        <v/>
      </c>
      <c r="U802">
        <f>IF(VLOOKUP(C802,'QA Table'!$Y$5:$Y$20,1,TRUE)=C802,1,0)</f>
        <v>0</v>
      </c>
      <c r="V802" t="str">
        <f t="shared" si="226"/>
        <v/>
      </c>
      <c r="W802" t="str">
        <f t="shared" si="227"/>
        <v/>
      </c>
      <c r="X802">
        <f t="shared" si="228"/>
        <v>3</v>
      </c>
      <c r="Y802">
        <f t="shared" si="229"/>
        <v>0</v>
      </c>
      <c r="AA802">
        <f t="shared" si="230"/>
        <v>1</v>
      </c>
    </row>
    <row r="803" spans="1:27" x14ac:dyDescent="0.2">
      <c r="A803" t="s">
        <v>23</v>
      </c>
      <c r="B803" t="s">
        <v>87</v>
      </c>
      <c r="C803" t="s">
        <v>1123</v>
      </c>
      <c r="D803" t="s">
        <v>5</v>
      </c>
      <c r="E803" t="s">
        <v>3</v>
      </c>
      <c r="F803" t="s">
        <v>1935</v>
      </c>
      <c r="G803" t="s">
        <v>1783</v>
      </c>
      <c r="H803" s="4">
        <f t="shared" si="214"/>
        <v>1</v>
      </c>
      <c r="I803" s="4">
        <f>IF(RIGHT(B803,1)="M",IF(AND(H803=1,E803="RFS",D803=INDEX('Station Depth Averages'!$A$3:$B$84,MATCH(B803,'Station Depth Averages'!$A$3:$A$84,0),2)),1,""),IF(AND(H803=1,OR(D803="SYN",D803="SRF",D803="MID")),1,IF(AND(H803=1,OR(E804="FDn",E804="LDn")),1,IF(AND(H803=1,OR(E803="FDn",E803="LDn")),1,""))))</f>
        <v>1</v>
      </c>
      <c r="J803" s="4">
        <f t="shared" si="215"/>
        <v>1</v>
      </c>
      <c r="K803" s="4" t="str">
        <f t="shared" si="216"/>
        <v/>
      </c>
      <c r="L803" s="4" t="str">
        <f t="shared" si="217"/>
        <v/>
      </c>
      <c r="M803" s="4" t="str">
        <f t="shared" si="218"/>
        <v/>
      </c>
      <c r="N803" s="4" t="str">
        <f t="shared" si="219"/>
        <v/>
      </c>
      <c r="O803" s="4" t="str">
        <f t="shared" si="220"/>
        <v/>
      </c>
      <c r="P803" s="4" t="str">
        <f t="shared" si="221"/>
        <v/>
      </c>
      <c r="Q803" s="4" t="str">
        <f t="shared" si="222"/>
        <v/>
      </c>
      <c r="R803" s="4" t="str">
        <f t="shared" si="223"/>
        <v/>
      </c>
      <c r="S803" s="4" t="str">
        <f t="shared" si="224"/>
        <v/>
      </c>
      <c r="T803" s="4" t="str">
        <f t="shared" si="225"/>
        <v/>
      </c>
      <c r="U803">
        <f>IF(VLOOKUP(C803,'QA Table'!$Y$5:$Y$20,1,TRUE)=C803,1,0)</f>
        <v>0</v>
      </c>
      <c r="V803" t="str">
        <f t="shared" si="226"/>
        <v/>
      </c>
      <c r="W803" t="str">
        <f t="shared" si="227"/>
        <v/>
      </c>
      <c r="X803">
        <f t="shared" si="228"/>
        <v>3</v>
      </c>
      <c r="Y803">
        <f t="shared" si="229"/>
        <v>0</v>
      </c>
      <c r="AA803">
        <f t="shared" si="230"/>
        <v>1</v>
      </c>
    </row>
    <row r="804" spans="1:27" x14ac:dyDescent="0.2">
      <c r="A804" t="s">
        <v>23</v>
      </c>
      <c r="B804" t="s">
        <v>87</v>
      </c>
      <c r="C804" t="s">
        <v>1940</v>
      </c>
      <c r="D804" t="s">
        <v>5</v>
      </c>
      <c r="E804" t="s">
        <v>7</v>
      </c>
      <c r="F804" t="s">
        <v>1935</v>
      </c>
      <c r="G804" t="s">
        <v>1783</v>
      </c>
      <c r="H804" s="4">
        <f t="shared" si="214"/>
        <v>1</v>
      </c>
      <c r="I804" s="4">
        <f>IF(RIGHT(B804,1)="M",IF(AND(H804=1,E804="RFS",D804=INDEX('Station Depth Averages'!$A$3:$B$84,MATCH(B804,'Station Depth Averages'!$A$3:$A$84,0),2)),1,""),IF(AND(H804=1,OR(D804="SYN",D804="SRF",D804="MID")),1,IF(AND(H804=1,OR(E805="FDn",E805="LDn")),1,IF(AND(H804=1,OR(E804="FDn",E804="LDn")),1,""))))</f>
        <v>1</v>
      </c>
      <c r="J804" s="4">
        <f t="shared" si="215"/>
        <v>1</v>
      </c>
      <c r="K804" s="4" t="str">
        <f t="shared" si="216"/>
        <v/>
      </c>
      <c r="L804" s="4" t="str">
        <f t="shared" si="217"/>
        <v/>
      </c>
      <c r="M804" s="4" t="str">
        <f t="shared" si="218"/>
        <v/>
      </c>
      <c r="N804" s="4" t="str">
        <f t="shared" si="219"/>
        <v/>
      </c>
      <c r="O804" s="4" t="str">
        <f t="shared" si="220"/>
        <v/>
      </c>
      <c r="P804" s="4" t="str">
        <f t="shared" si="221"/>
        <v/>
      </c>
      <c r="Q804" s="4" t="str">
        <f t="shared" si="222"/>
        <v/>
      </c>
      <c r="R804" s="4" t="str">
        <f t="shared" si="223"/>
        <v/>
      </c>
      <c r="S804" s="4" t="str">
        <f t="shared" si="224"/>
        <v/>
      </c>
      <c r="T804" s="4" t="str">
        <f t="shared" si="225"/>
        <v/>
      </c>
      <c r="U804">
        <f>IF(VLOOKUP(C804,'QA Table'!$Y$5:$Y$20,1,TRUE)=C804,1,0)</f>
        <v>0</v>
      </c>
      <c r="V804" t="str">
        <f t="shared" si="226"/>
        <v/>
      </c>
      <c r="W804" t="str">
        <f t="shared" si="227"/>
        <v/>
      </c>
      <c r="X804">
        <f t="shared" si="228"/>
        <v>3</v>
      </c>
      <c r="Y804">
        <f t="shared" si="229"/>
        <v>0</v>
      </c>
      <c r="AA804">
        <f t="shared" si="230"/>
        <v>1</v>
      </c>
    </row>
    <row r="805" spans="1:27" x14ac:dyDescent="0.2">
      <c r="A805" t="s">
        <v>23</v>
      </c>
      <c r="B805" t="s">
        <v>87</v>
      </c>
      <c r="C805" t="s">
        <v>1941</v>
      </c>
      <c r="D805" t="s">
        <v>6</v>
      </c>
      <c r="E805" t="s">
        <v>3</v>
      </c>
      <c r="F805" t="s">
        <v>1935</v>
      </c>
      <c r="G805" t="s">
        <v>1783</v>
      </c>
      <c r="H805" s="4">
        <f t="shared" si="214"/>
        <v>1</v>
      </c>
      <c r="I805" s="4" t="str">
        <f>IF(RIGHT(B805,1)="M",IF(AND(H805=1,E805="RFS",D805=INDEX('Station Depth Averages'!$A$3:$B$84,MATCH(B805,'Station Depth Averages'!$A$3:$A$84,0),2)),1,""),IF(AND(H805=1,OR(D805="SYN",D805="SRF",D805="MID")),1,IF(AND(H805=1,OR(E806="FDn",E806="LDn")),1,IF(AND(H805=1,OR(E805="FDn",E805="LDn")),1,""))))</f>
        <v/>
      </c>
      <c r="J805" s="4">
        <f t="shared" si="215"/>
        <v>1</v>
      </c>
      <c r="K805" s="4" t="str">
        <f t="shared" si="216"/>
        <v/>
      </c>
      <c r="L805" s="4" t="str">
        <f t="shared" si="217"/>
        <v/>
      </c>
      <c r="M805" s="4" t="str">
        <f t="shared" si="218"/>
        <v/>
      </c>
      <c r="N805" s="4" t="str">
        <f t="shared" si="219"/>
        <v/>
      </c>
      <c r="O805" s="4" t="str">
        <f t="shared" si="220"/>
        <v/>
      </c>
      <c r="P805" s="4" t="str">
        <f t="shared" si="221"/>
        <v/>
      </c>
      <c r="Q805" s="4" t="str">
        <f t="shared" si="222"/>
        <v/>
      </c>
      <c r="R805" s="4" t="str">
        <f t="shared" si="223"/>
        <v/>
      </c>
      <c r="S805" s="4" t="str">
        <f t="shared" si="224"/>
        <v/>
      </c>
      <c r="T805" s="4" t="str">
        <f t="shared" si="225"/>
        <v/>
      </c>
      <c r="U805">
        <f>IF(VLOOKUP(C805,'QA Table'!$Y$5:$Y$20,1,TRUE)=C805,1,0)</f>
        <v>0</v>
      </c>
      <c r="V805" t="str">
        <f t="shared" si="226"/>
        <v/>
      </c>
      <c r="W805" t="str">
        <f t="shared" si="227"/>
        <v/>
      </c>
      <c r="X805">
        <f t="shared" si="228"/>
        <v>3</v>
      </c>
      <c r="Y805">
        <f t="shared" si="229"/>
        <v>0</v>
      </c>
      <c r="AA805">
        <f t="shared" si="230"/>
        <v>1</v>
      </c>
    </row>
    <row r="806" spans="1:27" x14ac:dyDescent="0.2">
      <c r="A806" t="s">
        <v>23</v>
      </c>
      <c r="B806" t="s">
        <v>87</v>
      </c>
      <c r="C806" t="s">
        <v>1942</v>
      </c>
      <c r="D806" t="s">
        <v>8</v>
      </c>
      <c r="E806" t="s">
        <v>3</v>
      </c>
      <c r="F806" t="s">
        <v>1935</v>
      </c>
      <c r="G806" t="s">
        <v>1783</v>
      </c>
      <c r="H806" s="4">
        <f t="shared" si="214"/>
        <v>1</v>
      </c>
      <c r="I806" s="4" t="str">
        <f>IF(RIGHT(B806,1)="M",IF(AND(H806=1,E806="RFS",D806=INDEX('Station Depth Averages'!$A$3:$B$84,MATCH(B806,'Station Depth Averages'!$A$3:$A$84,0),2)),1,""),IF(AND(H806=1,OR(D806="SYN",D806="SRF",D806="MID")),1,IF(AND(H806=1,OR(E807="FDn",E807="LDn")),1,IF(AND(H806=1,OR(E806="FDn",E806="LDn")),1,""))))</f>
        <v/>
      </c>
      <c r="J806" s="4" t="str">
        <f t="shared" si="215"/>
        <v/>
      </c>
      <c r="K806" s="4">
        <f t="shared" si="216"/>
        <v>1</v>
      </c>
      <c r="L806" s="4" t="str">
        <f t="shared" si="217"/>
        <v/>
      </c>
      <c r="M806" s="4" t="str">
        <f t="shared" si="218"/>
        <v/>
      </c>
      <c r="N806" s="4" t="str">
        <f t="shared" si="219"/>
        <v/>
      </c>
      <c r="O806" s="4" t="str">
        <f t="shared" si="220"/>
        <v/>
      </c>
      <c r="P806" s="4" t="str">
        <f t="shared" si="221"/>
        <v/>
      </c>
      <c r="Q806" s="4">
        <f t="shared" si="222"/>
        <v>2</v>
      </c>
      <c r="R806" s="4" t="str">
        <f t="shared" si="223"/>
        <v/>
      </c>
      <c r="S806" s="4" t="str">
        <f t="shared" si="224"/>
        <v/>
      </c>
      <c r="T806" s="4" t="str">
        <f t="shared" si="225"/>
        <v/>
      </c>
      <c r="U806">
        <f>IF(VLOOKUP(C806,'QA Table'!$Y$5:$Y$20,1,TRUE)=C806,1,0)</f>
        <v>0</v>
      </c>
      <c r="V806" t="str">
        <f t="shared" si="226"/>
        <v/>
      </c>
      <c r="W806" t="str">
        <f t="shared" si="227"/>
        <v/>
      </c>
      <c r="X806">
        <f t="shared" si="228"/>
        <v>3</v>
      </c>
      <c r="Y806">
        <f t="shared" si="229"/>
        <v>0</v>
      </c>
      <c r="AA806">
        <f t="shared" si="230"/>
        <v>1</v>
      </c>
    </row>
    <row r="807" spans="1:27" x14ac:dyDescent="0.2">
      <c r="A807" t="s">
        <v>23</v>
      </c>
      <c r="B807" t="s">
        <v>87</v>
      </c>
      <c r="C807" t="s">
        <v>1943</v>
      </c>
      <c r="D807" t="s">
        <v>9</v>
      </c>
      <c r="E807" t="s">
        <v>3</v>
      </c>
      <c r="F807" t="s">
        <v>1935</v>
      </c>
      <c r="G807" t="s">
        <v>1783</v>
      </c>
      <c r="H807" s="4" t="str">
        <f t="shared" si="214"/>
        <v/>
      </c>
      <c r="I807" s="4" t="str">
        <f>IF(RIGHT(B807,1)="M",IF(AND(H807=1,E807="RFS",D807=INDEX('Station Depth Averages'!$A$3:$B$84,MATCH(B807,'Station Depth Averages'!$A$3:$A$84,0),2)),1,""),IF(AND(H807=1,OR(D807="SYN",D807="SRF",D807="MID")),1,IF(AND(H807=1,OR(E808="FDn",E808="LDn")),1,IF(AND(H807=1,OR(E807="FDn",E807="LDn")),1,""))))</f>
        <v/>
      </c>
      <c r="J807" s="4" t="str">
        <f t="shared" si="215"/>
        <v/>
      </c>
      <c r="K807" s="4" t="str">
        <f t="shared" si="216"/>
        <v/>
      </c>
      <c r="L807" s="4" t="str">
        <f t="shared" si="217"/>
        <v/>
      </c>
      <c r="M807" s="4" t="str">
        <f t="shared" si="218"/>
        <v/>
      </c>
      <c r="N807" s="4" t="str">
        <f t="shared" si="219"/>
        <v/>
      </c>
      <c r="O807" s="4" t="str">
        <f t="shared" si="220"/>
        <v/>
      </c>
      <c r="P807" s="4" t="str">
        <f t="shared" si="221"/>
        <v/>
      </c>
      <c r="Q807" s="4" t="str">
        <f t="shared" si="222"/>
        <v/>
      </c>
      <c r="R807" s="4" t="str">
        <f t="shared" si="223"/>
        <v/>
      </c>
      <c r="S807" s="4" t="str">
        <f t="shared" si="224"/>
        <v/>
      </c>
      <c r="T807" s="4">
        <f t="shared" si="225"/>
        <v>2</v>
      </c>
      <c r="U807">
        <f>IF(VLOOKUP(C807,'QA Table'!$Y$5:$Y$20,1,TRUE)=C807,1,0)</f>
        <v>0</v>
      </c>
      <c r="V807" t="str">
        <f t="shared" si="226"/>
        <v/>
      </c>
      <c r="W807" t="str">
        <f t="shared" si="227"/>
        <v/>
      </c>
      <c r="X807" t="str">
        <f t="shared" si="228"/>
        <v/>
      </c>
      <c r="Y807">
        <f t="shared" si="229"/>
        <v>0</v>
      </c>
      <c r="AA807" t="str">
        <f t="shared" si="230"/>
        <v/>
      </c>
    </row>
    <row r="808" spans="1:27" x14ac:dyDescent="0.2">
      <c r="A808" t="s">
        <v>23</v>
      </c>
      <c r="B808" t="s">
        <v>87</v>
      </c>
      <c r="C808" t="s">
        <v>1944</v>
      </c>
      <c r="D808" t="s">
        <v>10</v>
      </c>
      <c r="E808" t="s">
        <v>3</v>
      </c>
      <c r="F808" t="s">
        <v>1935</v>
      </c>
      <c r="G808" t="s">
        <v>1783</v>
      </c>
      <c r="H808" s="4" t="str">
        <f t="shared" si="214"/>
        <v/>
      </c>
      <c r="I808" s="4" t="str">
        <f>IF(RIGHT(B808,1)="M",IF(AND(H808=1,E808="RFS",D808=INDEX('Station Depth Averages'!$A$3:$B$84,MATCH(B808,'Station Depth Averages'!$A$3:$A$84,0),2)),1,""),IF(AND(H808=1,OR(D808="SYN",D808="SRF",D808="MID")),1,IF(AND(H808=1,OR(E809="FDn",E809="LDn")),1,IF(AND(H808=1,OR(E808="FDn",E808="LDn")),1,""))))</f>
        <v/>
      </c>
      <c r="J808" s="4" t="str">
        <f t="shared" si="215"/>
        <v/>
      </c>
      <c r="K808" s="4" t="str">
        <f t="shared" si="216"/>
        <v/>
      </c>
      <c r="L808" s="4" t="str">
        <f t="shared" si="217"/>
        <v/>
      </c>
      <c r="M808" s="4" t="str">
        <f t="shared" si="218"/>
        <v/>
      </c>
      <c r="N808" s="4" t="str">
        <f t="shared" si="219"/>
        <v/>
      </c>
      <c r="O808" s="4" t="str">
        <f t="shared" si="220"/>
        <v/>
      </c>
      <c r="P808" s="4" t="str">
        <f t="shared" si="221"/>
        <v/>
      </c>
      <c r="Q808" s="4" t="str">
        <f t="shared" si="222"/>
        <v/>
      </c>
      <c r="R808" s="4" t="str">
        <f t="shared" si="223"/>
        <v/>
      </c>
      <c r="S808" s="4" t="str">
        <f t="shared" si="224"/>
        <v/>
      </c>
      <c r="T808" s="4">
        <f t="shared" si="225"/>
        <v>2</v>
      </c>
      <c r="U808">
        <f>IF(VLOOKUP(C808,'QA Table'!$Y$5:$Y$20,1,TRUE)=C808,1,0)</f>
        <v>0</v>
      </c>
      <c r="V808" t="str">
        <f t="shared" si="226"/>
        <v/>
      </c>
      <c r="W808" t="str">
        <f t="shared" si="227"/>
        <v/>
      </c>
      <c r="X808" t="str">
        <f t="shared" si="228"/>
        <v/>
      </c>
      <c r="Y808">
        <f t="shared" si="229"/>
        <v>0</v>
      </c>
      <c r="AA808" t="str">
        <f t="shared" si="230"/>
        <v/>
      </c>
    </row>
    <row r="809" spans="1:27" x14ac:dyDescent="0.2">
      <c r="A809" t="s">
        <v>23</v>
      </c>
      <c r="B809" t="s">
        <v>87</v>
      </c>
      <c r="C809" t="s">
        <v>1945</v>
      </c>
      <c r="D809" t="s">
        <v>1034</v>
      </c>
      <c r="E809" t="s">
        <v>3</v>
      </c>
      <c r="F809" t="s">
        <v>1935</v>
      </c>
      <c r="G809" t="s">
        <v>1783</v>
      </c>
      <c r="H809" s="4" t="str">
        <f t="shared" si="214"/>
        <v/>
      </c>
      <c r="I809" s="4" t="str">
        <f>IF(RIGHT(B809,1)="M",IF(AND(H809=1,E809="RFS",D809=INDEX('Station Depth Averages'!$A$3:$B$84,MATCH(B809,'Station Depth Averages'!$A$3:$A$84,0),2)),1,""),IF(AND(H809=1,OR(D809="SYN",D809="SRF",D809="MID")),1,IF(AND(H809=1,OR(E810="FDn",E810="LDn")),1,IF(AND(H809=1,OR(E809="FDn",E809="LDn")),1,""))))</f>
        <v/>
      </c>
      <c r="J809" s="4" t="str">
        <f t="shared" si="215"/>
        <v/>
      </c>
      <c r="K809" s="4" t="str">
        <f t="shared" si="216"/>
        <v/>
      </c>
      <c r="L809" s="4" t="str">
        <f t="shared" si="217"/>
        <v/>
      </c>
      <c r="M809" s="4" t="str">
        <f t="shared" si="218"/>
        <v/>
      </c>
      <c r="N809" s="4" t="str">
        <f t="shared" si="219"/>
        <v/>
      </c>
      <c r="O809" s="4" t="str">
        <f t="shared" si="220"/>
        <v/>
      </c>
      <c r="P809" s="4" t="str">
        <f t="shared" si="221"/>
        <v/>
      </c>
      <c r="Q809" s="4" t="str">
        <f t="shared" si="222"/>
        <v/>
      </c>
      <c r="R809" s="4" t="str">
        <f t="shared" si="223"/>
        <v/>
      </c>
      <c r="S809" s="4">
        <f t="shared" si="224"/>
        <v>1</v>
      </c>
      <c r="T809" s="4" t="str">
        <f t="shared" si="225"/>
        <v/>
      </c>
      <c r="U809">
        <f>IF(VLOOKUP(C809,'QA Table'!$Y$5:$Y$20,1,TRUE)=C809,1,0)</f>
        <v>0</v>
      </c>
      <c r="V809" t="str">
        <f t="shared" si="226"/>
        <v/>
      </c>
      <c r="W809" t="str">
        <f t="shared" si="227"/>
        <v/>
      </c>
      <c r="X809" t="str">
        <f t="shared" si="228"/>
        <v/>
      </c>
      <c r="Y809">
        <f t="shared" si="229"/>
        <v>0</v>
      </c>
      <c r="AA809" t="str">
        <f t="shared" si="230"/>
        <v/>
      </c>
    </row>
    <row r="810" spans="1:27" x14ac:dyDescent="0.2">
      <c r="A810" t="s">
        <v>23</v>
      </c>
      <c r="B810" t="s">
        <v>87</v>
      </c>
      <c r="C810" t="s">
        <v>1946</v>
      </c>
      <c r="D810" t="s">
        <v>1034</v>
      </c>
      <c r="E810" t="s">
        <v>19</v>
      </c>
      <c r="F810" t="s">
        <v>1935</v>
      </c>
      <c r="G810" t="s">
        <v>1783</v>
      </c>
      <c r="H810" s="4" t="str">
        <f t="shared" si="214"/>
        <v/>
      </c>
      <c r="I810" s="4" t="str">
        <f>IF(RIGHT(B810,1)="M",IF(AND(H810=1,E810="RFS",D810=INDEX('Station Depth Averages'!$A$3:$B$84,MATCH(B810,'Station Depth Averages'!$A$3:$A$84,0),2)),1,""),IF(AND(H810=1,OR(D810="SYN",D810="SRF",D810="MID")),1,IF(AND(H810=1,OR(E811="FDn",E811="LDn")),1,IF(AND(H810=1,OR(E810="FDn",E810="LDn")),1,""))))</f>
        <v/>
      </c>
      <c r="J810" s="4" t="str">
        <f t="shared" si="215"/>
        <v/>
      </c>
      <c r="K810" s="4" t="str">
        <f t="shared" si="216"/>
        <v/>
      </c>
      <c r="L810" s="4" t="str">
        <f t="shared" si="217"/>
        <v/>
      </c>
      <c r="M810" s="4" t="str">
        <f t="shared" si="218"/>
        <v/>
      </c>
      <c r="N810" s="4" t="str">
        <f t="shared" si="219"/>
        <v/>
      </c>
      <c r="O810" s="4" t="str">
        <f t="shared" si="220"/>
        <v/>
      </c>
      <c r="P810" s="4" t="str">
        <f t="shared" si="221"/>
        <v/>
      </c>
      <c r="Q810" s="4" t="str">
        <f t="shared" si="222"/>
        <v/>
      </c>
      <c r="R810" s="4" t="str">
        <f t="shared" si="223"/>
        <v/>
      </c>
      <c r="S810" s="4">
        <f t="shared" si="224"/>
        <v>1</v>
      </c>
      <c r="T810" s="4" t="str">
        <f t="shared" si="225"/>
        <v/>
      </c>
      <c r="U810">
        <f>IF(VLOOKUP(C810,'QA Table'!$Y$5:$Y$20,1,TRUE)=C810,1,0)</f>
        <v>0</v>
      </c>
      <c r="V810" t="str">
        <f t="shared" si="226"/>
        <v/>
      </c>
      <c r="W810" t="str">
        <f t="shared" si="227"/>
        <v/>
      </c>
      <c r="X810" t="str">
        <f t="shared" si="228"/>
        <v/>
      </c>
      <c r="Y810">
        <f t="shared" si="229"/>
        <v>0</v>
      </c>
      <c r="AA810" t="str">
        <f t="shared" si="230"/>
        <v/>
      </c>
    </row>
    <row r="811" spans="1:27" x14ac:dyDescent="0.2">
      <c r="A811" t="s">
        <v>23</v>
      </c>
      <c r="B811" t="s">
        <v>88</v>
      </c>
      <c r="C811" t="s">
        <v>1947</v>
      </c>
      <c r="D811" t="s">
        <v>2</v>
      </c>
      <c r="E811" t="s">
        <v>3</v>
      </c>
      <c r="F811" t="s">
        <v>1948</v>
      </c>
      <c r="G811" t="s">
        <v>1783</v>
      </c>
      <c r="H811" s="4">
        <f t="shared" si="214"/>
        <v>1</v>
      </c>
      <c r="I811" s="4">
        <f>IF(RIGHT(B811,1)="M",IF(AND(H811=1,E811="RFS",D811=INDEX('Station Depth Averages'!$A$3:$B$84,MATCH(B811,'Station Depth Averages'!$A$3:$A$84,0),2)),1,""),IF(AND(H811=1,OR(D811="SYN",D811="SRF",D811="MID")),1,IF(AND(H811=1,OR(E812="FDn",E812="LDn")),1,IF(AND(H811=1,OR(E811="FDn",E811="LDn")),1,""))))</f>
        <v>1</v>
      </c>
      <c r="J811" s="4">
        <f t="shared" si="215"/>
        <v>1</v>
      </c>
      <c r="K811" s="4" t="str">
        <f t="shared" si="216"/>
        <v/>
      </c>
      <c r="L811" s="4" t="str">
        <f t="shared" si="217"/>
        <v/>
      </c>
      <c r="M811" s="4" t="str">
        <f t="shared" si="218"/>
        <v/>
      </c>
      <c r="N811" s="4" t="str">
        <f t="shared" si="219"/>
        <v/>
      </c>
      <c r="O811" s="4" t="str">
        <f t="shared" si="220"/>
        <v/>
      </c>
      <c r="P811" s="4" t="str">
        <f t="shared" si="221"/>
        <v/>
      </c>
      <c r="Q811" s="4" t="str">
        <f t="shared" si="222"/>
        <v/>
      </c>
      <c r="R811" s="4" t="str">
        <f t="shared" si="223"/>
        <v/>
      </c>
      <c r="S811" s="4" t="str">
        <f t="shared" si="224"/>
        <v/>
      </c>
      <c r="T811" s="4" t="str">
        <f t="shared" si="225"/>
        <v/>
      </c>
      <c r="U811">
        <f>IF(VLOOKUP(C811,'QA Table'!$Y$5:$Y$20,1,TRUE)=C811,1,0)</f>
        <v>0</v>
      </c>
      <c r="V811" t="str">
        <f t="shared" si="226"/>
        <v/>
      </c>
      <c r="W811" t="str">
        <f t="shared" si="227"/>
        <v/>
      </c>
      <c r="X811">
        <f t="shared" si="228"/>
        <v>3</v>
      </c>
      <c r="Y811">
        <f t="shared" si="229"/>
        <v>0</v>
      </c>
      <c r="AA811">
        <f t="shared" si="230"/>
        <v>1</v>
      </c>
    </row>
    <row r="812" spans="1:27" x14ac:dyDescent="0.2">
      <c r="A812" t="s">
        <v>23</v>
      </c>
      <c r="B812" t="s">
        <v>88</v>
      </c>
      <c r="C812" t="s">
        <v>1949</v>
      </c>
      <c r="D812" t="s">
        <v>1050</v>
      </c>
      <c r="E812" t="s">
        <v>3</v>
      </c>
      <c r="F812" t="s">
        <v>1948</v>
      </c>
      <c r="G812" t="s">
        <v>1783</v>
      </c>
      <c r="H812" s="4" t="str">
        <f t="shared" si="214"/>
        <v/>
      </c>
      <c r="I812" s="4" t="str">
        <f>IF(RIGHT(B812,1)="M",IF(AND(H812=1,E812="RFS",D812=INDEX('Station Depth Averages'!$A$3:$B$84,MATCH(B812,'Station Depth Averages'!$A$3:$A$84,0),2)),1,""),IF(AND(H812=1,OR(D812="SYN",D812="SRF",D812="MID")),1,IF(AND(H812=1,OR(E813="FDn",E813="LDn")),1,IF(AND(H812=1,OR(E812="FDn",E812="LDn")),1,""))))</f>
        <v/>
      </c>
      <c r="J812" s="4" t="str">
        <f t="shared" si="215"/>
        <v/>
      </c>
      <c r="K812" s="4" t="str">
        <f t="shared" si="216"/>
        <v/>
      </c>
      <c r="L812" s="4" t="str">
        <f t="shared" si="217"/>
        <v/>
      </c>
      <c r="M812" s="4" t="str">
        <f t="shared" si="218"/>
        <v/>
      </c>
      <c r="N812" s="4" t="str">
        <f t="shared" si="219"/>
        <v/>
      </c>
      <c r="O812" s="4" t="str">
        <f t="shared" si="220"/>
        <v/>
      </c>
      <c r="P812" s="4" t="str">
        <f t="shared" si="221"/>
        <v/>
      </c>
      <c r="Q812" s="4" t="str">
        <f t="shared" si="222"/>
        <v/>
      </c>
      <c r="R812" s="4" t="str">
        <f t="shared" si="223"/>
        <v/>
      </c>
      <c r="S812" s="4" t="str">
        <f t="shared" si="224"/>
        <v/>
      </c>
      <c r="T812" s="4" t="str">
        <f t="shared" si="225"/>
        <v/>
      </c>
      <c r="U812">
        <f>IF(VLOOKUP(C812,'QA Table'!$Y$5:$Y$20,1,TRUE)=C812,1,0)</f>
        <v>0</v>
      </c>
      <c r="V812" t="str">
        <f t="shared" si="226"/>
        <v/>
      </c>
      <c r="W812" t="str">
        <f t="shared" si="227"/>
        <v/>
      </c>
      <c r="X812" t="str">
        <f t="shared" si="228"/>
        <v/>
      </c>
      <c r="Y812">
        <f t="shared" si="229"/>
        <v>0</v>
      </c>
      <c r="AA812" t="str">
        <f t="shared" si="230"/>
        <v/>
      </c>
    </row>
    <row r="813" spans="1:27" x14ac:dyDescent="0.2">
      <c r="A813" t="s">
        <v>23</v>
      </c>
      <c r="B813" t="s">
        <v>88</v>
      </c>
      <c r="C813" t="s">
        <v>1950</v>
      </c>
      <c r="D813" t="s">
        <v>4</v>
      </c>
      <c r="E813" t="s">
        <v>3</v>
      </c>
      <c r="F813" t="s">
        <v>1948</v>
      </c>
      <c r="G813" t="s">
        <v>1783</v>
      </c>
      <c r="H813" s="4" t="str">
        <f t="shared" si="214"/>
        <v/>
      </c>
      <c r="I813" s="4" t="str">
        <f>IF(RIGHT(B813,1)="M",IF(AND(H813=1,E813="RFS",D813=INDEX('Station Depth Averages'!$A$3:$B$84,MATCH(B813,'Station Depth Averages'!$A$3:$A$84,0),2)),1,""),IF(AND(H813=1,OR(D813="SYN",D813="SRF",D813="MID")),1,IF(AND(H813=1,OR(E814="FDn",E814="LDn")),1,IF(AND(H813=1,OR(E813="FDn",E813="LDn")),1,""))))</f>
        <v/>
      </c>
      <c r="J813" s="4" t="str">
        <f t="shared" si="215"/>
        <v/>
      </c>
      <c r="K813" s="4" t="str">
        <f t="shared" si="216"/>
        <v/>
      </c>
      <c r="L813" s="4" t="str">
        <f t="shared" si="217"/>
        <v/>
      </c>
      <c r="M813" s="4" t="str">
        <f t="shared" si="218"/>
        <v/>
      </c>
      <c r="N813" s="4" t="str">
        <f t="shared" si="219"/>
        <v/>
      </c>
      <c r="O813" s="4" t="str">
        <f t="shared" si="220"/>
        <v/>
      </c>
      <c r="P813" s="4" t="str">
        <f t="shared" si="221"/>
        <v/>
      </c>
      <c r="Q813" s="4" t="str">
        <f t="shared" si="222"/>
        <v/>
      </c>
      <c r="R813" s="4" t="str">
        <f t="shared" si="223"/>
        <v/>
      </c>
      <c r="S813" s="4" t="str">
        <f t="shared" si="224"/>
        <v/>
      </c>
      <c r="T813" s="4" t="str">
        <f t="shared" si="225"/>
        <v/>
      </c>
      <c r="U813">
        <f>IF(VLOOKUP(C813,'QA Table'!$Y$5:$Y$20,1,TRUE)=C813,1,0)</f>
        <v>0</v>
      </c>
      <c r="V813" t="str">
        <f t="shared" si="226"/>
        <v/>
      </c>
      <c r="W813" t="str">
        <f t="shared" si="227"/>
        <v/>
      </c>
      <c r="X813" t="str">
        <f t="shared" si="228"/>
        <v/>
      </c>
      <c r="Y813">
        <f t="shared" si="229"/>
        <v>0</v>
      </c>
      <c r="AA813" t="str">
        <f t="shared" si="230"/>
        <v/>
      </c>
    </row>
    <row r="814" spans="1:27" x14ac:dyDescent="0.2">
      <c r="A814" t="s">
        <v>23</v>
      </c>
      <c r="B814" t="s">
        <v>88</v>
      </c>
      <c r="C814" t="s">
        <v>1951</v>
      </c>
      <c r="D814" t="s">
        <v>1051</v>
      </c>
      <c r="E814" t="s">
        <v>3</v>
      </c>
      <c r="F814" t="s">
        <v>1948</v>
      </c>
      <c r="G814" t="s">
        <v>1783</v>
      </c>
      <c r="H814" s="4" t="str">
        <f t="shared" si="214"/>
        <v/>
      </c>
      <c r="I814" s="4" t="str">
        <f>IF(RIGHT(B814,1)="M",IF(AND(H814=1,E814="RFS",D814=INDEX('Station Depth Averages'!$A$3:$B$84,MATCH(B814,'Station Depth Averages'!$A$3:$A$84,0),2)),1,""),IF(AND(H814=1,OR(D814="SYN",D814="SRF",D814="MID")),1,IF(AND(H814=1,OR(E815="FDn",E815="LDn")),1,IF(AND(H814=1,OR(E814="FDn",E814="LDn")),1,""))))</f>
        <v/>
      </c>
      <c r="J814" s="4" t="str">
        <f t="shared" si="215"/>
        <v/>
      </c>
      <c r="K814" s="4" t="str">
        <f t="shared" si="216"/>
        <v/>
      </c>
      <c r="L814" s="4" t="str">
        <f t="shared" si="217"/>
        <v/>
      </c>
      <c r="M814" s="4" t="str">
        <f t="shared" si="218"/>
        <v/>
      </c>
      <c r="N814" s="4" t="str">
        <f t="shared" si="219"/>
        <v/>
      </c>
      <c r="O814" s="4" t="str">
        <f t="shared" si="220"/>
        <v/>
      </c>
      <c r="P814" s="4" t="str">
        <f t="shared" si="221"/>
        <v/>
      </c>
      <c r="Q814" s="4" t="str">
        <f t="shared" si="222"/>
        <v/>
      </c>
      <c r="R814" s="4" t="str">
        <f t="shared" si="223"/>
        <v/>
      </c>
      <c r="S814" s="4" t="str">
        <f t="shared" si="224"/>
        <v/>
      </c>
      <c r="T814" s="4" t="str">
        <f t="shared" si="225"/>
        <v/>
      </c>
      <c r="U814">
        <f>IF(VLOOKUP(C814,'QA Table'!$Y$5:$Y$20,1,TRUE)=C814,1,0)</f>
        <v>0</v>
      </c>
      <c r="V814" t="str">
        <f t="shared" si="226"/>
        <v/>
      </c>
      <c r="W814" t="str">
        <f t="shared" si="227"/>
        <v/>
      </c>
      <c r="X814" t="str">
        <f t="shared" si="228"/>
        <v/>
      </c>
      <c r="Y814">
        <f t="shared" si="229"/>
        <v>0</v>
      </c>
      <c r="AA814" t="str">
        <f t="shared" si="230"/>
        <v/>
      </c>
    </row>
    <row r="815" spans="1:27" x14ac:dyDescent="0.2">
      <c r="A815" t="s">
        <v>23</v>
      </c>
      <c r="B815" t="s">
        <v>88</v>
      </c>
      <c r="C815" t="s">
        <v>1952</v>
      </c>
      <c r="D815" t="s">
        <v>119</v>
      </c>
      <c r="E815" t="s">
        <v>3</v>
      </c>
      <c r="F815" t="s">
        <v>1948</v>
      </c>
      <c r="G815" t="s">
        <v>1783</v>
      </c>
      <c r="H815" s="4">
        <f t="shared" si="214"/>
        <v>1</v>
      </c>
      <c r="I815" s="4">
        <f>IF(RIGHT(B815,1)="M",IF(AND(H815=1,E815="RFS",D815=INDEX('Station Depth Averages'!$A$3:$B$84,MATCH(B815,'Station Depth Averages'!$A$3:$A$84,0),2)),1,""),IF(AND(H815=1,OR(D815="SYN",D815="SRF",D815="MID")),1,IF(AND(H815=1,OR(E816="FDn",E816="LDn")),1,IF(AND(H815=1,OR(E815="FDn",E815="LDn")),1,""))))</f>
        <v>1</v>
      </c>
      <c r="J815" s="4">
        <f t="shared" si="215"/>
        <v>1</v>
      </c>
      <c r="K815" s="4" t="str">
        <f t="shared" si="216"/>
        <v/>
      </c>
      <c r="L815" s="4" t="str">
        <f t="shared" si="217"/>
        <v/>
      </c>
      <c r="M815" s="4" t="str">
        <f t="shared" si="218"/>
        <v/>
      </c>
      <c r="N815" s="4" t="str">
        <f t="shared" si="219"/>
        <v/>
      </c>
      <c r="O815" s="4" t="str">
        <f t="shared" si="220"/>
        <v/>
      </c>
      <c r="P815" s="4" t="str">
        <f t="shared" si="221"/>
        <v/>
      </c>
      <c r="Q815" s="4" t="str">
        <f t="shared" si="222"/>
        <v/>
      </c>
      <c r="R815" s="4" t="str">
        <f t="shared" si="223"/>
        <v/>
      </c>
      <c r="S815" s="4" t="str">
        <f t="shared" si="224"/>
        <v/>
      </c>
      <c r="T815" s="4" t="str">
        <f t="shared" si="225"/>
        <v/>
      </c>
      <c r="U815">
        <f>IF(VLOOKUP(C815,'QA Table'!$Y$5:$Y$20,1,TRUE)=C815,1,0)</f>
        <v>0</v>
      </c>
      <c r="V815" t="str">
        <f t="shared" si="226"/>
        <v/>
      </c>
      <c r="W815" t="str">
        <f t="shared" si="227"/>
        <v/>
      </c>
      <c r="X815">
        <f t="shared" si="228"/>
        <v>3</v>
      </c>
      <c r="Y815">
        <f t="shared" si="229"/>
        <v>0</v>
      </c>
      <c r="AA815">
        <f t="shared" si="230"/>
        <v>1</v>
      </c>
    </row>
    <row r="816" spans="1:27" x14ac:dyDescent="0.2">
      <c r="A816" t="s">
        <v>23</v>
      </c>
      <c r="B816" t="s">
        <v>88</v>
      </c>
      <c r="C816" t="s">
        <v>1953</v>
      </c>
      <c r="D816" t="s">
        <v>5</v>
      </c>
      <c r="E816" t="s">
        <v>3</v>
      </c>
      <c r="F816" t="s">
        <v>1948</v>
      </c>
      <c r="G816" t="s">
        <v>1783</v>
      </c>
      <c r="H816" s="4">
        <f t="shared" si="214"/>
        <v>1</v>
      </c>
      <c r="I816" s="4" t="str">
        <f>IF(RIGHT(B816,1)="M",IF(AND(H816=1,E816="RFS",D816=INDEX('Station Depth Averages'!$A$3:$B$84,MATCH(B816,'Station Depth Averages'!$A$3:$A$84,0),2)),1,""),IF(AND(H816=1,OR(D816="SYN",D816="SRF",D816="MID")),1,IF(AND(H816=1,OR(E817="FDn",E817="LDn")),1,IF(AND(H816=1,OR(E816="FDn",E816="LDn")),1,""))))</f>
        <v/>
      </c>
      <c r="J816" s="4">
        <f t="shared" si="215"/>
        <v>1</v>
      </c>
      <c r="K816" s="4" t="str">
        <f t="shared" si="216"/>
        <v/>
      </c>
      <c r="L816" s="4" t="str">
        <f t="shared" si="217"/>
        <v/>
      </c>
      <c r="M816" s="4" t="str">
        <f t="shared" si="218"/>
        <v/>
      </c>
      <c r="N816" s="4" t="str">
        <f t="shared" si="219"/>
        <v/>
      </c>
      <c r="O816" s="4" t="str">
        <f t="shared" si="220"/>
        <v/>
      </c>
      <c r="P816" s="4" t="str">
        <f t="shared" si="221"/>
        <v/>
      </c>
      <c r="Q816" s="4" t="str">
        <f t="shared" si="222"/>
        <v/>
      </c>
      <c r="R816" s="4" t="str">
        <f t="shared" si="223"/>
        <v/>
      </c>
      <c r="S816" s="4" t="str">
        <f t="shared" si="224"/>
        <v/>
      </c>
      <c r="T816" s="4" t="str">
        <f t="shared" si="225"/>
        <v/>
      </c>
      <c r="U816">
        <f>IF(VLOOKUP(C816,'QA Table'!$Y$5:$Y$20,1,TRUE)=C816,1,0)</f>
        <v>0</v>
      </c>
      <c r="V816" t="str">
        <f t="shared" si="226"/>
        <v/>
      </c>
      <c r="W816" t="str">
        <f t="shared" si="227"/>
        <v/>
      </c>
      <c r="X816">
        <f t="shared" si="228"/>
        <v>3</v>
      </c>
      <c r="Y816">
        <f t="shared" si="229"/>
        <v>0</v>
      </c>
      <c r="AA816">
        <f t="shared" si="230"/>
        <v>1</v>
      </c>
    </row>
    <row r="817" spans="1:27" x14ac:dyDescent="0.2">
      <c r="A817" t="s">
        <v>23</v>
      </c>
      <c r="B817" t="s">
        <v>88</v>
      </c>
      <c r="C817" t="s">
        <v>1954</v>
      </c>
      <c r="D817" t="s">
        <v>6</v>
      </c>
      <c r="E817" t="s">
        <v>3</v>
      </c>
      <c r="F817" t="s">
        <v>1948</v>
      </c>
      <c r="G817" t="s">
        <v>1783</v>
      </c>
      <c r="H817" s="4">
        <f t="shared" si="214"/>
        <v>1</v>
      </c>
      <c r="I817" s="4" t="str">
        <f>IF(RIGHT(B817,1)="M",IF(AND(H817=1,E817="RFS",D817=INDEX('Station Depth Averages'!$A$3:$B$84,MATCH(B817,'Station Depth Averages'!$A$3:$A$84,0),2)),1,""),IF(AND(H817=1,OR(D817="SYN",D817="SRF",D817="MID")),1,IF(AND(H817=1,OR(E818="FDn",E818="LDn")),1,IF(AND(H817=1,OR(E817="FDn",E817="LDn")),1,""))))</f>
        <v/>
      </c>
      <c r="J817" s="4">
        <f t="shared" si="215"/>
        <v>1</v>
      </c>
      <c r="K817" s="4" t="str">
        <f t="shared" si="216"/>
        <v/>
      </c>
      <c r="L817" s="4" t="str">
        <f t="shared" si="217"/>
        <v/>
      </c>
      <c r="M817" s="4" t="str">
        <f t="shared" si="218"/>
        <v/>
      </c>
      <c r="N817" s="4" t="str">
        <f t="shared" si="219"/>
        <v/>
      </c>
      <c r="O817" s="4" t="str">
        <f t="shared" si="220"/>
        <v/>
      </c>
      <c r="P817" s="4" t="str">
        <f t="shared" si="221"/>
        <v/>
      </c>
      <c r="Q817" s="4" t="str">
        <f t="shared" si="222"/>
        <v/>
      </c>
      <c r="R817" s="4" t="str">
        <f t="shared" si="223"/>
        <v/>
      </c>
      <c r="S817" s="4" t="str">
        <f t="shared" si="224"/>
        <v/>
      </c>
      <c r="T817" s="4" t="str">
        <f t="shared" si="225"/>
        <v/>
      </c>
      <c r="U817">
        <f>IF(VLOOKUP(C817,'QA Table'!$Y$5:$Y$20,1,TRUE)=C817,1,0)</f>
        <v>0</v>
      </c>
      <c r="V817" t="str">
        <f t="shared" si="226"/>
        <v/>
      </c>
      <c r="W817" t="str">
        <f t="shared" si="227"/>
        <v/>
      </c>
      <c r="X817">
        <f t="shared" si="228"/>
        <v>3</v>
      </c>
      <c r="Y817">
        <f t="shared" si="229"/>
        <v>0</v>
      </c>
      <c r="AA817">
        <f t="shared" si="230"/>
        <v>1</v>
      </c>
    </row>
    <row r="818" spans="1:27" x14ac:dyDescent="0.2">
      <c r="A818" t="s">
        <v>23</v>
      </c>
      <c r="B818" t="s">
        <v>88</v>
      </c>
      <c r="C818" t="s">
        <v>1955</v>
      </c>
      <c r="D818" t="s">
        <v>8</v>
      </c>
      <c r="E818" t="s">
        <v>3</v>
      </c>
      <c r="F818" t="s">
        <v>1948</v>
      </c>
      <c r="G818" t="s">
        <v>1783</v>
      </c>
      <c r="H818" s="4">
        <f t="shared" si="214"/>
        <v>1</v>
      </c>
      <c r="I818" s="4" t="str">
        <f>IF(RIGHT(B818,1)="M",IF(AND(H818=1,E818="RFS",D818=INDEX('Station Depth Averages'!$A$3:$B$84,MATCH(B818,'Station Depth Averages'!$A$3:$A$84,0),2)),1,""),IF(AND(H818=1,OR(D818="SYN",D818="SRF",D818="MID")),1,IF(AND(H818=1,OR(E819="FDn",E819="LDn")),1,IF(AND(H818=1,OR(E818="FDn",E818="LDn")),1,""))))</f>
        <v/>
      </c>
      <c r="J818" s="4" t="str">
        <f t="shared" si="215"/>
        <v/>
      </c>
      <c r="K818" s="4">
        <f t="shared" si="216"/>
        <v>1</v>
      </c>
      <c r="L818" s="4" t="str">
        <f t="shared" si="217"/>
        <v/>
      </c>
      <c r="M818" s="4" t="str">
        <f t="shared" si="218"/>
        <v/>
      </c>
      <c r="N818" s="4" t="str">
        <f t="shared" si="219"/>
        <v/>
      </c>
      <c r="O818" s="4" t="str">
        <f t="shared" si="220"/>
        <v/>
      </c>
      <c r="P818" s="4" t="str">
        <f t="shared" si="221"/>
        <v/>
      </c>
      <c r="Q818" s="4">
        <f t="shared" si="222"/>
        <v>2</v>
      </c>
      <c r="R818" s="4" t="str">
        <f t="shared" si="223"/>
        <v/>
      </c>
      <c r="S818" s="4" t="str">
        <f t="shared" si="224"/>
        <v/>
      </c>
      <c r="T818" s="4" t="str">
        <f t="shared" si="225"/>
        <v/>
      </c>
      <c r="U818">
        <f>IF(VLOOKUP(C818,'QA Table'!$Y$5:$Y$20,1,TRUE)=C818,1,0)</f>
        <v>0</v>
      </c>
      <c r="V818" t="str">
        <f t="shared" si="226"/>
        <v/>
      </c>
      <c r="W818" t="str">
        <f t="shared" si="227"/>
        <v/>
      </c>
      <c r="X818">
        <f t="shared" si="228"/>
        <v>3</v>
      </c>
      <c r="Y818">
        <f t="shared" si="229"/>
        <v>0</v>
      </c>
      <c r="AA818">
        <f t="shared" si="230"/>
        <v>1</v>
      </c>
    </row>
    <row r="819" spans="1:27" x14ac:dyDescent="0.2">
      <c r="A819" t="s">
        <v>23</v>
      </c>
      <c r="B819" t="s">
        <v>88</v>
      </c>
      <c r="C819" t="s">
        <v>1956</v>
      </c>
      <c r="D819" t="s">
        <v>9</v>
      </c>
      <c r="E819" t="s">
        <v>3</v>
      </c>
      <c r="F819" t="s">
        <v>1948</v>
      </c>
      <c r="G819" t="s">
        <v>1783</v>
      </c>
      <c r="H819" s="4" t="str">
        <f t="shared" si="214"/>
        <v/>
      </c>
      <c r="I819" s="4" t="str">
        <f>IF(RIGHT(B819,1)="M",IF(AND(H819=1,E819="RFS",D819=INDEX('Station Depth Averages'!$A$3:$B$84,MATCH(B819,'Station Depth Averages'!$A$3:$A$84,0),2)),1,""),IF(AND(H819=1,OR(D819="SYN",D819="SRF",D819="MID")),1,IF(AND(H819=1,OR(E820="FDn",E820="LDn")),1,IF(AND(H819=1,OR(E819="FDn",E819="LDn")),1,""))))</f>
        <v/>
      </c>
      <c r="J819" s="4" t="str">
        <f t="shared" si="215"/>
        <v/>
      </c>
      <c r="K819" s="4" t="str">
        <f t="shared" si="216"/>
        <v/>
      </c>
      <c r="L819" s="4" t="str">
        <f t="shared" si="217"/>
        <v/>
      </c>
      <c r="M819" s="4" t="str">
        <f t="shared" si="218"/>
        <v/>
      </c>
      <c r="N819" s="4" t="str">
        <f t="shared" si="219"/>
        <v/>
      </c>
      <c r="O819" s="4" t="str">
        <f t="shared" si="220"/>
        <v/>
      </c>
      <c r="P819" s="4" t="str">
        <f t="shared" si="221"/>
        <v/>
      </c>
      <c r="Q819" s="4" t="str">
        <f t="shared" si="222"/>
        <v/>
      </c>
      <c r="R819" s="4" t="str">
        <f t="shared" si="223"/>
        <v/>
      </c>
      <c r="S819" s="4" t="str">
        <f t="shared" si="224"/>
        <v/>
      </c>
      <c r="T819" s="4">
        <f t="shared" si="225"/>
        <v>2</v>
      </c>
      <c r="U819">
        <f>IF(VLOOKUP(C819,'QA Table'!$Y$5:$Y$20,1,TRUE)=C819,1,0)</f>
        <v>0</v>
      </c>
      <c r="V819" t="str">
        <f t="shared" si="226"/>
        <v/>
      </c>
      <c r="W819" t="str">
        <f t="shared" si="227"/>
        <v/>
      </c>
      <c r="X819" t="str">
        <f t="shared" si="228"/>
        <v/>
      </c>
      <c r="Y819">
        <f t="shared" si="229"/>
        <v>0</v>
      </c>
      <c r="AA819" t="str">
        <f t="shared" si="230"/>
        <v/>
      </c>
    </row>
    <row r="820" spans="1:27" x14ac:dyDescent="0.2">
      <c r="A820" t="s">
        <v>23</v>
      </c>
      <c r="B820" t="s">
        <v>88</v>
      </c>
      <c r="C820" t="s">
        <v>1957</v>
      </c>
      <c r="D820" t="s">
        <v>9</v>
      </c>
      <c r="E820" t="s">
        <v>3</v>
      </c>
      <c r="F820" t="s">
        <v>1948</v>
      </c>
      <c r="G820" t="s">
        <v>1783</v>
      </c>
      <c r="H820" s="4" t="str">
        <f t="shared" si="214"/>
        <v/>
      </c>
      <c r="I820" s="4" t="str">
        <f>IF(RIGHT(B820,1)="M",IF(AND(H820=1,E820="RFS",D820=INDEX('Station Depth Averages'!$A$3:$B$84,MATCH(B820,'Station Depth Averages'!$A$3:$A$84,0),2)),1,""),IF(AND(H820=1,OR(D820="SYN",D820="SRF",D820="MID")),1,IF(AND(H820=1,OR(E821="FDn",E821="LDn")),1,IF(AND(H820=1,OR(E820="FDn",E820="LDn")),1,""))))</f>
        <v/>
      </c>
      <c r="J820" s="4" t="str">
        <f t="shared" si="215"/>
        <v/>
      </c>
      <c r="K820" s="4" t="str">
        <f t="shared" si="216"/>
        <v/>
      </c>
      <c r="L820" s="4" t="str">
        <f t="shared" si="217"/>
        <v/>
      </c>
      <c r="M820" s="4" t="str">
        <f t="shared" si="218"/>
        <v/>
      </c>
      <c r="N820" s="4" t="str">
        <f t="shared" si="219"/>
        <v/>
      </c>
      <c r="O820" s="4" t="str">
        <f t="shared" si="220"/>
        <v/>
      </c>
      <c r="P820" s="4" t="str">
        <f t="shared" si="221"/>
        <v/>
      </c>
      <c r="Q820" s="4" t="str">
        <f t="shared" si="222"/>
        <v/>
      </c>
      <c r="R820" s="4" t="str">
        <f t="shared" si="223"/>
        <v/>
      </c>
      <c r="S820" s="4" t="str">
        <f t="shared" si="224"/>
        <v/>
      </c>
      <c r="T820" s="4">
        <f t="shared" si="225"/>
        <v>2</v>
      </c>
      <c r="U820">
        <f>IF(VLOOKUP(C820,'QA Table'!$Y$5:$Y$20,1,TRUE)=C820,1,0)</f>
        <v>0</v>
      </c>
      <c r="V820" t="str">
        <f t="shared" si="226"/>
        <v/>
      </c>
      <c r="W820" t="str">
        <f t="shared" si="227"/>
        <v/>
      </c>
      <c r="X820" t="str">
        <f t="shared" si="228"/>
        <v/>
      </c>
      <c r="Y820">
        <f t="shared" si="229"/>
        <v>0</v>
      </c>
      <c r="AA820" t="str">
        <f t="shared" si="230"/>
        <v/>
      </c>
    </row>
    <row r="821" spans="1:27" x14ac:dyDescent="0.2">
      <c r="A821" t="s">
        <v>23</v>
      </c>
      <c r="B821" t="s">
        <v>88</v>
      </c>
      <c r="C821" t="s">
        <v>1958</v>
      </c>
      <c r="D821" t="s">
        <v>10</v>
      </c>
      <c r="E821" t="s">
        <v>3</v>
      </c>
      <c r="F821" t="s">
        <v>1948</v>
      </c>
      <c r="G821" t="s">
        <v>1783</v>
      </c>
      <c r="H821" s="4" t="str">
        <f t="shared" si="214"/>
        <v/>
      </c>
      <c r="I821" s="4" t="str">
        <f>IF(RIGHT(B821,1)="M",IF(AND(H821=1,E821="RFS",D821=INDEX('Station Depth Averages'!$A$3:$B$84,MATCH(B821,'Station Depth Averages'!$A$3:$A$84,0),2)),1,""),IF(AND(H821=1,OR(D821="SYN",D821="SRF",D821="MID")),1,IF(AND(H821=1,OR(E822="FDn",E822="LDn")),1,IF(AND(H821=1,OR(E821="FDn",E821="LDn")),1,""))))</f>
        <v/>
      </c>
      <c r="J821" s="4" t="str">
        <f t="shared" si="215"/>
        <v/>
      </c>
      <c r="K821" s="4" t="str">
        <f t="shared" si="216"/>
        <v/>
      </c>
      <c r="L821" s="4" t="str">
        <f t="shared" si="217"/>
        <v/>
      </c>
      <c r="M821" s="4" t="str">
        <f t="shared" si="218"/>
        <v/>
      </c>
      <c r="N821" s="4" t="str">
        <f t="shared" si="219"/>
        <v/>
      </c>
      <c r="O821" s="4" t="str">
        <f t="shared" si="220"/>
        <v/>
      </c>
      <c r="P821" s="4" t="str">
        <f t="shared" si="221"/>
        <v/>
      </c>
      <c r="Q821" s="4" t="str">
        <f t="shared" si="222"/>
        <v/>
      </c>
      <c r="R821" s="4" t="str">
        <f t="shared" si="223"/>
        <v/>
      </c>
      <c r="S821" s="4" t="str">
        <f t="shared" si="224"/>
        <v/>
      </c>
      <c r="T821" s="4">
        <f t="shared" si="225"/>
        <v>2</v>
      </c>
      <c r="U821">
        <f>IF(VLOOKUP(C821,'QA Table'!$Y$5:$Y$20,1,TRUE)=C821,1,0)</f>
        <v>0</v>
      </c>
      <c r="V821" t="str">
        <f t="shared" si="226"/>
        <v/>
      </c>
      <c r="W821" t="str">
        <f t="shared" si="227"/>
        <v/>
      </c>
      <c r="X821" t="str">
        <f t="shared" si="228"/>
        <v/>
      </c>
      <c r="Y821">
        <f t="shared" si="229"/>
        <v>0</v>
      </c>
      <c r="AA821" t="str">
        <f t="shared" si="230"/>
        <v/>
      </c>
    </row>
    <row r="822" spans="1:27" x14ac:dyDescent="0.2">
      <c r="A822" t="s">
        <v>23</v>
      </c>
      <c r="B822" t="s">
        <v>88</v>
      </c>
      <c r="C822" t="s">
        <v>1959</v>
      </c>
      <c r="D822" t="s">
        <v>1034</v>
      </c>
      <c r="E822" t="s">
        <v>3</v>
      </c>
      <c r="F822" t="s">
        <v>1948</v>
      </c>
      <c r="G822" t="s">
        <v>1783</v>
      </c>
      <c r="H822" s="4" t="str">
        <f t="shared" si="214"/>
        <v/>
      </c>
      <c r="I822" s="4" t="str">
        <f>IF(RIGHT(B822,1)="M",IF(AND(H822=1,E822="RFS",D822=INDEX('Station Depth Averages'!$A$3:$B$84,MATCH(B822,'Station Depth Averages'!$A$3:$A$84,0),2)),1,""),IF(AND(H822=1,OR(D822="SYN",D822="SRF",D822="MID")),1,IF(AND(H822=1,OR(E823="FDn",E823="LDn")),1,IF(AND(H822=1,OR(E822="FDn",E822="LDn")),1,""))))</f>
        <v/>
      </c>
      <c r="J822" s="4" t="str">
        <f t="shared" si="215"/>
        <v/>
      </c>
      <c r="K822" s="4" t="str">
        <f t="shared" si="216"/>
        <v/>
      </c>
      <c r="L822" s="4" t="str">
        <f t="shared" si="217"/>
        <v/>
      </c>
      <c r="M822" s="4" t="str">
        <f t="shared" si="218"/>
        <v/>
      </c>
      <c r="N822" s="4" t="str">
        <f t="shared" si="219"/>
        <v/>
      </c>
      <c r="O822" s="4" t="str">
        <f t="shared" si="220"/>
        <v/>
      </c>
      <c r="P822" s="4" t="str">
        <f t="shared" si="221"/>
        <v/>
      </c>
      <c r="Q822" s="4" t="str">
        <f t="shared" si="222"/>
        <v/>
      </c>
      <c r="R822" s="4" t="str">
        <f t="shared" si="223"/>
        <v/>
      </c>
      <c r="S822" s="4">
        <f t="shared" si="224"/>
        <v>1</v>
      </c>
      <c r="T822" s="4" t="str">
        <f t="shared" si="225"/>
        <v/>
      </c>
      <c r="U822">
        <f>IF(VLOOKUP(C822,'QA Table'!$Y$5:$Y$20,1,TRUE)=C822,1,0)</f>
        <v>0</v>
      </c>
      <c r="V822" t="str">
        <f t="shared" si="226"/>
        <v/>
      </c>
      <c r="W822" t="str">
        <f t="shared" si="227"/>
        <v/>
      </c>
      <c r="X822" t="str">
        <f t="shared" si="228"/>
        <v/>
      </c>
      <c r="Y822">
        <f t="shared" si="229"/>
        <v>0</v>
      </c>
      <c r="AA822" t="str">
        <f t="shared" si="230"/>
        <v/>
      </c>
    </row>
    <row r="823" spans="1:27" x14ac:dyDescent="0.2">
      <c r="A823" t="s">
        <v>23</v>
      </c>
      <c r="B823" t="s">
        <v>88</v>
      </c>
      <c r="C823" t="s">
        <v>1960</v>
      </c>
      <c r="D823" t="s">
        <v>1034</v>
      </c>
      <c r="E823" t="s">
        <v>19</v>
      </c>
      <c r="F823" t="s">
        <v>1948</v>
      </c>
      <c r="G823" t="s">
        <v>1783</v>
      </c>
      <c r="H823" s="4" t="str">
        <f t="shared" si="214"/>
        <v/>
      </c>
      <c r="I823" s="4" t="str">
        <f>IF(RIGHT(B823,1)="M",IF(AND(H823=1,E823="RFS",D823=INDEX('Station Depth Averages'!$A$3:$B$84,MATCH(B823,'Station Depth Averages'!$A$3:$A$84,0),2)),1,""),IF(AND(H823=1,OR(D823="SYN",D823="SRF",D823="MID")),1,IF(AND(H823=1,OR(E824="FDn",E824="LDn")),1,IF(AND(H823=1,OR(E823="FDn",E823="LDn")),1,""))))</f>
        <v/>
      </c>
      <c r="J823" s="4" t="str">
        <f t="shared" si="215"/>
        <v/>
      </c>
      <c r="K823" s="4" t="str">
        <f t="shared" si="216"/>
        <v/>
      </c>
      <c r="L823" s="4" t="str">
        <f t="shared" si="217"/>
        <v/>
      </c>
      <c r="M823" s="4" t="str">
        <f t="shared" si="218"/>
        <v/>
      </c>
      <c r="N823" s="4" t="str">
        <f t="shared" si="219"/>
        <v/>
      </c>
      <c r="O823" s="4" t="str">
        <f t="shared" si="220"/>
        <v/>
      </c>
      <c r="P823" s="4" t="str">
        <f t="shared" si="221"/>
        <v/>
      </c>
      <c r="Q823" s="4" t="str">
        <f t="shared" si="222"/>
        <v/>
      </c>
      <c r="R823" s="4" t="str">
        <f t="shared" si="223"/>
        <v/>
      </c>
      <c r="S823" s="4">
        <f t="shared" si="224"/>
        <v>1</v>
      </c>
      <c r="T823" s="4" t="str">
        <f t="shared" si="225"/>
        <v/>
      </c>
      <c r="U823">
        <f>IF(VLOOKUP(C823,'QA Table'!$Y$5:$Y$20,1,TRUE)=C823,1,0)</f>
        <v>0</v>
      </c>
      <c r="V823" t="str">
        <f t="shared" si="226"/>
        <v/>
      </c>
      <c r="W823" t="str">
        <f t="shared" si="227"/>
        <v/>
      </c>
      <c r="X823" t="str">
        <f t="shared" si="228"/>
        <v/>
      </c>
      <c r="Y823">
        <f t="shared" si="229"/>
        <v>0</v>
      </c>
      <c r="AA823" t="str">
        <f t="shared" si="230"/>
        <v/>
      </c>
    </row>
    <row r="824" spans="1:27" x14ac:dyDescent="0.2">
      <c r="A824" t="s">
        <v>23</v>
      </c>
      <c r="B824" t="s">
        <v>89</v>
      </c>
      <c r="C824" t="s">
        <v>1961</v>
      </c>
      <c r="D824" t="s">
        <v>2</v>
      </c>
      <c r="E824" t="s">
        <v>3</v>
      </c>
      <c r="F824" t="s">
        <v>1962</v>
      </c>
      <c r="G824" t="s">
        <v>1783</v>
      </c>
      <c r="H824" s="4">
        <f t="shared" si="214"/>
        <v>1</v>
      </c>
      <c r="I824" s="4">
        <f>IF(RIGHT(B824,1)="M",IF(AND(H824=1,E824="RFS",D824=INDEX('Station Depth Averages'!$A$3:$B$84,MATCH(B824,'Station Depth Averages'!$A$3:$A$84,0),2)),1,""),IF(AND(H824=1,OR(D824="SYN",D824="SRF",D824="MID")),1,IF(AND(H824=1,OR(E825="FDn",E825="LDn")),1,IF(AND(H824=1,OR(E824="FDn",E824="LDn")),1,""))))</f>
        <v>1</v>
      </c>
      <c r="J824" s="4">
        <f t="shared" si="215"/>
        <v>1</v>
      </c>
      <c r="K824" s="4" t="str">
        <f t="shared" si="216"/>
        <v/>
      </c>
      <c r="L824" s="4" t="str">
        <f t="shared" si="217"/>
        <v/>
      </c>
      <c r="M824" s="4" t="str">
        <f t="shared" si="218"/>
        <v/>
      </c>
      <c r="N824" s="4" t="str">
        <f t="shared" si="219"/>
        <v/>
      </c>
      <c r="O824" s="4" t="str">
        <f t="shared" si="220"/>
        <v/>
      </c>
      <c r="P824" s="4" t="str">
        <f t="shared" si="221"/>
        <v/>
      </c>
      <c r="Q824" s="4" t="str">
        <f t="shared" si="222"/>
        <v/>
      </c>
      <c r="R824" s="4" t="str">
        <f t="shared" si="223"/>
        <v/>
      </c>
      <c r="S824" s="4" t="str">
        <f t="shared" si="224"/>
        <v/>
      </c>
      <c r="T824" s="4" t="str">
        <f t="shared" si="225"/>
        <v/>
      </c>
      <c r="U824">
        <f>IF(VLOOKUP(C824,'QA Table'!$Y$5:$Y$20,1,TRUE)=C824,1,0)</f>
        <v>0</v>
      </c>
      <c r="V824" t="str">
        <f t="shared" si="226"/>
        <v/>
      </c>
      <c r="W824" t="str">
        <f t="shared" si="227"/>
        <v/>
      </c>
      <c r="X824">
        <f t="shared" si="228"/>
        <v>3</v>
      </c>
      <c r="Y824">
        <f t="shared" si="229"/>
        <v>0</v>
      </c>
      <c r="AA824">
        <f t="shared" si="230"/>
        <v>1</v>
      </c>
    </row>
    <row r="825" spans="1:27" x14ac:dyDescent="0.2">
      <c r="A825" t="s">
        <v>23</v>
      </c>
      <c r="B825" t="s">
        <v>89</v>
      </c>
      <c r="C825" t="s">
        <v>1963</v>
      </c>
      <c r="D825" t="s">
        <v>1050</v>
      </c>
      <c r="E825" t="s">
        <v>3</v>
      </c>
      <c r="F825" t="s">
        <v>1962</v>
      </c>
      <c r="G825" t="s">
        <v>1783</v>
      </c>
      <c r="H825" s="4" t="str">
        <f t="shared" si="214"/>
        <v/>
      </c>
      <c r="I825" s="4" t="str">
        <f>IF(RIGHT(B825,1)="M",IF(AND(H825=1,E825="RFS",D825=INDEX('Station Depth Averages'!$A$3:$B$84,MATCH(B825,'Station Depth Averages'!$A$3:$A$84,0),2)),1,""),IF(AND(H825=1,OR(D825="SYN",D825="SRF",D825="MID")),1,IF(AND(H825=1,OR(E826="FDn",E826="LDn")),1,IF(AND(H825=1,OR(E825="FDn",E825="LDn")),1,""))))</f>
        <v/>
      </c>
      <c r="J825" s="4" t="str">
        <f t="shared" si="215"/>
        <v/>
      </c>
      <c r="K825" s="4" t="str">
        <f t="shared" si="216"/>
        <v/>
      </c>
      <c r="L825" s="4" t="str">
        <f t="shared" si="217"/>
        <v/>
      </c>
      <c r="M825" s="4" t="str">
        <f t="shared" si="218"/>
        <v/>
      </c>
      <c r="N825" s="4" t="str">
        <f t="shared" si="219"/>
        <v/>
      </c>
      <c r="O825" s="4" t="str">
        <f t="shared" si="220"/>
        <v/>
      </c>
      <c r="P825" s="4" t="str">
        <f t="shared" si="221"/>
        <v/>
      </c>
      <c r="Q825" s="4" t="str">
        <f t="shared" si="222"/>
        <v/>
      </c>
      <c r="R825" s="4" t="str">
        <f t="shared" si="223"/>
        <v/>
      </c>
      <c r="S825" s="4" t="str">
        <f t="shared" si="224"/>
        <v/>
      </c>
      <c r="T825" s="4" t="str">
        <f t="shared" si="225"/>
        <v/>
      </c>
      <c r="U825">
        <f>IF(VLOOKUP(C825,'QA Table'!$Y$5:$Y$20,1,TRUE)=C825,1,0)</f>
        <v>0</v>
      </c>
      <c r="V825" t="str">
        <f t="shared" si="226"/>
        <v/>
      </c>
      <c r="W825" t="str">
        <f t="shared" si="227"/>
        <v/>
      </c>
      <c r="X825" t="str">
        <f t="shared" si="228"/>
        <v/>
      </c>
      <c r="Y825">
        <f t="shared" si="229"/>
        <v>0</v>
      </c>
      <c r="AA825" t="str">
        <f t="shared" si="230"/>
        <v/>
      </c>
    </row>
    <row r="826" spans="1:27" x14ac:dyDescent="0.2">
      <c r="A826" t="s">
        <v>23</v>
      </c>
      <c r="B826" t="s">
        <v>89</v>
      </c>
      <c r="C826" t="s">
        <v>1964</v>
      </c>
      <c r="D826" t="s">
        <v>4</v>
      </c>
      <c r="E826" t="s">
        <v>3</v>
      </c>
      <c r="F826" t="s">
        <v>1962</v>
      </c>
      <c r="G826" t="s">
        <v>1783</v>
      </c>
      <c r="H826" s="4" t="str">
        <f t="shared" si="214"/>
        <v/>
      </c>
      <c r="I826" s="4" t="str">
        <f>IF(RIGHT(B826,1)="M",IF(AND(H826=1,E826="RFS",D826=INDEX('Station Depth Averages'!$A$3:$B$84,MATCH(B826,'Station Depth Averages'!$A$3:$A$84,0),2)),1,""),IF(AND(H826=1,OR(D826="SYN",D826="SRF",D826="MID")),1,IF(AND(H826=1,OR(E827="FDn",E827="LDn")),1,IF(AND(H826=1,OR(E826="FDn",E826="LDn")),1,""))))</f>
        <v/>
      </c>
      <c r="J826" s="4" t="str">
        <f t="shared" si="215"/>
        <v/>
      </c>
      <c r="K826" s="4" t="str">
        <f t="shared" si="216"/>
        <v/>
      </c>
      <c r="L826" s="4" t="str">
        <f t="shared" si="217"/>
        <v/>
      </c>
      <c r="M826" s="4" t="str">
        <f t="shared" si="218"/>
        <v/>
      </c>
      <c r="N826" s="4" t="str">
        <f t="shared" si="219"/>
        <v/>
      </c>
      <c r="O826" s="4" t="str">
        <f t="shared" si="220"/>
        <v/>
      </c>
      <c r="P826" s="4" t="str">
        <f t="shared" si="221"/>
        <v/>
      </c>
      <c r="Q826" s="4" t="str">
        <f t="shared" si="222"/>
        <v/>
      </c>
      <c r="R826" s="4" t="str">
        <f t="shared" si="223"/>
        <v/>
      </c>
      <c r="S826" s="4" t="str">
        <f t="shared" si="224"/>
        <v/>
      </c>
      <c r="T826" s="4" t="str">
        <f t="shared" si="225"/>
        <v/>
      </c>
      <c r="U826">
        <f>IF(VLOOKUP(C826,'QA Table'!$Y$5:$Y$20,1,TRUE)=C826,1,0)</f>
        <v>0</v>
      </c>
      <c r="V826" t="str">
        <f t="shared" si="226"/>
        <v/>
      </c>
      <c r="W826" t="str">
        <f t="shared" si="227"/>
        <v/>
      </c>
      <c r="X826" t="str">
        <f t="shared" si="228"/>
        <v/>
      </c>
      <c r="Y826">
        <f t="shared" si="229"/>
        <v>0</v>
      </c>
      <c r="AA826" t="str">
        <f t="shared" si="230"/>
        <v/>
      </c>
    </row>
    <row r="827" spans="1:27" x14ac:dyDescent="0.2">
      <c r="A827" t="s">
        <v>23</v>
      </c>
      <c r="B827" t="s">
        <v>89</v>
      </c>
      <c r="C827" t="s">
        <v>1965</v>
      </c>
      <c r="D827" t="s">
        <v>1051</v>
      </c>
      <c r="E827" t="s">
        <v>3</v>
      </c>
      <c r="F827" t="s">
        <v>1962</v>
      </c>
      <c r="G827" t="s">
        <v>1783</v>
      </c>
      <c r="H827" s="4" t="str">
        <f t="shared" si="214"/>
        <v/>
      </c>
      <c r="I827" s="4" t="str">
        <f>IF(RIGHT(B827,1)="M",IF(AND(H827=1,E827="RFS",D827=INDEX('Station Depth Averages'!$A$3:$B$84,MATCH(B827,'Station Depth Averages'!$A$3:$A$84,0),2)),1,""),IF(AND(H827=1,OR(D827="SYN",D827="SRF",D827="MID")),1,IF(AND(H827=1,OR(E828="FDn",E828="LDn")),1,IF(AND(H827=1,OR(E827="FDn",E827="LDn")),1,""))))</f>
        <v/>
      </c>
      <c r="J827" s="4" t="str">
        <f t="shared" si="215"/>
        <v/>
      </c>
      <c r="K827" s="4" t="str">
        <f t="shared" si="216"/>
        <v/>
      </c>
      <c r="L827" s="4" t="str">
        <f t="shared" si="217"/>
        <v/>
      </c>
      <c r="M827" s="4" t="str">
        <f t="shared" si="218"/>
        <v/>
      </c>
      <c r="N827" s="4" t="str">
        <f t="shared" si="219"/>
        <v/>
      </c>
      <c r="O827" s="4" t="str">
        <f t="shared" si="220"/>
        <v/>
      </c>
      <c r="P827" s="4" t="str">
        <f t="shared" si="221"/>
        <v/>
      </c>
      <c r="Q827" s="4" t="str">
        <f t="shared" si="222"/>
        <v/>
      </c>
      <c r="R827" s="4" t="str">
        <f t="shared" si="223"/>
        <v/>
      </c>
      <c r="S827" s="4" t="str">
        <f t="shared" si="224"/>
        <v/>
      </c>
      <c r="T827" s="4" t="str">
        <f t="shared" si="225"/>
        <v/>
      </c>
      <c r="U827">
        <f>IF(VLOOKUP(C827,'QA Table'!$Y$5:$Y$20,1,TRUE)=C827,1,0)</f>
        <v>0</v>
      </c>
      <c r="V827" t="str">
        <f t="shared" si="226"/>
        <v/>
      </c>
      <c r="W827" t="str">
        <f t="shared" si="227"/>
        <v/>
      </c>
      <c r="X827" t="str">
        <f t="shared" si="228"/>
        <v/>
      </c>
      <c r="Y827">
        <f t="shared" si="229"/>
        <v>0</v>
      </c>
      <c r="AA827" t="str">
        <f t="shared" si="230"/>
        <v/>
      </c>
    </row>
    <row r="828" spans="1:27" x14ac:dyDescent="0.2">
      <c r="A828" t="s">
        <v>23</v>
      </c>
      <c r="B828" t="s">
        <v>89</v>
      </c>
      <c r="C828" t="s">
        <v>1966</v>
      </c>
      <c r="D828" t="s">
        <v>119</v>
      </c>
      <c r="E828" t="s">
        <v>3</v>
      </c>
      <c r="F828" t="s">
        <v>1962</v>
      </c>
      <c r="G828" t="s">
        <v>1783</v>
      </c>
      <c r="H828" s="4">
        <f t="shared" si="214"/>
        <v>1</v>
      </c>
      <c r="I828" s="4">
        <f>IF(RIGHT(B828,1)="M",IF(AND(H828=1,E828="RFS",D828=INDEX('Station Depth Averages'!$A$3:$B$84,MATCH(B828,'Station Depth Averages'!$A$3:$A$84,0),2)),1,""),IF(AND(H828=1,OR(D828="SYN",D828="SRF",D828="MID")),1,IF(AND(H828=1,OR(E829="FDn",E829="LDn")),1,IF(AND(H828=1,OR(E828="FDn",E828="LDn")),1,""))))</f>
        <v>1</v>
      </c>
      <c r="J828" s="4">
        <f t="shared" si="215"/>
        <v>1</v>
      </c>
      <c r="K828" s="4" t="str">
        <f t="shared" si="216"/>
        <v/>
      </c>
      <c r="L828" s="4" t="str">
        <f t="shared" si="217"/>
        <v/>
      </c>
      <c r="M828" s="4" t="str">
        <f t="shared" si="218"/>
        <v/>
      </c>
      <c r="N828" s="4" t="str">
        <f t="shared" si="219"/>
        <v/>
      </c>
      <c r="O828" s="4" t="str">
        <f t="shared" si="220"/>
        <v/>
      </c>
      <c r="P828" s="4" t="str">
        <f t="shared" si="221"/>
        <v/>
      </c>
      <c r="Q828" s="4" t="str">
        <f t="shared" si="222"/>
        <v/>
      </c>
      <c r="R828" s="4" t="str">
        <f t="shared" si="223"/>
        <v/>
      </c>
      <c r="S828" s="4" t="str">
        <f t="shared" si="224"/>
        <v/>
      </c>
      <c r="T828" s="4" t="str">
        <f t="shared" si="225"/>
        <v/>
      </c>
      <c r="U828">
        <f>IF(VLOOKUP(C828,'QA Table'!$Y$5:$Y$20,1,TRUE)=C828,1,0)</f>
        <v>0</v>
      </c>
      <c r="V828" t="str">
        <f t="shared" si="226"/>
        <v/>
      </c>
      <c r="W828" t="str">
        <f t="shared" si="227"/>
        <v/>
      </c>
      <c r="X828">
        <f t="shared" si="228"/>
        <v>3</v>
      </c>
      <c r="Y828">
        <f t="shared" si="229"/>
        <v>0</v>
      </c>
      <c r="AA828">
        <f t="shared" si="230"/>
        <v>1</v>
      </c>
    </row>
    <row r="829" spans="1:27" x14ac:dyDescent="0.2">
      <c r="A829" t="s">
        <v>23</v>
      </c>
      <c r="B829" t="s">
        <v>89</v>
      </c>
      <c r="C829" t="s">
        <v>1967</v>
      </c>
      <c r="D829" t="s">
        <v>5</v>
      </c>
      <c r="E829" t="s">
        <v>3</v>
      </c>
      <c r="F829" t="s">
        <v>1962</v>
      </c>
      <c r="G829" t="s">
        <v>1783</v>
      </c>
      <c r="H829" s="4">
        <f t="shared" si="214"/>
        <v>1</v>
      </c>
      <c r="I829" s="4" t="str">
        <f>IF(RIGHT(B829,1)="M",IF(AND(H829=1,E829="RFS",D829=INDEX('Station Depth Averages'!$A$3:$B$84,MATCH(B829,'Station Depth Averages'!$A$3:$A$84,0),2)),1,""),IF(AND(H829=1,OR(D829="SYN",D829="SRF",D829="MID")),1,IF(AND(H829=1,OR(E830="FDn",E830="LDn")),1,IF(AND(H829=1,OR(E829="FDn",E829="LDn")),1,""))))</f>
        <v/>
      </c>
      <c r="J829" s="4">
        <f t="shared" si="215"/>
        <v>1</v>
      </c>
      <c r="K829" s="4" t="str">
        <f t="shared" si="216"/>
        <v/>
      </c>
      <c r="L829" s="4" t="str">
        <f t="shared" si="217"/>
        <v/>
      </c>
      <c r="M829" s="4" t="str">
        <f t="shared" si="218"/>
        <v/>
      </c>
      <c r="N829" s="4" t="str">
        <f t="shared" si="219"/>
        <v/>
      </c>
      <c r="O829" s="4" t="str">
        <f t="shared" si="220"/>
        <v/>
      </c>
      <c r="P829" s="4" t="str">
        <f t="shared" si="221"/>
        <v/>
      </c>
      <c r="Q829" s="4" t="str">
        <f t="shared" si="222"/>
        <v/>
      </c>
      <c r="R829" s="4" t="str">
        <f t="shared" si="223"/>
        <v/>
      </c>
      <c r="S829" s="4" t="str">
        <f t="shared" si="224"/>
        <v/>
      </c>
      <c r="T829" s="4" t="str">
        <f t="shared" si="225"/>
        <v/>
      </c>
      <c r="U829">
        <f>IF(VLOOKUP(C829,'QA Table'!$Y$5:$Y$20,1,TRUE)=C829,1,0)</f>
        <v>0</v>
      </c>
      <c r="V829" t="str">
        <f t="shared" si="226"/>
        <v/>
      </c>
      <c r="W829" t="str">
        <f t="shared" si="227"/>
        <v/>
      </c>
      <c r="X829">
        <f t="shared" si="228"/>
        <v>3</v>
      </c>
      <c r="Y829">
        <f t="shared" si="229"/>
        <v>0</v>
      </c>
      <c r="AA829">
        <f t="shared" si="230"/>
        <v>1</v>
      </c>
    </row>
    <row r="830" spans="1:27" x14ac:dyDescent="0.2">
      <c r="A830" t="s">
        <v>23</v>
      </c>
      <c r="B830" t="s">
        <v>89</v>
      </c>
      <c r="C830" t="s">
        <v>1968</v>
      </c>
      <c r="D830" t="s">
        <v>6</v>
      </c>
      <c r="E830" t="s">
        <v>3</v>
      </c>
      <c r="F830" t="s">
        <v>1962</v>
      </c>
      <c r="G830" t="s">
        <v>1783</v>
      </c>
      <c r="H830" s="4">
        <f t="shared" si="214"/>
        <v>1</v>
      </c>
      <c r="I830" s="4" t="str">
        <f>IF(RIGHT(B830,1)="M",IF(AND(H830=1,E830="RFS",D830=INDEX('Station Depth Averages'!$A$3:$B$84,MATCH(B830,'Station Depth Averages'!$A$3:$A$84,0),2)),1,""),IF(AND(H830=1,OR(D830="SYN",D830="SRF",D830="MID")),1,IF(AND(H830=1,OR(E831="FDn",E831="LDn")),1,IF(AND(H830=1,OR(E830="FDn",E830="LDn")),1,""))))</f>
        <v/>
      </c>
      <c r="J830" s="4">
        <f t="shared" si="215"/>
        <v>1</v>
      </c>
      <c r="K830" s="4" t="str">
        <f t="shared" si="216"/>
        <v/>
      </c>
      <c r="L830" s="4" t="str">
        <f t="shared" si="217"/>
        <v/>
      </c>
      <c r="M830" s="4" t="str">
        <f t="shared" si="218"/>
        <v/>
      </c>
      <c r="N830" s="4" t="str">
        <f t="shared" si="219"/>
        <v/>
      </c>
      <c r="O830" s="4" t="str">
        <f t="shared" si="220"/>
        <v/>
      </c>
      <c r="P830" s="4" t="str">
        <f t="shared" si="221"/>
        <v/>
      </c>
      <c r="Q830" s="4" t="str">
        <f t="shared" si="222"/>
        <v/>
      </c>
      <c r="R830" s="4" t="str">
        <f t="shared" si="223"/>
        <v/>
      </c>
      <c r="S830" s="4" t="str">
        <f t="shared" si="224"/>
        <v/>
      </c>
      <c r="T830" s="4" t="str">
        <f t="shared" si="225"/>
        <v/>
      </c>
      <c r="U830">
        <f>IF(VLOOKUP(C830,'QA Table'!$Y$5:$Y$20,1,TRUE)=C830,1,0)</f>
        <v>0</v>
      </c>
      <c r="V830" t="str">
        <f t="shared" si="226"/>
        <v/>
      </c>
      <c r="W830" t="str">
        <f t="shared" si="227"/>
        <v/>
      </c>
      <c r="X830">
        <f t="shared" si="228"/>
        <v>3</v>
      </c>
      <c r="Y830">
        <f t="shared" si="229"/>
        <v>0</v>
      </c>
      <c r="AA830">
        <f t="shared" si="230"/>
        <v>1</v>
      </c>
    </row>
    <row r="831" spans="1:27" x14ac:dyDescent="0.2">
      <c r="A831" t="s">
        <v>23</v>
      </c>
      <c r="B831" t="s">
        <v>89</v>
      </c>
      <c r="C831" t="s">
        <v>1969</v>
      </c>
      <c r="D831" t="s">
        <v>8</v>
      </c>
      <c r="E831" t="s">
        <v>3</v>
      </c>
      <c r="F831" t="s">
        <v>1962</v>
      </c>
      <c r="G831" t="s">
        <v>1783</v>
      </c>
      <c r="H831" s="4">
        <f t="shared" si="214"/>
        <v>1</v>
      </c>
      <c r="I831" s="4" t="str">
        <f>IF(RIGHT(B831,1)="M",IF(AND(H831=1,E831="RFS",D831=INDEX('Station Depth Averages'!$A$3:$B$84,MATCH(B831,'Station Depth Averages'!$A$3:$A$84,0),2)),1,""),IF(AND(H831=1,OR(D831="SYN",D831="SRF",D831="MID")),1,IF(AND(H831=1,OR(E832="FDn",E832="LDn")),1,IF(AND(H831=1,OR(E831="FDn",E831="LDn")),1,""))))</f>
        <v/>
      </c>
      <c r="J831" s="4" t="str">
        <f t="shared" si="215"/>
        <v/>
      </c>
      <c r="K831" s="4">
        <f t="shared" si="216"/>
        <v>1</v>
      </c>
      <c r="L831" s="4" t="str">
        <f t="shared" si="217"/>
        <v/>
      </c>
      <c r="M831" s="4" t="str">
        <f t="shared" si="218"/>
        <v/>
      </c>
      <c r="N831" s="4" t="str">
        <f t="shared" si="219"/>
        <v/>
      </c>
      <c r="O831" s="4" t="str">
        <f t="shared" si="220"/>
        <v/>
      </c>
      <c r="P831" s="4" t="str">
        <f t="shared" si="221"/>
        <v/>
      </c>
      <c r="Q831" s="4">
        <f t="shared" si="222"/>
        <v>2</v>
      </c>
      <c r="R831" s="4" t="str">
        <f t="shared" si="223"/>
        <v/>
      </c>
      <c r="S831" s="4" t="str">
        <f t="shared" si="224"/>
        <v/>
      </c>
      <c r="T831" s="4" t="str">
        <f t="shared" si="225"/>
        <v/>
      </c>
      <c r="U831">
        <f>IF(VLOOKUP(C831,'QA Table'!$Y$5:$Y$20,1,TRUE)=C831,1,0)</f>
        <v>0</v>
      </c>
      <c r="V831" t="str">
        <f t="shared" si="226"/>
        <v/>
      </c>
      <c r="W831" t="str">
        <f t="shared" si="227"/>
        <v/>
      </c>
      <c r="X831">
        <f t="shared" si="228"/>
        <v>3</v>
      </c>
      <c r="Y831">
        <f t="shared" si="229"/>
        <v>0</v>
      </c>
      <c r="AA831">
        <f t="shared" si="230"/>
        <v>1</v>
      </c>
    </row>
    <row r="832" spans="1:27" x14ac:dyDescent="0.2">
      <c r="A832" t="s">
        <v>23</v>
      </c>
      <c r="B832" t="s">
        <v>89</v>
      </c>
      <c r="C832" t="s">
        <v>1970</v>
      </c>
      <c r="D832" t="s">
        <v>9</v>
      </c>
      <c r="E832" t="s">
        <v>3</v>
      </c>
      <c r="F832" t="s">
        <v>1962</v>
      </c>
      <c r="G832" t="s">
        <v>1783</v>
      </c>
      <c r="H832" s="4" t="str">
        <f t="shared" si="214"/>
        <v/>
      </c>
      <c r="I832" s="4" t="str">
        <f>IF(RIGHT(B832,1)="M",IF(AND(H832=1,E832="RFS",D832=INDEX('Station Depth Averages'!$A$3:$B$84,MATCH(B832,'Station Depth Averages'!$A$3:$A$84,0),2)),1,""),IF(AND(H832=1,OR(D832="SYN",D832="SRF",D832="MID")),1,IF(AND(H832=1,OR(E833="FDn",E833="LDn")),1,IF(AND(H832=1,OR(E832="FDn",E832="LDn")),1,""))))</f>
        <v/>
      </c>
      <c r="J832" s="4" t="str">
        <f t="shared" si="215"/>
        <v/>
      </c>
      <c r="K832" s="4" t="str">
        <f t="shared" si="216"/>
        <v/>
      </c>
      <c r="L832" s="4" t="str">
        <f t="shared" si="217"/>
        <v/>
      </c>
      <c r="M832" s="4" t="str">
        <f t="shared" si="218"/>
        <v/>
      </c>
      <c r="N832" s="4" t="str">
        <f t="shared" si="219"/>
        <v/>
      </c>
      <c r="O832" s="4" t="str">
        <f t="shared" si="220"/>
        <v/>
      </c>
      <c r="P832" s="4" t="str">
        <f t="shared" si="221"/>
        <v/>
      </c>
      <c r="Q832" s="4" t="str">
        <f t="shared" si="222"/>
        <v/>
      </c>
      <c r="R832" s="4" t="str">
        <f t="shared" si="223"/>
        <v/>
      </c>
      <c r="S832" s="4" t="str">
        <f t="shared" si="224"/>
        <v/>
      </c>
      <c r="T832" s="4">
        <f t="shared" si="225"/>
        <v>2</v>
      </c>
      <c r="U832">
        <f>IF(VLOOKUP(C832,'QA Table'!$Y$5:$Y$20,1,TRUE)=C832,1,0)</f>
        <v>0</v>
      </c>
      <c r="V832" t="str">
        <f t="shared" si="226"/>
        <v/>
      </c>
      <c r="W832" t="str">
        <f t="shared" si="227"/>
        <v/>
      </c>
      <c r="X832" t="str">
        <f t="shared" si="228"/>
        <v/>
      </c>
      <c r="Y832">
        <f t="shared" si="229"/>
        <v>0</v>
      </c>
      <c r="AA832" t="str">
        <f t="shared" si="230"/>
        <v/>
      </c>
    </row>
    <row r="833" spans="1:27" x14ac:dyDescent="0.2">
      <c r="A833" t="s">
        <v>23</v>
      </c>
      <c r="B833" t="s">
        <v>89</v>
      </c>
      <c r="C833" t="s">
        <v>1971</v>
      </c>
      <c r="D833" t="s">
        <v>10</v>
      </c>
      <c r="E833" t="s">
        <v>3</v>
      </c>
      <c r="F833" t="s">
        <v>1962</v>
      </c>
      <c r="G833" t="s">
        <v>1783</v>
      </c>
      <c r="H833" s="4" t="str">
        <f t="shared" si="214"/>
        <v/>
      </c>
      <c r="I833" s="4" t="str">
        <f>IF(RIGHT(B833,1)="M",IF(AND(H833=1,E833="RFS",D833=INDEX('Station Depth Averages'!$A$3:$B$84,MATCH(B833,'Station Depth Averages'!$A$3:$A$84,0),2)),1,""),IF(AND(H833=1,OR(D833="SYN",D833="SRF",D833="MID")),1,IF(AND(H833=1,OR(E834="FDn",E834="LDn")),1,IF(AND(H833=1,OR(E833="FDn",E833="LDn")),1,""))))</f>
        <v/>
      </c>
      <c r="J833" s="4" t="str">
        <f t="shared" si="215"/>
        <v/>
      </c>
      <c r="K833" s="4" t="str">
        <f t="shared" si="216"/>
        <v/>
      </c>
      <c r="L833" s="4" t="str">
        <f t="shared" si="217"/>
        <v/>
      </c>
      <c r="M833" s="4" t="str">
        <f t="shared" si="218"/>
        <v/>
      </c>
      <c r="N833" s="4" t="str">
        <f t="shared" si="219"/>
        <v/>
      </c>
      <c r="O833" s="4" t="str">
        <f t="shared" si="220"/>
        <v/>
      </c>
      <c r="P833" s="4" t="str">
        <f t="shared" si="221"/>
        <v/>
      </c>
      <c r="Q833" s="4" t="str">
        <f t="shared" si="222"/>
        <v/>
      </c>
      <c r="R833" s="4" t="str">
        <f t="shared" si="223"/>
        <v/>
      </c>
      <c r="S833" s="4" t="str">
        <f t="shared" si="224"/>
        <v/>
      </c>
      <c r="T833" s="4">
        <f t="shared" si="225"/>
        <v>2</v>
      </c>
      <c r="U833">
        <f>IF(VLOOKUP(C833,'QA Table'!$Y$5:$Y$20,1,TRUE)=C833,1,0)</f>
        <v>0</v>
      </c>
      <c r="V833" t="str">
        <f t="shared" si="226"/>
        <v/>
      </c>
      <c r="W833" t="str">
        <f t="shared" si="227"/>
        <v/>
      </c>
      <c r="X833" t="str">
        <f t="shared" si="228"/>
        <v/>
      </c>
      <c r="Y833">
        <f t="shared" si="229"/>
        <v>0</v>
      </c>
      <c r="AA833" t="str">
        <f t="shared" si="230"/>
        <v/>
      </c>
    </row>
    <row r="834" spans="1:27" x14ac:dyDescent="0.2">
      <c r="A834" t="s">
        <v>23</v>
      </c>
      <c r="B834" t="s">
        <v>89</v>
      </c>
      <c r="C834" t="s">
        <v>1972</v>
      </c>
      <c r="D834" t="s">
        <v>1034</v>
      </c>
      <c r="E834" t="s">
        <v>3</v>
      </c>
      <c r="F834" t="s">
        <v>1962</v>
      </c>
      <c r="G834" t="s">
        <v>1783</v>
      </c>
      <c r="H834" s="4" t="str">
        <f t="shared" si="214"/>
        <v/>
      </c>
      <c r="I834" s="4" t="str">
        <f>IF(RIGHT(B834,1)="M",IF(AND(H834=1,E834="RFS",D834=INDEX('Station Depth Averages'!$A$3:$B$84,MATCH(B834,'Station Depth Averages'!$A$3:$A$84,0),2)),1,""),IF(AND(H834=1,OR(D834="SYN",D834="SRF",D834="MID")),1,IF(AND(H834=1,OR(E835="FDn",E835="LDn")),1,IF(AND(H834=1,OR(E834="FDn",E834="LDn")),1,""))))</f>
        <v/>
      </c>
      <c r="J834" s="4" t="str">
        <f t="shared" si="215"/>
        <v/>
      </c>
      <c r="K834" s="4" t="str">
        <f t="shared" si="216"/>
        <v/>
      </c>
      <c r="L834" s="4" t="str">
        <f t="shared" si="217"/>
        <v/>
      </c>
      <c r="M834" s="4" t="str">
        <f t="shared" si="218"/>
        <v/>
      </c>
      <c r="N834" s="4" t="str">
        <f t="shared" si="219"/>
        <v/>
      </c>
      <c r="O834" s="4" t="str">
        <f t="shared" si="220"/>
        <v/>
      </c>
      <c r="P834" s="4" t="str">
        <f t="shared" si="221"/>
        <v/>
      </c>
      <c r="Q834" s="4" t="str">
        <f t="shared" si="222"/>
        <v/>
      </c>
      <c r="R834" s="4" t="str">
        <f t="shared" si="223"/>
        <v/>
      </c>
      <c r="S834" s="4">
        <f t="shared" si="224"/>
        <v>1</v>
      </c>
      <c r="T834" s="4" t="str">
        <f t="shared" si="225"/>
        <v/>
      </c>
      <c r="U834">
        <f>IF(VLOOKUP(C834,'QA Table'!$Y$5:$Y$20,1,TRUE)=C834,1,0)</f>
        <v>0</v>
      </c>
      <c r="V834" t="str">
        <f t="shared" si="226"/>
        <v/>
      </c>
      <c r="W834" t="str">
        <f t="shared" si="227"/>
        <v/>
      </c>
      <c r="X834" t="str">
        <f t="shared" si="228"/>
        <v/>
      </c>
      <c r="Y834">
        <f t="shared" si="229"/>
        <v>0</v>
      </c>
      <c r="AA834" t="str">
        <f t="shared" si="230"/>
        <v/>
      </c>
    </row>
    <row r="835" spans="1:27" x14ac:dyDescent="0.2">
      <c r="A835" t="s">
        <v>23</v>
      </c>
      <c r="B835" t="s">
        <v>89</v>
      </c>
      <c r="C835" t="s">
        <v>1973</v>
      </c>
      <c r="D835" t="s">
        <v>1034</v>
      </c>
      <c r="E835" t="s">
        <v>19</v>
      </c>
      <c r="F835" t="s">
        <v>1962</v>
      </c>
      <c r="G835" t="s">
        <v>1783</v>
      </c>
      <c r="H835" s="4" t="str">
        <f t="shared" si="214"/>
        <v/>
      </c>
      <c r="I835" s="4" t="str">
        <f>IF(RIGHT(B835,1)="M",IF(AND(H835=1,E835="RFS",D835=INDEX('Station Depth Averages'!$A$3:$B$84,MATCH(B835,'Station Depth Averages'!$A$3:$A$84,0),2)),1,""),IF(AND(H835=1,OR(D835="SYN",D835="SRF",D835="MID")),1,IF(AND(H835=1,OR(E836="FDn",E836="LDn")),1,IF(AND(H835=1,OR(E835="FDn",E835="LDn")),1,""))))</f>
        <v/>
      </c>
      <c r="J835" s="4" t="str">
        <f t="shared" si="215"/>
        <v/>
      </c>
      <c r="K835" s="4" t="str">
        <f t="shared" si="216"/>
        <v/>
      </c>
      <c r="L835" s="4" t="str">
        <f t="shared" si="217"/>
        <v/>
      </c>
      <c r="M835" s="4" t="str">
        <f t="shared" si="218"/>
        <v/>
      </c>
      <c r="N835" s="4" t="str">
        <f t="shared" si="219"/>
        <v/>
      </c>
      <c r="O835" s="4" t="str">
        <f t="shared" si="220"/>
        <v/>
      </c>
      <c r="P835" s="4" t="str">
        <f t="shared" si="221"/>
        <v/>
      </c>
      <c r="Q835" s="4" t="str">
        <f t="shared" si="222"/>
        <v/>
      </c>
      <c r="R835" s="4" t="str">
        <f t="shared" si="223"/>
        <v/>
      </c>
      <c r="S835" s="4">
        <f t="shared" si="224"/>
        <v>1</v>
      </c>
      <c r="T835" s="4" t="str">
        <f t="shared" si="225"/>
        <v/>
      </c>
      <c r="U835">
        <f>IF(VLOOKUP(C835,'QA Table'!$Y$5:$Y$20,1,TRUE)=C835,1,0)</f>
        <v>0</v>
      </c>
      <c r="V835" t="str">
        <f t="shared" si="226"/>
        <v/>
      </c>
      <c r="W835" t="str">
        <f t="shared" si="227"/>
        <v/>
      </c>
      <c r="X835" t="str">
        <f t="shared" si="228"/>
        <v/>
      </c>
      <c r="Y835">
        <f t="shared" si="229"/>
        <v>0</v>
      </c>
      <c r="AA835" t="str">
        <f t="shared" si="230"/>
        <v/>
      </c>
    </row>
    <row r="836" spans="1:27" x14ac:dyDescent="0.2">
      <c r="A836" t="s">
        <v>61</v>
      </c>
      <c r="B836" t="s">
        <v>90</v>
      </c>
      <c r="C836" t="s">
        <v>1974</v>
      </c>
      <c r="D836" t="s">
        <v>14</v>
      </c>
      <c r="E836" t="s">
        <v>15</v>
      </c>
      <c r="F836" t="s">
        <v>1975</v>
      </c>
      <c r="G836" t="s">
        <v>1783</v>
      </c>
      <c r="H836" s="4">
        <f t="shared" si="214"/>
        <v>1</v>
      </c>
      <c r="I836" s="4">
        <f>IF(RIGHT(B836,1)="M",IF(AND(H836=1,E836="RFS",D836=INDEX('Station Depth Averages'!$A$3:$B$84,MATCH(B836,'Station Depth Averages'!$A$3:$A$84,0),2)),1,""),IF(AND(H836=1,OR(D836="SYN",D836="SRF",D836="MID")),1,IF(AND(H836=1,OR(E837="FDn",E837="LDn")),1,IF(AND(H836=1,OR(E836="FDn",E836="LDn")),1,""))))</f>
        <v>1</v>
      </c>
      <c r="J836" s="4">
        <f t="shared" si="215"/>
        <v>1</v>
      </c>
      <c r="K836" s="4" t="str">
        <f t="shared" si="216"/>
        <v/>
      </c>
      <c r="L836" s="4" t="str">
        <f t="shared" si="217"/>
        <v/>
      </c>
      <c r="M836" s="4" t="str">
        <f t="shared" si="218"/>
        <v/>
      </c>
      <c r="N836" s="4" t="str">
        <f t="shared" si="219"/>
        <v/>
      </c>
      <c r="O836" s="4" t="str">
        <f t="shared" si="220"/>
        <v/>
      </c>
      <c r="P836" s="4" t="str">
        <f t="shared" si="221"/>
        <v/>
      </c>
      <c r="Q836" s="4" t="str">
        <f t="shared" si="222"/>
        <v/>
      </c>
      <c r="R836" s="4" t="str">
        <f t="shared" si="223"/>
        <v/>
      </c>
      <c r="S836" s="4" t="str">
        <f t="shared" si="224"/>
        <v/>
      </c>
      <c r="T836" s="4" t="str">
        <f t="shared" si="225"/>
        <v/>
      </c>
      <c r="U836">
        <f>IF(VLOOKUP(C836,'QA Table'!$Y$5:$Y$20,1,TRUE)=C836,1,0)</f>
        <v>0</v>
      </c>
      <c r="V836" t="str">
        <f t="shared" si="226"/>
        <v/>
      </c>
      <c r="W836" t="str">
        <f t="shared" si="227"/>
        <v/>
      </c>
      <c r="X836">
        <f t="shared" si="228"/>
        <v>3</v>
      </c>
      <c r="Y836">
        <f t="shared" si="229"/>
        <v>0</v>
      </c>
      <c r="AA836">
        <f t="shared" si="230"/>
        <v>1</v>
      </c>
    </row>
    <row r="837" spans="1:27" x14ac:dyDescent="0.2">
      <c r="A837" t="s">
        <v>61</v>
      </c>
      <c r="B837" t="s">
        <v>90</v>
      </c>
      <c r="C837" t="s">
        <v>1125</v>
      </c>
      <c r="D837" t="s">
        <v>2</v>
      </c>
      <c r="E837" t="s">
        <v>3</v>
      </c>
      <c r="F837" t="s">
        <v>1975</v>
      </c>
      <c r="G837" t="s">
        <v>1783</v>
      </c>
      <c r="H837" s="4">
        <f t="shared" si="214"/>
        <v>1</v>
      </c>
      <c r="I837" s="4">
        <f>IF(RIGHT(B837,1)="M",IF(AND(H837=1,E837="RFS",D837=INDEX('Station Depth Averages'!$A$3:$B$84,MATCH(B837,'Station Depth Averages'!$A$3:$A$84,0),2)),1,""),IF(AND(H837=1,OR(D837="SYN",D837="SRF",D837="MID")),1,IF(AND(H837=1,OR(E838="FDn",E838="LDn")),1,IF(AND(H837=1,OR(E837="FDn",E837="LDn")),1,""))))</f>
        <v>1</v>
      </c>
      <c r="J837" s="4">
        <f t="shared" si="215"/>
        <v>1</v>
      </c>
      <c r="K837" s="4" t="str">
        <f t="shared" si="216"/>
        <v/>
      </c>
      <c r="L837" s="4" t="str">
        <f t="shared" si="217"/>
        <v/>
      </c>
      <c r="M837" s="4" t="str">
        <f t="shared" si="218"/>
        <v/>
      </c>
      <c r="N837" s="4" t="str">
        <f t="shared" si="219"/>
        <v/>
      </c>
      <c r="O837" s="4" t="str">
        <f t="shared" si="220"/>
        <v/>
      </c>
      <c r="P837" s="4" t="str">
        <f t="shared" si="221"/>
        <v/>
      </c>
      <c r="Q837" s="4" t="str">
        <f t="shared" si="222"/>
        <v/>
      </c>
      <c r="R837" s="4" t="str">
        <f t="shared" si="223"/>
        <v/>
      </c>
      <c r="S837" s="4" t="str">
        <f t="shared" si="224"/>
        <v/>
      </c>
      <c r="T837" s="4" t="str">
        <f t="shared" si="225"/>
        <v/>
      </c>
      <c r="U837">
        <f>IF(VLOOKUP(C837,'QA Table'!$Y$5:$Y$20,1,TRUE)=C837,1,0)</f>
        <v>0</v>
      </c>
      <c r="V837" t="str">
        <f t="shared" si="226"/>
        <v/>
      </c>
      <c r="W837" t="str">
        <f t="shared" si="227"/>
        <v/>
      </c>
      <c r="X837">
        <f t="shared" si="228"/>
        <v>3</v>
      </c>
      <c r="Y837">
        <f t="shared" si="229"/>
        <v>0</v>
      </c>
      <c r="AA837">
        <f t="shared" si="230"/>
        <v>1</v>
      </c>
    </row>
    <row r="838" spans="1:27" x14ac:dyDescent="0.2">
      <c r="A838" t="s">
        <v>61</v>
      </c>
      <c r="B838" t="s">
        <v>90</v>
      </c>
      <c r="C838" t="s">
        <v>1976</v>
      </c>
      <c r="D838" t="s">
        <v>1050</v>
      </c>
      <c r="E838" t="s">
        <v>3</v>
      </c>
      <c r="F838" t="s">
        <v>1975</v>
      </c>
      <c r="G838" t="s">
        <v>1783</v>
      </c>
      <c r="H838" s="4" t="str">
        <f t="shared" si="214"/>
        <v/>
      </c>
      <c r="I838" s="4" t="str">
        <f>IF(RIGHT(B838,1)="M",IF(AND(H838=1,E838="RFS",D838=INDEX('Station Depth Averages'!$A$3:$B$84,MATCH(B838,'Station Depth Averages'!$A$3:$A$84,0),2)),1,""),IF(AND(H838=1,OR(D838="SYN",D838="SRF",D838="MID")),1,IF(AND(H838=1,OR(E839="FDn",E839="LDn")),1,IF(AND(H838=1,OR(E838="FDn",E838="LDn")),1,""))))</f>
        <v/>
      </c>
      <c r="J838" s="4" t="str">
        <f t="shared" si="215"/>
        <v/>
      </c>
      <c r="K838" s="4" t="str">
        <f t="shared" si="216"/>
        <v/>
      </c>
      <c r="L838" s="4" t="str">
        <f t="shared" si="217"/>
        <v/>
      </c>
      <c r="M838" s="4" t="str">
        <f t="shared" si="218"/>
        <v/>
      </c>
      <c r="N838" s="4" t="str">
        <f t="shared" si="219"/>
        <v/>
      </c>
      <c r="O838" s="4" t="str">
        <f t="shared" si="220"/>
        <v/>
      </c>
      <c r="P838" s="4" t="str">
        <f t="shared" si="221"/>
        <v/>
      </c>
      <c r="Q838" s="4" t="str">
        <f t="shared" si="222"/>
        <v/>
      </c>
      <c r="R838" s="4" t="str">
        <f t="shared" si="223"/>
        <v/>
      </c>
      <c r="S838" s="4" t="str">
        <f t="shared" si="224"/>
        <v/>
      </c>
      <c r="T838" s="4" t="str">
        <f t="shared" si="225"/>
        <v/>
      </c>
      <c r="U838">
        <f>IF(VLOOKUP(C838,'QA Table'!$Y$5:$Y$20,1,TRUE)=C838,1,0)</f>
        <v>0</v>
      </c>
      <c r="V838" t="str">
        <f t="shared" si="226"/>
        <v/>
      </c>
      <c r="W838" t="str">
        <f t="shared" si="227"/>
        <v/>
      </c>
      <c r="X838" t="str">
        <f t="shared" si="228"/>
        <v/>
      </c>
      <c r="Y838">
        <f t="shared" si="229"/>
        <v>0</v>
      </c>
      <c r="AA838" t="str">
        <f t="shared" si="230"/>
        <v/>
      </c>
    </row>
    <row r="839" spans="1:27" x14ac:dyDescent="0.2">
      <c r="A839" t="s">
        <v>61</v>
      </c>
      <c r="B839" t="s">
        <v>90</v>
      </c>
      <c r="C839" t="s">
        <v>1977</v>
      </c>
      <c r="D839" t="s">
        <v>4</v>
      </c>
      <c r="E839" t="s">
        <v>3</v>
      </c>
      <c r="F839" t="s">
        <v>1975</v>
      </c>
      <c r="G839" t="s">
        <v>1783</v>
      </c>
      <c r="H839" s="4" t="str">
        <f t="shared" ref="H839:H902" si="231">IF(OR(RIGHT(C839,1)="A",RIGHT(C839,1)="B",RIGHT(C839,1)="C",D839="Benthos",D839="Sediment",D839="Sediments",D839="D100",D839="D20",D839="Mysis",E839="FD1",E839="LD1"),"",1)</f>
        <v/>
      </c>
      <c r="I839" s="4" t="str">
        <f>IF(RIGHT(B839,1)="M",IF(AND(H839=1,E839="RFS",D839=INDEX('Station Depth Averages'!$A$3:$B$84,MATCH(B839,'Station Depth Averages'!$A$3:$A$84,0),2)),1,""),IF(AND(H839=1,OR(D839="SYN",D839="SRF",D839="MID")),1,IF(AND(H839=1,OR(E840="FDn",E840="LDn")),1,IF(AND(H839=1,OR(E839="FDn",E839="LDn")),1,""))))</f>
        <v/>
      </c>
      <c r="J839" s="4" t="str">
        <f t="shared" ref="J839:J902" si="232">IF(OR(D839="INT",D839="Benthos",D839="D100",D839="D20",E839="LDn",D839="mysis",D839="sediment",D839="sediments",OR(RIGHT(C839,1)="A",RIGHT(C839,1)="B",RIGHT(C839,1)="C",E839="FD1",E839="LD1")),"",1)</f>
        <v/>
      </c>
      <c r="K839" s="4" t="str">
        <f t="shared" ref="K839:K902" si="233">IF(D839="INT",1,"")</f>
        <v/>
      </c>
      <c r="L839" s="4" t="str">
        <f t="shared" ref="L839:L902" si="234">IF(AND(LEFT(B839,1)="E",A839&lt;&gt;"E",RIGHT(B839,1)="M"),IF(AND(A839="w",D839="MID",E839="RFS"),1,IF(AND(A839="C",D839="5M",E839="RFS"),1,"")),IF(AND(RIGHT(B839,1)="M",D839="10M",E839="RFS"),1,""))</f>
        <v/>
      </c>
      <c r="M839" s="4" t="str">
        <f t="shared" ref="M839:M902" si="235">IF(L839=1,1,"")</f>
        <v/>
      </c>
      <c r="N839" s="4" t="str">
        <f t="shared" ref="N839:N902" si="236">IF(M839=1,1,"")</f>
        <v/>
      </c>
      <c r="O839" s="4" t="str">
        <f t="shared" ref="O839:O902" si="237">IF(N839=1,1,"")</f>
        <v/>
      </c>
      <c r="P839" s="4" t="str">
        <f t="shared" ref="P839:P902" si="238">IF(O839=1,1,"")</f>
        <v/>
      </c>
      <c r="Q839" s="4" t="str">
        <f t="shared" ref="Q839:Q902" si="239">IF(AND(OR(D839="INT",D839="DCL"),OR(LEFT(B839,2)="SU",LEFT(B839,2)="HU",LEFT(B839,2)="MI",LEFT(B839,2)="CS",LEFT(B839,2)="ON")),2,IF(AND(OR(D839="INT",D839="DCL"),LEFT(B839,2)="ER"),1,""))</f>
        <v/>
      </c>
      <c r="R839" s="4" t="str">
        <f t="shared" ref="R839:R902" si="240">IF(D839="benthos",1,"")</f>
        <v/>
      </c>
      <c r="S839" s="4" t="str">
        <f t="shared" ref="S839:S902" si="241">IF(D839="mysis",1,"")</f>
        <v/>
      </c>
      <c r="T839" s="4" t="str">
        <f t="shared" ref="T839:T902" si="242">IF(AND(OR(D839="d20",D839="d100"),LEFT(B839,2)="SU"),2,IF(OR(D839="D20",D839="d100"),1,""))</f>
        <v/>
      </c>
      <c r="U839">
        <f>IF(VLOOKUP(C839,'QA Table'!$Y$5:$Y$20,1,TRUE)=C839,1,0)</f>
        <v>0</v>
      </c>
      <c r="V839" t="str">
        <f t="shared" ref="V839:V902" si="243">IF(AND(D839="Sediment",RIGHT(C839,1)="8"),1,"")</f>
        <v/>
      </c>
      <c r="W839" t="str">
        <f t="shared" ref="W839:W902" si="244">IF(AND(D839="Sediment",RIGHT(C839,1)="9"),1,"")</f>
        <v/>
      </c>
      <c r="X839" t="str">
        <f t="shared" ref="X839:X902" si="245">IF(AND(H839=1,OR(LEFT(B839,1)="M",LEFT(B839,1)="E",LEFT(B839,1)="O",LEFT(B839,1)="C")),4,IF(AND(H839=1,OR(LEFT(B839,1)="H",LEFT(B839,1)="S")),3,""))</f>
        <v/>
      </c>
      <c r="Y839">
        <f t="shared" ref="Y839:Y902" si="246">IF(U839=1,1,IF(AND(E839="LD1",U838=1),1,IF(AND(E839="FD1",U837=1),1,0)))</f>
        <v>0</v>
      </c>
      <c r="AA839" t="str">
        <f t="shared" ref="AA839:AA902" si="247">IF(X839&lt;&gt;"",1,"")</f>
        <v/>
      </c>
    </row>
    <row r="840" spans="1:27" x14ac:dyDescent="0.2">
      <c r="A840" t="s">
        <v>61</v>
      </c>
      <c r="B840" t="s">
        <v>90</v>
      </c>
      <c r="C840" t="s">
        <v>1978</v>
      </c>
      <c r="D840" t="s">
        <v>1051</v>
      </c>
      <c r="E840" t="s">
        <v>3</v>
      </c>
      <c r="F840" t="s">
        <v>1975</v>
      </c>
      <c r="G840" t="s">
        <v>1783</v>
      </c>
      <c r="H840" s="4" t="str">
        <f t="shared" si="231"/>
        <v/>
      </c>
      <c r="I840" s="4" t="str">
        <f>IF(RIGHT(B840,1)="M",IF(AND(H840=1,E840="RFS",D840=INDEX('Station Depth Averages'!$A$3:$B$84,MATCH(B840,'Station Depth Averages'!$A$3:$A$84,0),2)),1,""),IF(AND(H840=1,OR(D840="SYN",D840="SRF",D840="MID")),1,IF(AND(H840=1,OR(E841="FDn",E841="LDn")),1,IF(AND(H840=1,OR(E840="FDn",E840="LDn")),1,""))))</f>
        <v/>
      </c>
      <c r="J840" s="4" t="str">
        <f t="shared" si="232"/>
        <v/>
      </c>
      <c r="K840" s="4" t="str">
        <f t="shared" si="233"/>
        <v/>
      </c>
      <c r="L840" s="4" t="str">
        <f t="shared" si="234"/>
        <v/>
      </c>
      <c r="M840" s="4" t="str">
        <f t="shared" si="235"/>
        <v/>
      </c>
      <c r="N840" s="4" t="str">
        <f t="shared" si="236"/>
        <v/>
      </c>
      <c r="O840" s="4" t="str">
        <f t="shared" si="237"/>
        <v/>
      </c>
      <c r="P840" s="4" t="str">
        <f t="shared" si="238"/>
        <v/>
      </c>
      <c r="Q840" s="4" t="str">
        <f t="shared" si="239"/>
        <v/>
      </c>
      <c r="R840" s="4" t="str">
        <f t="shared" si="240"/>
        <v/>
      </c>
      <c r="S840" s="4" t="str">
        <f t="shared" si="241"/>
        <v/>
      </c>
      <c r="T840" s="4" t="str">
        <f t="shared" si="242"/>
        <v/>
      </c>
      <c r="U840">
        <f>IF(VLOOKUP(C840,'QA Table'!$Y$5:$Y$20,1,TRUE)=C840,1,0)</f>
        <v>0</v>
      </c>
      <c r="V840" t="str">
        <f t="shared" si="243"/>
        <v/>
      </c>
      <c r="W840" t="str">
        <f t="shared" si="244"/>
        <v/>
      </c>
      <c r="X840" t="str">
        <f t="shared" si="245"/>
        <v/>
      </c>
      <c r="Y840">
        <f t="shared" si="246"/>
        <v>0</v>
      </c>
      <c r="AA840" t="str">
        <f t="shared" si="247"/>
        <v/>
      </c>
    </row>
    <row r="841" spans="1:27" x14ac:dyDescent="0.2">
      <c r="A841" t="s">
        <v>61</v>
      </c>
      <c r="B841" t="s">
        <v>90</v>
      </c>
      <c r="C841" t="s">
        <v>1979</v>
      </c>
      <c r="D841" t="s">
        <v>119</v>
      </c>
      <c r="E841" t="s">
        <v>3</v>
      </c>
      <c r="F841" t="s">
        <v>1975</v>
      </c>
      <c r="G841" t="s">
        <v>1783</v>
      </c>
      <c r="H841" s="4">
        <f t="shared" si="231"/>
        <v>1</v>
      </c>
      <c r="I841" s="4">
        <f>IF(RIGHT(B841,1)="M",IF(AND(H841=1,E841="RFS",D841=INDEX('Station Depth Averages'!$A$3:$B$84,MATCH(B841,'Station Depth Averages'!$A$3:$A$84,0),2)),1,""),IF(AND(H841=1,OR(D841="SYN",D841="SRF",D841="MID")),1,IF(AND(H841=1,OR(E842="FDn",E842="LDn")),1,IF(AND(H841=1,OR(E841="FDn",E841="LDn")),1,""))))</f>
        <v>1</v>
      </c>
      <c r="J841" s="4">
        <f t="shared" si="232"/>
        <v>1</v>
      </c>
      <c r="K841" s="4" t="str">
        <f t="shared" si="233"/>
        <v/>
      </c>
      <c r="L841" s="4" t="str">
        <f t="shared" si="234"/>
        <v/>
      </c>
      <c r="M841" s="4" t="str">
        <f t="shared" si="235"/>
        <v/>
      </c>
      <c r="N841" s="4" t="str">
        <f t="shared" si="236"/>
        <v/>
      </c>
      <c r="O841" s="4" t="str">
        <f t="shared" si="237"/>
        <v/>
      </c>
      <c r="P841" s="4" t="str">
        <f t="shared" si="238"/>
        <v/>
      </c>
      <c r="Q841" s="4" t="str">
        <f t="shared" si="239"/>
        <v/>
      </c>
      <c r="R841" s="4" t="str">
        <f t="shared" si="240"/>
        <v/>
      </c>
      <c r="S841" s="4" t="str">
        <f t="shared" si="241"/>
        <v/>
      </c>
      <c r="T841" s="4" t="str">
        <f t="shared" si="242"/>
        <v/>
      </c>
      <c r="U841">
        <f>IF(VLOOKUP(C841,'QA Table'!$Y$5:$Y$20,1,TRUE)=C841,1,0)</f>
        <v>0</v>
      </c>
      <c r="V841" t="str">
        <f t="shared" si="243"/>
        <v/>
      </c>
      <c r="W841" t="str">
        <f t="shared" si="244"/>
        <v/>
      </c>
      <c r="X841">
        <f t="shared" si="245"/>
        <v>3</v>
      </c>
      <c r="Y841">
        <f t="shared" si="246"/>
        <v>0</v>
      </c>
      <c r="AA841">
        <f t="shared" si="247"/>
        <v>1</v>
      </c>
    </row>
    <row r="842" spans="1:27" x14ac:dyDescent="0.2">
      <c r="A842" t="s">
        <v>61</v>
      </c>
      <c r="B842" t="s">
        <v>90</v>
      </c>
      <c r="C842" t="s">
        <v>1980</v>
      </c>
      <c r="D842" t="s">
        <v>5</v>
      </c>
      <c r="E842" t="s">
        <v>3</v>
      </c>
      <c r="F842" t="s">
        <v>1975</v>
      </c>
      <c r="G842" t="s">
        <v>1783</v>
      </c>
      <c r="H842" s="4">
        <f t="shared" si="231"/>
        <v>1</v>
      </c>
      <c r="I842" s="4" t="str">
        <f>IF(RIGHT(B842,1)="M",IF(AND(H842=1,E842="RFS",D842=INDEX('Station Depth Averages'!$A$3:$B$84,MATCH(B842,'Station Depth Averages'!$A$3:$A$84,0),2)),1,""),IF(AND(H842=1,OR(D842="SYN",D842="SRF",D842="MID")),1,IF(AND(H842=1,OR(E843="FDn",E843="LDn")),1,IF(AND(H842=1,OR(E842="FDn",E842="LDn")),1,""))))</f>
        <v/>
      </c>
      <c r="J842" s="4">
        <f t="shared" si="232"/>
        <v>1</v>
      </c>
      <c r="K842" s="4" t="str">
        <f t="shared" si="233"/>
        <v/>
      </c>
      <c r="L842" s="4" t="str">
        <f t="shared" si="234"/>
        <v/>
      </c>
      <c r="M842" s="4" t="str">
        <f t="shared" si="235"/>
        <v/>
      </c>
      <c r="N842" s="4" t="str">
        <f t="shared" si="236"/>
        <v/>
      </c>
      <c r="O842" s="4" t="str">
        <f t="shared" si="237"/>
        <v/>
      </c>
      <c r="P842" s="4" t="str">
        <f t="shared" si="238"/>
        <v/>
      </c>
      <c r="Q842" s="4" t="str">
        <f t="shared" si="239"/>
        <v/>
      </c>
      <c r="R842" s="4" t="str">
        <f t="shared" si="240"/>
        <v/>
      </c>
      <c r="S842" s="4" t="str">
        <f t="shared" si="241"/>
        <v/>
      </c>
      <c r="T842" s="4" t="str">
        <f t="shared" si="242"/>
        <v/>
      </c>
      <c r="U842">
        <f>IF(VLOOKUP(C842,'QA Table'!$Y$5:$Y$20,1,TRUE)=C842,1,0)</f>
        <v>0</v>
      </c>
      <c r="V842" t="str">
        <f t="shared" si="243"/>
        <v/>
      </c>
      <c r="W842" t="str">
        <f t="shared" si="244"/>
        <v/>
      </c>
      <c r="X842">
        <f t="shared" si="245"/>
        <v>3</v>
      </c>
      <c r="Y842">
        <f t="shared" si="246"/>
        <v>0</v>
      </c>
      <c r="AA842">
        <f t="shared" si="247"/>
        <v>1</v>
      </c>
    </row>
    <row r="843" spans="1:27" x14ac:dyDescent="0.2">
      <c r="A843" t="s">
        <v>61</v>
      </c>
      <c r="B843" t="s">
        <v>90</v>
      </c>
      <c r="C843" t="s">
        <v>1981</v>
      </c>
      <c r="D843" t="s">
        <v>6</v>
      </c>
      <c r="E843" t="s">
        <v>3</v>
      </c>
      <c r="F843" t="s">
        <v>1975</v>
      </c>
      <c r="G843" t="s">
        <v>1783</v>
      </c>
      <c r="H843" s="4">
        <f t="shared" si="231"/>
        <v>1</v>
      </c>
      <c r="I843" s="4" t="str">
        <f>IF(RIGHT(B843,1)="M",IF(AND(H843=1,E843="RFS",D843=INDEX('Station Depth Averages'!$A$3:$B$84,MATCH(B843,'Station Depth Averages'!$A$3:$A$84,0),2)),1,""),IF(AND(H843=1,OR(D843="SYN",D843="SRF",D843="MID")),1,IF(AND(H843=1,OR(E844="FDn",E844="LDn")),1,IF(AND(H843=1,OR(E843="FDn",E843="LDn")),1,""))))</f>
        <v/>
      </c>
      <c r="J843" s="4">
        <f t="shared" si="232"/>
        <v>1</v>
      </c>
      <c r="K843" s="4" t="str">
        <f t="shared" si="233"/>
        <v/>
      </c>
      <c r="L843" s="4" t="str">
        <f t="shared" si="234"/>
        <v/>
      </c>
      <c r="M843" s="4" t="str">
        <f t="shared" si="235"/>
        <v/>
      </c>
      <c r="N843" s="4" t="str">
        <f t="shared" si="236"/>
        <v/>
      </c>
      <c r="O843" s="4" t="str">
        <f t="shared" si="237"/>
        <v/>
      </c>
      <c r="P843" s="4" t="str">
        <f t="shared" si="238"/>
        <v/>
      </c>
      <c r="Q843" s="4" t="str">
        <f t="shared" si="239"/>
        <v/>
      </c>
      <c r="R843" s="4" t="str">
        <f t="shared" si="240"/>
        <v/>
      </c>
      <c r="S843" s="4" t="str">
        <f t="shared" si="241"/>
        <v/>
      </c>
      <c r="T843" s="4" t="str">
        <f t="shared" si="242"/>
        <v/>
      </c>
      <c r="U843">
        <f>IF(VLOOKUP(C843,'QA Table'!$Y$5:$Y$20,1,TRUE)=C843,1,0)</f>
        <v>0</v>
      </c>
      <c r="V843" t="str">
        <f t="shared" si="243"/>
        <v/>
      </c>
      <c r="W843" t="str">
        <f t="shared" si="244"/>
        <v/>
      </c>
      <c r="X843">
        <f t="shared" si="245"/>
        <v>3</v>
      </c>
      <c r="Y843">
        <f t="shared" si="246"/>
        <v>0</v>
      </c>
      <c r="AA843">
        <f t="shared" si="247"/>
        <v>1</v>
      </c>
    </row>
    <row r="844" spans="1:27" x14ac:dyDescent="0.2">
      <c r="A844" t="s">
        <v>61</v>
      </c>
      <c r="B844" t="s">
        <v>90</v>
      </c>
      <c r="C844" t="s">
        <v>1982</v>
      </c>
      <c r="D844" t="s">
        <v>8</v>
      </c>
      <c r="E844" t="s">
        <v>3</v>
      </c>
      <c r="F844" t="s">
        <v>1975</v>
      </c>
      <c r="G844" t="s">
        <v>1783</v>
      </c>
      <c r="H844" s="4">
        <f t="shared" si="231"/>
        <v>1</v>
      </c>
      <c r="I844" s="4" t="str">
        <f>IF(RIGHT(B844,1)="M",IF(AND(H844=1,E844="RFS",D844=INDEX('Station Depth Averages'!$A$3:$B$84,MATCH(B844,'Station Depth Averages'!$A$3:$A$84,0),2)),1,""),IF(AND(H844=1,OR(D844="SYN",D844="SRF",D844="MID")),1,IF(AND(H844=1,OR(E845="FDn",E845="LDn")),1,IF(AND(H844=1,OR(E844="FDn",E844="LDn")),1,""))))</f>
        <v/>
      </c>
      <c r="J844" s="4" t="str">
        <f t="shared" si="232"/>
        <v/>
      </c>
      <c r="K844" s="4">
        <f t="shared" si="233"/>
        <v>1</v>
      </c>
      <c r="L844" s="4" t="str">
        <f t="shared" si="234"/>
        <v/>
      </c>
      <c r="M844" s="4" t="str">
        <f t="shared" si="235"/>
        <v/>
      </c>
      <c r="N844" s="4" t="str">
        <f t="shared" si="236"/>
        <v/>
      </c>
      <c r="O844" s="4" t="str">
        <f t="shared" si="237"/>
        <v/>
      </c>
      <c r="P844" s="4" t="str">
        <f t="shared" si="238"/>
        <v/>
      </c>
      <c r="Q844" s="4">
        <f t="shared" si="239"/>
        <v>2</v>
      </c>
      <c r="R844" s="4" t="str">
        <f t="shared" si="240"/>
        <v/>
      </c>
      <c r="S844" s="4" t="str">
        <f t="shared" si="241"/>
        <v/>
      </c>
      <c r="T844" s="4" t="str">
        <f t="shared" si="242"/>
        <v/>
      </c>
      <c r="U844">
        <f>IF(VLOOKUP(C844,'QA Table'!$Y$5:$Y$20,1,TRUE)=C844,1,0)</f>
        <v>0</v>
      </c>
      <c r="V844" t="str">
        <f t="shared" si="243"/>
        <v/>
      </c>
      <c r="W844" t="str">
        <f t="shared" si="244"/>
        <v/>
      </c>
      <c r="X844">
        <f t="shared" si="245"/>
        <v>3</v>
      </c>
      <c r="Y844">
        <f t="shared" si="246"/>
        <v>0</v>
      </c>
      <c r="AA844">
        <f t="shared" si="247"/>
        <v>1</v>
      </c>
    </row>
    <row r="845" spans="1:27" x14ac:dyDescent="0.2">
      <c r="A845" t="s">
        <v>61</v>
      </c>
      <c r="B845" t="s">
        <v>90</v>
      </c>
      <c r="C845" t="s">
        <v>1983</v>
      </c>
      <c r="D845" t="s">
        <v>9</v>
      </c>
      <c r="E845" t="s">
        <v>3</v>
      </c>
      <c r="F845" t="s">
        <v>1975</v>
      </c>
      <c r="G845" t="s">
        <v>1783</v>
      </c>
      <c r="H845" s="4" t="str">
        <f t="shared" si="231"/>
        <v/>
      </c>
      <c r="I845" s="4" t="str">
        <f>IF(RIGHT(B845,1)="M",IF(AND(H845=1,E845="RFS",D845=INDEX('Station Depth Averages'!$A$3:$B$84,MATCH(B845,'Station Depth Averages'!$A$3:$A$84,0),2)),1,""),IF(AND(H845=1,OR(D845="SYN",D845="SRF",D845="MID")),1,IF(AND(H845=1,OR(E846="FDn",E846="LDn")),1,IF(AND(H845=1,OR(E845="FDn",E845="LDn")),1,""))))</f>
        <v/>
      </c>
      <c r="J845" s="4" t="str">
        <f t="shared" si="232"/>
        <v/>
      </c>
      <c r="K845" s="4" t="str">
        <f t="shared" si="233"/>
        <v/>
      </c>
      <c r="L845" s="4" t="str">
        <f t="shared" si="234"/>
        <v/>
      </c>
      <c r="M845" s="4" t="str">
        <f t="shared" si="235"/>
        <v/>
      </c>
      <c r="N845" s="4" t="str">
        <f t="shared" si="236"/>
        <v/>
      </c>
      <c r="O845" s="4" t="str">
        <f t="shared" si="237"/>
        <v/>
      </c>
      <c r="P845" s="4" t="str">
        <f t="shared" si="238"/>
        <v/>
      </c>
      <c r="Q845" s="4" t="str">
        <f t="shared" si="239"/>
        <v/>
      </c>
      <c r="R845" s="4" t="str">
        <f t="shared" si="240"/>
        <v/>
      </c>
      <c r="S845" s="4" t="str">
        <f t="shared" si="241"/>
        <v/>
      </c>
      <c r="T845" s="4">
        <f t="shared" si="242"/>
        <v>2</v>
      </c>
      <c r="U845">
        <f>IF(VLOOKUP(C845,'QA Table'!$Y$5:$Y$20,1,TRUE)=C845,1,0)</f>
        <v>0</v>
      </c>
      <c r="V845" t="str">
        <f t="shared" si="243"/>
        <v/>
      </c>
      <c r="W845" t="str">
        <f t="shared" si="244"/>
        <v/>
      </c>
      <c r="X845" t="str">
        <f t="shared" si="245"/>
        <v/>
      </c>
      <c r="Y845">
        <f t="shared" si="246"/>
        <v>0</v>
      </c>
      <c r="AA845" t="str">
        <f t="shared" si="247"/>
        <v/>
      </c>
    </row>
    <row r="846" spans="1:27" x14ac:dyDescent="0.2">
      <c r="A846" t="s">
        <v>61</v>
      </c>
      <c r="B846" t="s">
        <v>90</v>
      </c>
      <c r="C846" t="s">
        <v>1984</v>
      </c>
      <c r="D846" t="s">
        <v>9</v>
      </c>
      <c r="E846" t="s">
        <v>3</v>
      </c>
      <c r="F846" t="s">
        <v>1975</v>
      </c>
      <c r="G846" t="s">
        <v>1783</v>
      </c>
      <c r="H846" s="4" t="str">
        <f t="shared" si="231"/>
        <v/>
      </c>
      <c r="I846" s="4" t="str">
        <f>IF(RIGHT(B846,1)="M",IF(AND(H846=1,E846="RFS",D846=INDEX('Station Depth Averages'!$A$3:$B$84,MATCH(B846,'Station Depth Averages'!$A$3:$A$84,0),2)),1,""),IF(AND(H846=1,OR(D846="SYN",D846="SRF",D846="MID")),1,IF(AND(H846=1,OR(E847="FDn",E847="LDn")),1,IF(AND(H846=1,OR(E846="FDn",E846="LDn")),1,""))))</f>
        <v/>
      </c>
      <c r="J846" s="4" t="str">
        <f t="shared" si="232"/>
        <v/>
      </c>
      <c r="K846" s="4" t="str">
        <f t="shared" si="233"/>
        <v/>
      </c>
      <c r="L846" s="4" t="str">
        <f t="shared" si="234"/>
        <v/>
      </c>
      <c r="M846" s="4" t="str">
        <f t="shared" si="235"/>
        <v/>
      </c>
      <c r="N846" s="4" t="str">
        <f t="shared" si="236"/>
        <v/>
      </c>
      <c r="O846" s="4" t="str">
        <f t="shared" si="237"/>
        <v/>
      </c>
      <c r="P846" s="4" t="str">
        <f t="shared" si="238"/>
        <v/>
      </c>
      <c r="Q846" s="4" t="str">
        <f t="shared" si="239"/>
        <v/>
      </c>
      <c r="R846" s="4" t="str">
        <f t="shared" si="240"/>
        <v/>
      </c>
      <c r="S846" s="4" t="str">
        <f t="shared" si="241"/>
        <v/>
      </c>
      <c r="T846" s="4">
        <f t="shared" si="242"/>
        <v>2</v>
      </c>
      <c r="U846">
        <f>IF(VLOOKUP(C846,'QA Table'!$Y$5:$Y$20,1,TRUE)=C846,1,0)</f>
        <v>0</v>
      </c>
      <c r="V846" t="str">
        <f t="shared" si="243"/>
        <v/>
      </c>
      <c r="W846" t="str">
        <f t="shared" si="244"/>
        <v/>
      </c>
      <c r="X846" t="str">
        <f t="shared" si="245"/>
        <v/>
      </c>
      <c r="Y846">
        <f t="shared" si="246"/>
        <v>0</v>
      </c>
      <c r="AA846" t="str">
        <f t="shared" si="247"/>
        <v/>
      </c>
    </row>
    <row r="847" spans="1:27" x14ac:dyDescent="0.2">
      <c r="A847" t="s">
        <v>61</v>
      </c>
      <c r="B847" t="s">
        <v>90</v>
      </c>
      <c r="C847" t="s">
        <v>1985</v>
      </c>
      <c r="D847" t="s">
        <v>10</v>
      </c>
      <c r="E847" t="s">
        <v>3</v>
      </c>
      <c r="F847" t="s">
        <v>1975</v>
      </c>
      <c r="G847" t="s">
        <v>1783</v>
      </c>
      <c r="H847" s="4" t="str">
        <f t="shared" si="231"/>
        <v/>
      </c>
      <c r="I847" s="4" t="str">
        <f>IF(RIGHT(B847,1)="M",IF(AND(H847=1,E847="RFS",D847=INDEX('Station Depth Averages'!$A$3:$B$84,MATCH(B847,'Station Depth Averages'!$A$3:$A$84,0),2)),1,""),IF(AND(H847=1,OR(D847="SYN",D847="SRF",D847="MID")),1,IF(AND(H847=1,OR(E848="FDn",E848="LDn")),1,IF(AND(H847=1,OR(E847="FDn",E847="LDn")),1,""))))</f>
        <v/>
      </c>
      <c r="J847" s="4" t="str">
        <f t="shared" si="232"/>
        <v/>
      </c>
      <c r="K847" s="4" t="str">
        <f t="shared" si="233"/>
        <v/>
      </c>
      <c r="L847" s="4" t="str">
        <f t="shared" si="234"/>
        <v/>
      </c>
      <c r="M847" s="4" t="str">
        <f t="shared" si="235"/>
        <v/>
      </c>
      <c r="N847" s="4" t="str">
        <f t="shared" si="236"/>
        <v/>
      </c>
      <c r="O847" s="4" t="str">
        <f t="shared" si="237"/>
        <v/>
      </c>
      <c r="P847" s="4" t="str">
        <f t="shared" si="238"/>
        <v/>
      </c>
      <c r="Q847" s="4" t="str">
        <f t="shared" si="239"/>
        <v/>
      </c>
      <c r="R847" s="4" t="str">
        <f t="shared" si="240"/>
        <v/>
      </c>
      <c r="S847" s="4" t="str">
        <f t="shared" si="241"/>
        <v/>
      </c>
      <c r="T847" s="4">
        <f t="shared" si="242"/>
        <v>2</v>
      </c>
      <c r="U847">
        <f>IF(VLOOKUP(C847,'QA Table'!$Y$5:$Y$20,1,TRUE)=C847,1,0)</f>
        <v>0</v>
      </c>
      <c r="V847" t="str">
        <f t="shared" si="243"/>
        <v/>
      </c>
      <c r="W847" t="str">
        <f t="shared" si="244"/>
        <v/>
      </c>
      <c r="X847" t="str">
        <f t="shared" si="245"/>
        <v/>
      </c>
      <c r="Y847">
        <f t="shared" si="246"/>
        <v>0</v>
      </c>
      <c r="AA847" t="str">
        <f t="shared" si="247"/>
        <v/>
      </c>
    </row>
    <row r="848" spans="1:27" x14ac:dyDescent="0.2">
      <c r="A848" t="s">
        <v>61</v>
      </c>
      <c r="B848" t="s">
        <v>90</v>
      </c>
      <c r="C848" t="s">
        <v>1986</v>
      </c>
      <c r="D848" t="s">
        <v>1034</v>
      </c>
      <c r="E848" t="s">
        <v>3</v>
      </c>
      <c r="F848" t="s">
        <v>1975</v>
      </c>
      <c r="G848" t="s">
        <v>1783</v>
      </c>
      <c r="H848" s="4" t="str">
        <f t="shared" si="231"/>
        <v/>
      </c>
      <c r="I848" s="4" t="str">
        <f>IF(RIGHT(B848,1)="M",IF(AND(H848=1,E848="RFS",D848=INDEX('Station Depth Averages'!$A$3:$B$84,MATCH(B848,'Station Depth Averages'!$A$3:$A$84,0),2)),1,""),IF(AND(H848=1,OR(D848="SYN",D848="SRF",D848="MID")),1,IF(AND(H848=1,OR(E849="FDn",E849="LDn")),1,IF(AND(H848=1,OR(E848="FDn",E848="LDn")),1,""))))</f>
        <v/>
      </c>
      <c r="J848" s="4" t="str">
        <f t="shared" si="232"/>
        <v/>
      </c>
      <c r="K848" s="4" t="str">
        <f t="shared" si="233"/>
        <v/>
      </c>
      <c r="L848" s="4" t="str">
        <f t="shared" si="234"/>
        <v/>
      </c>
      <c r="M848" s="4" t="str">
        <f t="shared" si="235"/>
        <v/>
      </c>
      <c r="N848" s="4" t="str">
        <f t="shared" si="236"/>
        <v/>
      </c>
      <c r="O848" s="4" t="str">
        <f t="shared" si="237"/>
        <v/>
      </c>
      <c r="P848" s="4" t="str">
        <f t="shared" si="238"/>
        <v/>
      </c>
      <c r="Q848" s="4" t="str">
        <f t="shared" si="239"/>
        <v/>
      </c>
      <c r="R848" s="4" t="str">
        <f t="shared" si="240"/>
        <v/>
      </c>
      <c r="S848" s="4">
        <f t="shared" si="241"/>
        <v>1</v>
      </c>
      <c r="T848" s="4" t="str">
        <f t="shared" si="242"/>
        <v/>
      </c>
      <c r="U848">
        <f>IF(VLOOKUP(C848,'QA Table'!$Y$5:$Y$20,1,TRUE)=C848,1,0)</f>
        <v>0</v>
      </c>
      <c r="V848" t="str">
        <f t="shared" si="243"/>
        <v/>
      </c>
      <c r="W848" t="str">
        <f t="shared" si="244"/>
        <v/>
      </c>
      <c r="X848" t="str">
        <f t="shared" si="245"/>
        <v/>
      </c>
      <c r="Y848">
        <f t="shared" si="246"/>
        <v>0</v>
      </c>
      <c r="AA848" t="str">
        <f t="shared" si="247"/>
        <v/>
      </c>
    </row>
    <row r="849" spans="1:27" x14ac:dyDescent="0.2">
      <c r="A849" t="s">
        <v>61</v>
      </c>
      <c r="B849" t="s">
        <v>90</v>
      </c>
      <c r="C849" t="s">
        <v>1987</v>
      </c>
      <c r="D849" t="s">
        <v>1034</v>
      </c>
      <c r="E849" t="s">
        <v>19</v>
      </c>
      <c r="F849" t="s">
        <v>1975</v>
      </c>
      <c r="G849" t="s">
        <v>1783</v>
      </c>
      <c r="H849" s="4" t="str">
        <f t="shared" si="231"/>
        <v/>
      </c>
      <c r="I849" s="4" t="str">
        <f>IF(RIGHT(B849,1)="M",IF(AND(H849=1,E849="RFS",D849=INDEX('Station Depth Averages'!$A$3:$B$84,MATCH(B849,'Station Depth Averages'!$A$3:$A$84,0),2)),1,""),IF(AND(H849=1,OR(D849="SYN",D849="SRF",D849="MID")),1,IF(AND(H849=1,OR(E850="FDn",E850="LDn")),1,IF(AND(H849=1,OR(E849="FDn",E849="LDn")),1,""))))</f>
        <v/>
      </c>
      <c r="J849" s="4" t="str">
        <f t="shared" si="232"/>
        <v/>
      </c>
      <c r="K849" s="4" t="str">
        <f t="shared" si="233"/>
        <v/>
      </c>
      <c r="L849" s="4" t="str">
        <f t="shared" si="234"/>
        <v/>
      </c>
      <c r="M849" s="4" t="str">
        <f t="shared" si="235"/>
        <v/>
      </c>
      <c r="N849" s="4" t="str">
        <f t="shared" si="236"/>
        <v/>
      </c>
      <c r="O849" s="4" t="str">
        <f t="shared" si="237"/>
        <v/>
      </c>
      <c r="P849" s="4" t="str">
        <f t="shared" si="238"/>
        <v/>
      </c>
      <c r="Q849" s="4" t="str">
        <f t="shared" si="239"/>
        <v/>
      </c>
      <c r="R849" s="4" t="str">
        <f t="shared" si="240"/>
        <v/>
      </c>
      <c r="S849" s="4">
        <f t="shared" si="241"/>
        <v>1</v>
      </c>
      <c r="T849" s="4" t="str">
        <f t="shared" si="242"/>
        <v/>
      </c>
      <c r="U849">
        <f>IF(VLOOKUP(C849,'QA Table'!$Y$5:$Y$20,1,TRUE)=C849,1,0)</f>
        <v>0</v>
      </c>
      <c r="V849" t="str">
        <f t="shared" si="243"/>
        <v/>
      </c>
      <c r="W849" t="str">
        <f t="shared" si="244"/>
        <v/>
      </c>
      <c r="X849" t="str">
        <f t="shared" si="245"/>
        <v/>
      </c>
      <c r="Y849">
        <f t="shared" si="246"/>
        <v>0</v>
      </c>
      <c r="AA849" t="str">
        <f t="shared" si="247"/>
        <v/>
      </c>
    </row>
    <row r="850" spans="1:27" x14ac:dyDescent="0.2">
      <c r="A850" t="s">
        <v>61</v>
      </c>
      <c r="B850" t="s">
        <v>91</v>
      </c>
      <c r="C850" t="s">
        <v>1988</v>
      </c>
      <c r="D850" t="s">
        <v>2</v>
      </c>
      <c r="E850" t="s">
        <v>3</v>
      </c>
      <c r="F850" t="s">
        <v>1989</v>
      </c>
      <c r="G850" t="s">
        <v>1783</v>
      </c>
      <c r="H850" s="4">
        <f t="shared" si="231"/>
        <v>1</v>
      </c>
      <c r="I850" s="4">
        <f>IF(RIGHT(B850,1)="M",IF(AND(H850=1,E850="RFS",D850=INDEX('Station Depth Averages'!$A$3:$B$84,MATCH(B850,'Station Depth Averages'!$A$3:$A$84,0),2)),1,""),IF(AND(H850=1,OR(D850="SYN",D850="SRF",D850="MID")),1,IF(AND(H850=1,OR(E851="FDn",E851="LDn")),1,IF(AND(H850=1,OR(E850="FDn",E850="LDn")),1,""))))</f>
        <v>1</v>
      </c>
      <c r="J850" s="4">
        <f t="shared" si="232"/>
        <v>1</v>
      </c>
      <c r="K850" s="4" t="str">
        <f t="shared" si="233"/>
        <v/>
      </c>
      <c r="L850" s="4" t="str">
        <f t="shared" si="234"/>
        <v/>
      </c>
      <c r="M850" s="4" t="str">
        <f t="shared" si="235"/>
        <v/>
      </c>
      <c r="N850" s="4" t="str">
        <f t="shared" si="236"/>
        <v/>
      </c>
      <c r="O850" s="4" t="str">
        <f t="shared" si="237"/>
        <v/>
      </c>
      <c r="P850" s="4" t="str">
        <f t="shared" si="238"/>
        <v/>
      </c>
      <c r="Q850" s="4" t="str">
        <f t="shared" si="239"/>
        <v/>
      </c>
      <c r="R850" s="4" t="str">
        <f t="shared" si="240"/>
        <v/>
      </c>
      <c r="S850" s="4" t="str">
        <f t="shared" si="241"/>
        <v/>
      </c>
      <c r="T850" s="4" t="str">
        <f t="shared" si="242"/>
        <v/>
      </c>
      <c r="U850">
        <f>IF(VLOOKUP(C850,'QA Table'!$Y$5:$Y$20,1,TRUE)=C850,1,0)</f>
        <v>0</v>
      </c>
      <c r="V850" t="str">
        <f t="shared" si="243"/>
        <v/>
      </c>
      <c r="W850" t="str">
        <f t="shared" si="244"/>
        <v/>
      </c>
      <c r="X850">
        <f t="shared" si="245"/>
        <v>3</v>
      </c>
      <c r="Y850">
        <f t="shared" si="246"/>
        <v>0</v>
      </c>
      <c r="AA850">
        <f t="shared" si="247"/>
        <v>1</v>
      </c>
    </row>
    <row r="851" spans="1:27" x14ac:dyDescent="0.2">
      <c r="A851" t="s">
        <v>61</v>
      </c>
      <c r="B851" t="s">
        <v>91</v>
      </c>
      <c r="C851" t="s">
        <v>1990</v>
      </c>
      <c r="D851" t="s">
        <v>1050</v>
      </c>
      <c r="E851" t="s">
        <v>3</v>
      </c>
      <c r="F851" t="s">
        <v>1989</v>
      </c>
      <c r="G851" t="s">
        <v>1783</v>
      </c>
      <c r="H851" s="4" t="str">
        <f t="shared" si="231"/>
        <v/>
      </c>
      <c r="I851" s="4" t="str">
        <f>IF(RIGHT(B851,1)="M",IF(AND(H851=1,E851="RFS",D851=INDEX('Station Depth Averages'!$A$3:$B$84,MATCH(B851,'Station Depth Averages'!$A$3:$A$84,0),2)),1,""),IF(AND(H851=1,OR(D851="SYN",D851="SRF",D851="MID")),1,IF(AND(H851=1,OR(E852="FDn",E852="LDn")),1,IF(AND(H851=1,OR(E851="FDn",E851="LDn")),1,""))))</f>
        <v/>
      </c>
      <c r="J851" s="4" t="str">
        <f t="shared" si="232"/>
        <v/>
      </c>
      <c r="K851" s="4" t="str">
        <f t="shared" si="233"/>
        <v/>
      </c>
      <c r="L851" s="4" t="str">
        <f t="shared" si="234"/>
        <v/>
      </c>
      <c r="M851" s="4" t="str">
        <f t="shared" si="235"/>
        <v/>
      </c>
      <c r="N851" s="4" t="str">
        <f t="shared" si="236"/>
        <v/>
      </c>
      <c r="O851" s="4" t="str">
        <f t="shared" si="237"/>
        <v/>
      </c>
      <c r="P851" s="4" t="str">
        <f t="shared" si="238"/>
        <v/>
      </c>
      <c r="Q851" s="4" t="str">
        <f t="shared" si="239"/>
        <v/>
      </c>
      <c r="R851" s="4" t="str">
        <f t="shared" si="240"/>
        <v/>
      </c>
      <c r="S851" s="4" t="str">
        <f t="shared" si="241"/>
        <v/>
      </c>
      <c r="T851" s="4" t="str">
        <f t="shared" si="242"/>
        <v/>
      </c>
      <c r="U851">
        <f>IF(VLOOKUP(C851,'QA Table'!$Y$5:$Y$20,1,TRUE)=C851,1,0)</f>
        <v>0</v>
      </c>
      <c r="V851" t="str">
        <f t="shared" si="243"/>
        <v/>
      </c>
      <c r="W851" t="str">
        <f t="shared" si="244"/>
        <v/>
      </c>
      <c r="X851" t="str">
        <f t="shared" si="245"/>
        <v/>
      </c>
      <c r="Y851">
        <f t="shared" si="246"/>
        <v>0</v>
      </c>
      <c r="AA851" t="str">
        <f t="shared" si="247"/>
        <v/>
      </c>
    </row>
    <row r="852" spans="1:27" x14ac:dyDescent="0.2">
      <c r="A852" t="s">
        <v>61</v>
      </c>
      <c r="B852" t="s">
        <v>91</v>
      </c>
      <c r="C852" t="s">
        <v>1991</v>
      </c>
      <c r="D852" t="s">
        <v>4</v>
      </c>
      <c r="E852" t="s">
        <v>3</v>
      </c>
      <c r="F852" t="s">
        <v>1989</v>
      </c>
      <c r="G852" t="s">
        <v>1783</v>
      </c>
      <c r="H852" s="4" t="str">
        <f t="shared" si="231"/>
        <v/>
      </c>
      <c r="I852" s="4" t="str">
        <f>IF(RIGHT(B852,1)="M",IF(AND(H852=1,E852="RFS",D852=INDEX('Station Depth Averages'!$A$3:$B$84,MATCH(B852,'Station Depth Averages'!$A$3:$A$84,0),2)),1,""),IF(AND(H852=1,OR(D852="SYN",D852="SRF",D852="MID")),1,IF(AND(H852=1,OR(E853="FDn",E853="LDn")),1,IF(AND(H852=1,OR(E852="FDn",E852="LDn")),1,""))))</f>
        <v/>
      </c>
      <c r="J852" s="4" t="str">
        <f t="shared" si="232"/>
        <v/>
      </c>
      <c r="K852" s="4" t="str">
        <f t="shared" si="233"/>
        <v/>
      </c>
      <c r="L852" s="4" t="str">
        <f t="shared" si="234"/>
        <v/>
      </c>
      <c r="M852" s="4" t="str">
        <f t="shared" si="235"/>
        <v/>
      </c>
      <c r="N852" s="4" t="str">
        <f t="shared" si="236"/>
        <v/>
      </c>
      <c r="O852" s="4" t="str">
        <f t="shared" si="237"/>
        <v/>
      </c>
      <c r="P852" s="4" t="str">
        <f t="shared" si="238"/>
        <v/>
      </c>
      <c r="Q852" s="4" t="str">
        <f t="shared" si="239"/>
        <v/>
      </c>
      <c r="R852" s="4" t="str">
        <f t="shared" si="240"/>
        <v/>
      </c>
      <c r="S852" s="4" t="str">
        <f t="shared" si="241"/>
        <v/>
      </c>
      <c r="T852" s="4" t="str">
        <f t="shared" si="242"/>
        <v/>
      </c>
      <c r="U852">
        <f>IF(VLOOKUP(C852,'QA Table'!$Y$5:$Y$20,1,TRUE)=C852,1,0)</f>
        <v>0</v>
      </c>
      <c r="V852" t="str">
        <f t="shared" si="243"/>
        <v/>
      </c>
      <c r="W852" t="str">
        <f t="shared" si="244"/>
        <v/>
      </c>
      <c r="X852" t="str">
        <f t="shared" si="245"/>
        <v/>
      </c>
      <c r="Y852">
        <f t="shared" si="246"/>
        <v>0</v>
      </c>
      <c r="AA852" t="str">
        <f t="shared" si="247"/>
        <v/>
      </c>
    </row>
    <row r="853" spans="1:27" x14ac:dyDescent="0.2">
      <c r="A853" t="s">
        <v>61</v>
      </c>
      <c r="B853" t="s">
        <v>91</v>
      </c>
      <c r="C853" t="s">
        <v>1992</v>
      </c>
      <c r="D853" t="s">
        <v>1051</v>
      </c>
      <c r="E853" t="s">
        <v>3</v>
      </c>
      <c r="F853" t="s">
        <v>1989</v>
      </c>
      <c r="G853" t="s">
        <v>1783</v>
      </c>
      <c r="H853" s="4" t="str">
        <f t="shared" si="231"/>
        <v/>
      </c>
      <c r="I853" s="4" t="str">
        <f>IF(RIGHT(B853,1)="M",IF(AND(H853=1,E853="RFS",D853=INDEX('Station Depth Averages'!$A$3:$B$84,MATCH(B853,'Station Depth Averages'!$A$3:$A$84,0),2)),1,""),IF(AND(H853=1,OR(D853="SYN",D853="SRF",D853="MID")),1,IF(AND(H853=1,OR(E854="FDn",E854="LDn")),1,IF(AND(H853=1,OR(E853="FDn",E853="LDn")),1,""))))</f>
        <v/>
      </c>
      <c r="J853" s="4" t="str">
        <f t="shared" si="232"/>
        <v/>
      </c>
      <c r="K853" s="4" t="str">
        <f t="shared" si="233"/>
        <v/>
      </c>
      <c r="L853" s="4" t="str">
        <f t="shared" si="234"/>
        <v/>
      </c>
      <c r="M853" s="4" t="str">
        <f t="shared" si="235"/>
        <v/>
      </c>
      <c r="N853" s="4" t="str">
        <f t="shared" si="236"/>
        <v/>
      </c>
      <c r="O853" s="4" t="str">
        <f t="shared" si="237"/>
        <v/>
      </c>
      <c r="P853" s="4" t="str">
        <f t="shared" si="238"/>
        <v/>
      </c>
      <c r="Q853" s="4" t="str">
        <f t="shared" si="239"/>
        <v/>
      </c>
      <c r="R853" s="4" t="str">
        <f t="shared" si="240"/>
        <v/>
      </c>
      <c r="S853" s="4" t="str">
        <f t="shared" si="241"/>
        <v/>
      </c>
      <c r="T853" s="4" t="str">
        <f t="shared" si="242"/>
        <v/>
      </c>
      <c r="U853">
        <f>IF(VLOOKUP(C853,'QA Table'!$Y$5:$Y$20,1,TRUE)=C853,1,0)</f>
        <v>0</v>
      </c>
      <c r="V853" t="str">
        <f t="shared" si="243"/>
        <v/>
      </c>
      <c r="W853" t="str">
        <f t="shared" si="244"/>
        <v/>
      </c>
      <c r="X853" t="str">
        <f t="shared" si="245"/>
        <v/>
      </c>
      <c r="Y853">
        <f t="shared" si="246"/>
        <v>0</v>
      </c>
      <c r="AA853" t="str">
        <f t="shared" si="247"/>
        <v/>
      </c>
    </row>
    <row r="854" spans="1:27" x14ac:dyDescent="0.2">
      <c r="A854" t="s">
        <v>61</v>
      </c>
      <c r="B854" t="s">
        <v>91</v>
      </c>
      <c r="C854" t="s">
        <v>1993</v>
      </c>
      <c r="D854" t="s">
        <v>119</v>
      </c>
      <c r="E854" t="s">
        <v>3</v>
      </c>
      <c r="F854" t="s">
        <v>1989</v>
      </c>
      <c r="G854" t="s">
        <v>1783</v>
      </c>
      <c r="H854" s="4">
        <f t="shared" si="231"/>
        <v>1</v>
      </c>
      <c r="I854" s="4">
        <f>IF(RIGHT(B854,1)="M",IF(AND(H854=1,E854="RFS",D854=INDEX('Station Depth Averages'!$A$3:$B$84,MATCH(B854,'Station Depth Averages'!$A$3:$A$84,0),2)),1,""),IF(AND(H854=1,OR(D854="SYN",D854="SRF",D854="MID")),1,IF(AND(H854=1,OR(E855="FDn",E855="LDn")),1,IF(AND(H854=1,OR(E854="FDn",E854="LDn")),1,""))))</f>
        <v>1</v>
      </c>
      <c r="J854" s="4">
        <f t="shared" si="232"/>
        <v>1</v>
      </c>
      <c r="K854" s="4" t="str">
        <f t="shared" si="233"/>
        <v/>
      </c>
      <c r="L854" s="4" t="str">
        <f t="shared" si="234"/>
        <v/>
      </c>
      <c r="M854" s="4" t="str">
        <f t="shared" si="235"/>
        <v/>
      </c>
      <c r="N854" s="4" t="str">
        <f t="shared" si="236"/>
        <v/>
      </c>
      <c r="O854" s="4" t="str">
        <f t="shared" si="237"/>
        <v/>
      </c>
      <c r="P854" s="4" t="str">
        <f t="shared" si="238"/>
        <v/>
      </c>
      <c r="Q854" s="4" t="str">
        <f t="shared" si="239"/>
        <v/>
      </c>
      <c r="R854" s="4" t="str">
        <f t="shared" si="240"/>
        <v/>
      </c>
      <c r="S854" s="4" t="str">
        <f t="shared" si="241"/>
        <v/>
      </c>
      <c r="T854" s="4" t="str">
        <f t="shared" si="242"/>
        <v/>
      </c>
      <c r="U854">
        <f>IF(VLOOKUP(C854,'QA Table'!$Y$5:$Y$20,1,TRUE)=C854,1,0)</f>
        <v>0</v>
      </c>
      <c r="V854" t="str">
        <f t="shared" si="243"/>
        <v/>
      </c>
      <c r="W854" t="str">
        <f t="shared" si="244"/>
        <v/>
      </c>
      <c r="X854">
        <f t="shared" si="245"/>
        <v>3</v>
      </c>
      <c r="Y854">
        <f t="shared" si="246"/>
        <v>0</v>
      </c>
      <c r="AA854">
        <f t="shared" si="247"/>
        <v>1</v>
      </c>
    </row>
    <row r="855" spans="1:27" x14ac:dyDescent="0.2">
      <c r="A855" t="s">
        <v>61</v>
      </c>
      <c r="B855" t="s">
        <v>91</v>
      </c>
      <c r="C855" t="s">
        <v>1994</v>
      </c>
      <c r="D855" t="s">
        <v>5</v>
      </c>
      <c r="E855" t="s">
        <v>3</v>
      </c>
      <c r="F855" t="s">
        <v>1989</v>
      </c>
      <c r="G855" t="s">
        <v>1783</v>
      </c>
      <c r="H855" s="4">
        <f t="shared" si="231"/>
        <v>1</v>
      </c>
      <c r="I855" s="4" t="str">
        <f>IF(RIGHT(B855,1)="M",IF(AND(H855=1,E855="RFS",D855=INDEX('Station Depth Averages'!$A$3:$B$84,MATCH(B855,'Station Depth Averages'!$A$3:$A$84,0),2)),1,""),IF(AND(H855=1,OR(D855="SYN",D855="SRF",D855="MID")),1,IF(AND(H855=1,OR(E856="FDn",E856="LDn")),1,IF(AND(H855=1,OR(E855="FDn",E855="LDn")),1,""))))</f>
        <v/>
      </c>
      <c r="J855" s="4">
        <f t="shared" si="232"/>
        <v>1</v>
      </c>
      <c r="K855" s="4" t="str">
        <f t="shared" si="233"/>
        <v/>
      </c>
      <c r="L855" s="4" t="str">
        <f t="shared" si="234"/>
        <v/>
      </c>
      <c r="M855" s="4" t="str">
        <f t="shared" si="235"/>
        <v/>
      </c>
      <c r="N855" s="4" t="str">
        <f t="shared" si="236"/>
        <v/>
      </c>
      <c r="O855" s="4" t="str">
        <f t="shared" si="237"/>
        <v/>
      </c>
      <c r="P855" s="4" t="str">
        <f t="shared" si="238"/>
        <v/>
      </c>
      <c r="Q855" s="4" t="str">
        <f t="shared" si="239"/>
        <v/>
      </c>
      <c r="R855" s="4" t="str">
        <f t="shared" si="240"/>
        <v/>
      </c>
      <c r="S855" s="4" t="str">
        <f t="shared" si="241"/>
        <v/>
      </c>
      <c r="T855" s="4" t="str">
        <f t="shared" si="242"/>
        <v/>
      </c>
      <c r="U855">
        <f>IF(VLOOKUP(C855,'QA Table'!$Y$5:$Y$20,1,TRUE)=C855,1,0)</f>
        <v>0</v>
      </c>
      <c r="V855" t="str">
        <f t="shared" si="243"/>
        <v/>
      </c>
      <c r="W855" t="str">
        <f t="shared" si="244"/>
        <v/>
      </c>
      <c r="X855">
        <f t="shared" si="245"/>
        <v>3</v>
      </c>
      <c r="Y855">
        <f t="shared" si="246"/>
        <v>0</v>
      </c>
      <c r="AA855">
        <f t="shared" si="247"/>
        <v>1</v>
      </c>
    </row>
    <row r="856" spans="1:27" x14ac:dyDescent="0.2">
      <c r="A856" t="s">
        <v>61</v>
      </c>
      <c r="B856" t="s">
        <v>91</v>
      </c>
      <c r="C856" t="s">
        <v>1126</v>
      </c>
      <c r="D856" t="s">
        <v>6</v>
      </c>
      <c r="E856" t="s">
        <v>3</v>
      </c>
      <c r="F856" t="s">
        <v>1989</v>
      </c>
      <c r="G856" t="s">
        <v>1783</v>
      </c>
      <c r="H856" s="4">
        <f t="shared" si="231"/>
        <v>1</v>
      </c>
      <c r="I856" s="4">
        <f>IF(RIGHT(B856,1)="M",IF(AND(H856=1,E856="RFS",D856=INDEX('Station Depth Averages'!$A$3:$B$84,MATCH(B856,'Station Depth Averages'!$A$3:$A$84,0),2)),1,""),IF(AND(H856=1,OR(D856="SYN",D856="SRF",D856="MID")),1,IF(AND(H856=1,OR(E857="FDn",E857="LDn")),1,IF(AND(H856=1,OR(E856="FDn",E856="LDn")),1,""))))</f>
        <v>1</v>
      </c>
      <c r="J856" s="4">
        <f t="shared" si="232"/>
        <v>1</v>
      </c>
      <c r="K856" s="4" t="str">
        <f t="shared" si="233"/>
        <v/>
      </c>
      <c r="L856" s="4" t="str">
        <f t="shared" si="234"/>
        <v/>
      </c>
      <c r="M856" s="4" t="str">
        <f t="shared" si="235"/>
        <v/>
      </c>
      <c r="N856" s="4" t="str">
        <f t="shared" si="236"/>
        <v/>
      </c>
      <c r="O856" s="4" t="str">
        <f t="shared" si="237"/>
        <v/>
      </c>
      <c r="P856" s="4" t="str">
        <f t="shared" si="238"/>
        <v/>
      </c>
      <c r="Q856" s="4" t="str">
        <f t="shared" si="239"/>
        <v/>
      </c>
      <c r="R856" s="4" t="str">
        <f t="shared" si="240"/>
        <v/>
      </c>
      <c r="S856" s="4" t="str">
        <f t="shared" si="241"/>
        <v/>
      </c>
      <c r="T856" s="4" t="str">
        <f t="shared" si="242"/>
        <v/>
      </c>
      <c r="U856">
        <f>IF(VLOOKUP(C856,'QA Table'!$Y$5:$Y$20,1,TRUE)=C856,1,0)</f>
        <v>0</v>
      </c>
      <c r="V856" t="str">
        <f t="shared" si="243"/>
        <v/>
      </c>
      <c r="W856" t="str">
        <f t="shared" si="244"/>
        <v/>
      </c>
      <c r="X856">
        <f t="shared" si="245"/>
        <v>3</v>
      </c>
      <c r="Y856">
        <f t="shared" si="246"/>
        <v>0</v>
      </c>
      <c r="AA856">
        <f t="shared" si="247"/>
        <v>1</v>
      </c>
    </row>
    <row r="857" spans="1:27" x14ac:dyDescent="0.2">
      <c r="A857" t="s">
        <v>61</v>
      </c>
      <c r="B857" t="s">
        <v>91</v>
      </c>
      <c r="C857" t="s">
        <v>1995</v>
      </c>
      <c r="D857" t="s">
        <v>6</v>
      </c>
      <c r="E857" t="s">
        <v>12</v>
      </c>
      <c r="F857" t="s">
        <v>1989</v>
      </c>
      <c r="G857" t="s">
        <v>1783</v>
      </c>
      <c r="H857" s="4">
        <f t="shared" si="231"/>
        <v>1</v>
      </c>
      <c r="I857" s="4">
        <f>IF(RIGHT(B857,1)="M",IF(AND(H857=1,E857="RFS",D857=INDEX('Station Depth Averages'!$A$3:$B$84,MATCH(B857,'Station Depth Averages'!$A$3:$A$84,0),2)),1,""),IF(AND(H857=1,OR(D857="SYN",D857="SRF",D857="MID")),1,IF(AND(H857=1,OR(E858="FDn",E858="LDn")),1,IF(AND(H857=1,OR(E857="FDn",E857="LDn")),1,""))))</f>
        <v>1</v>
      </c>
      <c r="J857" s="4" t="str">
        <f t="shared" si="232"/>
        <v/>
      </c>
      <c r="K857" s="4" t="str">
        <f t="shared" si="233"/>
        <v/>
      </c>
      <c r="L857" s="4" t="str">
        <f t="shared" si="234"/>
        <v/>
      </c>
      <c r="M857" s="4" t="str">
        <f t="shared" si="235"/>
        <v/>
      </c>
      <c r="N857" s="4" t="str">
        <f t="shared" si="236"/>
        <v/>
      </c>
      <c r="O857" s="4" t="str">
        <f t="shared" si="237"/>
        <v/>
      </c>
      <c r="P857" s="4" t="str">
        <f t="shared" si="238"/>
        <v/>
      </c>
      <c r="Q857" s="4" t="str">
        <f t="shared" si="239"/>
        <v/>
      </c>
      <c r="R857" s="4" t="str">
        <f t="shared" si="240"/>
        <v/>
      </c>
      <c r="S857" s="4" t="str">
        <f t="shared" si="241"/>
        <v/>
      </c>
      <c r="T857" s="4" t="str">
        <f t="shared" si="242"/>
        <v/>
      </c>
      <c r="U857">
        <f>IF(VLOOKUP(C857,'QA Table'!$Y$5:$Y$20,1,TRUE)=C857,1,0)</f>
        <v>0</v>
      </c>
      <c r="V857" t="str">
        <f t="shared" si="243"/>
        <v/>
      </c>
      <c r="W857" t="str">
        <f t="shared" si="244"/>
        <v/>
      </c>
      <c r="X857">
        <f t="shared" si="245"/>
        <v>3</v>
      </c>
      <c r="Y857">
        <f t="shared" si="246"/>
        <v>0</v>
      </c>
      <c r="AA857">
        <f t="shared" si="247"/>
        <v>1</v>
      </c>
    </row>
    <row r="858" spans="1:27" x14ac:dyDescent="0.2">
      <c r="A858" t="s">
        <v>61</v>
      </c>
      <c r="B858" t="s">
        <v>91</v>
      </c>
      <c r="C858" t="s">
        <v>1996</v>
      </c>
      <c r="D858" t="s">
        <v>8</v>
      </c>
      <c r="E858" t="s">
        <v>3</v>
      </c>
      <c r="F858" t="s">
        <v>1989</v>
      </c>
      <c r="G858" t="s">
        <v>1783</v>
      </c>
      <c r="H858" s="4">
        <f t="shared" si="231"/>
        <v>1</v>
      </c>
      <c r="I858" s="4" t="str">
        <f>IF(RIGHT(B858,1)="M",IF(AND(H858=1,E858="RFS",D858=INDEX('Station Depth Averages'!$A$3:$B$84,MATCH(B858,'Station Depth Averages'!$A$3:$A$84,0),2)),1,""),IF(AND(H858=1,OR(D858="SYN",D858="SRF",D858="MID")),1,IF(AND(H858=1,OR(E859="FDn",E859="LDn")),1,IF(AND(H858=1,OR(E858="FDn",E858="LDn")),1,""))))</f>
        <v/>
      </c>
      <c r="J858" s="4" t="str">
        <f t="shared" si="232"/>
        <v/>
      </c>
      <c r="K858" s="4">
        <f t="shared" si="233"/>
        <v>1</v>
      </c>
      <c r="L858" s="4" t="str">
        <f t="shared" si="234"/>
        <v/>
      </c>
      <c r="M858" s="4" t="str">
        <f t="shared" si="235"/>
        <v/>
      </c>
      <c r="N858" s="4" t="str">
        <f t="shared" si="236"/>
        <v/>
      </c>
      <c r="O858" s="4" t="str">
        <f t="shared" si="237"/>
        <v/>
      </c>
      <c r="P858" s="4" t="str">
        <f t="shared" si="238"/>
        <v/>
      </c>
      <c r="Q858" s="4">
        <f t="shared" si="239"/>
        <v>2</v>
      </c>
      <c r="R858" s="4" t="str">
        <f t="shared" si="240"/>
        <v/>
      </c>
      <c r="S858" s="4" t="str">
        <f t="shared" si="241"/>
        <v/>
      </c>
      <c r="T858" s="4" t="str">
        <f t="shared" si="242"/>
        <v/>
      </c>
      <c r="U858">
        <f>IF(VLOOKUP(C858,'QA Table'!$Y$5:$Y$20,1,TRUE)=C858,1,0)</f>
        <v>0</v>
      </c>
      <c r="V858" t="str">
        <f t="shared" si="243"/>
        <v/>
      </c>
      <c r="W858" t="str">
        <f t="shared" si="244"/>
        <v/>
      </c>
      <c r="X858">
        <f t="shared" si="245"/>
        <v>3</v>
      </c>
      <c r="Y858">
        <f t="shared" si="246"/>
        <v>0</v>
      </c>
      <c r="AA858">
        <f t="shared" si="247"/>
        <v>1</v>
      </c>
    </row>
    <row r="859" spans="1:27" x14ac:dyDescent="0.2">
      <c r="A859" t="s">
        <v>61</v>
      </c>
      <c r="B859" t="s">
        <v>91</v>
      </c>
      <c r="C859" t="s">
        <v>1997</v>
      </c>
      <c r="D859" t="s">
        <v>9</v>
      </c>
      <c r="E859" t="s">
        <v>3</v>
      </c>
      <c r="F859" t="s">
        <v>1989</v>
      </c>
      <c r="G859" t="s">
        <v>1783</v>
      </c>
      <c r="H859" s="4" t="str">
        <f t="shared" si="231"/>
        <v/>
      </c>
      <c r="I859" s="4" t="str">
        <f>IF(RIGHT(B859,1)="M",IF(AND(H859=1,E859="RFS",D859=INDEX('Station Depth Averages'!$A$3:$B$84,MATCH(B859,'Station Depth Averages'!$A$3:$A$84,0),2)),1,""),IF(AND(H859=1,OR(D859="SYN",D859="SRF",D859="MID")),1,IF(AND(H859=1,OR(E860="FDn",E860="LDn")),1,IF(AND(H859=1,OR(E859="FDn",E859="LDn")),1,""))))</f>
        <v/>
      </c>
      <c r="J859" s="4" t="str">
        <f t="shared" si="232"/>
        <v/>
      </c>
      <c r="K859" s="4" t="str">
        <f t="shared" si="233"/>
        <v/>
      </c>
      <c r="L859" s="4" t="str">
        <f t="shared" si="234"/>
        <v/>
      </c>
      <c r="M859" s="4" t="str">
        <f t="shared" si="235"/>
        <v/>
      </c>
      <c r="N859" s="4" t="str">
        <f t="shared" si="236"/>
        <v/>
      </c>
      <c r="O859" s="4" t="str">
        <f t="shared" si="237"/>
        <v/>
      </c>
      <c r="P859" s="4" t="str">
        <f t="shared" si="238"/>
        <v/>
      </c>
      <c r="Q859" s="4" t="str">
        <f t="shared" si="239"/>
        <v/>
      </c>
      <c r="R859" s="4" t="str">
        <f t="shared" si="240"/>
        <v/>
      </c>
      <c r="S859" s="4" t="str">
        <f t="shared" si="241"/>
        <v/>
      </c>
      <c r="T859" s="4">
        <f t="shared" si="242"/>
        <v>2</v>
      </c>
      <c r="U859">
        <f>IF(VLOOKUP(C859,'QA Table'!$Y$5:$Y$20,1,TRUE)=C859,1,0)</f>
        <v>0</v>
      </c>
      <c r="V859" t="str">
        <f t="shared" si="243"/>
        <v/>
      </c>
      <c r="W859" t="str">
        <f t="shared" si="244"/>
        <v/>
      </c>
      <c r="X859" t="str">
        <f t="shared" si="245"/>
        <v/>
      </c>
      <c r="Y859">
        <f t="shared" si="246"/>
        <v>0</v>
      </c>
      <c r="AA859" t="str">
        <f t="shared" si="247"/>
        <v/>
      </c>
    </row>
    <row r="860" spans="1:27" x14ac:dyDescent="0.2">
      <c r="A860" t="s">
        <v>61</v>
      </c>
      <c r="B860" t="s">
        <v>91</v>
      </c>
      <c r="C860" t="s">
        <v>1998</v>
      </c>
      <c r="D860" t="s">
        <v>10</v>
      </c>
      <c r="E860" t="s">
        <v>3</v>
      </c>
      <c r="F860" t="s">
        <v>1989</v>
      </c>
      <c r="G860" t="s">
        <v>1783</v>
      </c>
      <c r="H860" s="4" t="str">
        <f t="shared" si="231"/>
        <v/>
      </c>
      <c r="I860" s="4" t="str">
        <f>IF(RIGHT(B860,1)="M",IF(AND(H860=1,E860="RFS",D860=INDEX('Station Depth Averages'!$A$3:$B$84,MATCH(B860,'Station Depth Averages'!$A$3:$A$84,0),2)),1,""),IF(AND(H860=1,OR(D860="SYN",D860="SRF",D860="MID")),1,IF(AND(H860=1,OR(E861="FDn",E861="LDn")),1,IF(AND(H860=1,OR(E860="FDn",E860="LDn")),1,""))))</f>
        <v/>
      </c>
      <c r="J860" s="4" t="str">
        <f t="shared" si="232"/>
        <v/>
      </c>
      <c r="K860" s="4" t="str">
        <f t="shared" si="233"/>
        <v/>
      </c>
      <c r="L860" s="4" t="str">
        <f t="shared" si="234"/>
        <v/>
      </c>
      <c r="M860" s="4" t="str">
        <f t="shared" si="235"/>
        <v/>
      </c>
      <c r="N860" s="4" t="str">
        <f t="shared" si="236"/>
        <v/>
      </c>
      <c r="O860" s="4" t="str">
        <f t="shared" si="237"/>
        <v/>
      </c>
      <c r="P860" s="4" t="str">
        <f t="shared" si="238"/>
        <v/>
      </c>
      <c r="Q860" s="4" t="str">
        <f t="shared" si="239"/>
        <v/>
      </c>
      <c r="R860" s="4" t="str">
        <f t="shared" si="240"/>
        <v/>
      </c>
      <c r="S860" s="4" t="str">
        <f t="shared" si="241"/>
        <v/>
      </c>
      <c r="T860" s="4">
        <f t="shared" si="242"/>
        <v>2</v>
      </c>
      <c r="U860">
        <f>IF(VLOOKUP(C860,'QA Table'!$Y$5:$Y$20,1,TRUE)=C860,1,0)</f>
        <v>0</v>
      </c>
      <c r="V860" t="str">
        <f t="shared" si="243"/>
        <v/>
      </c>
      <c r="W860" t="str">
        <f t="shared" si="244"/>
        <v/>
      </c>
      <c r="X860" t="str">
        <f t="shared" si="245"/>
        <v/>
      </c>
      <c r="Y860">
        <f t="shared" si="246"/>
        <v>0</v>
      </c>
      <c r="AA860" t="str">
        <f t="shared" si="247"/>
        <v/>
      </c>
    </row>
    <row r="861" spans="1:27" x14ac:dyDescent="0.2">
      <c r="A861" t="s">
        <v>61</v>
      </c>
      <c r="B861" t="s">
        <v>91</v>
      </c>
      <c r="C861" t="s">
        <v>1999</v>
      </c>
      <c r="D861" t="s">
        <v>1034</v>
      </c>
      <c r="E861" t="s">
        <v>3</v>
      </c>
      <c r="F861" t="s">
        <v>1989</v>
      </c>
      <c r="G861" t="s">
        <v>1783</v>
      </c>
      <c r="H861" s="4" t="str">
        <f t="shared" si="231"/>
        <v/>
      </c>
      <c r="I861" s="4" t="str">
        <f>IF(RIGHT(B861,1)="M",IF(AND(H861=1,E861="RFS",D861=INDEX('Station Depth Averages'!$A$3:$B$84,MATCH(B861,'Station Depth Averages'!$A$3:$A$84,0),2)),1,""),IF(AND(H861=1,OR(D861="SYN",D861="SRF",D861="MID")),1,IF(AND(H861=1,OR(E862="FDn",E862="LDn")),1,IF(AND(H861=1,OR(E861="FDn",E861="LDn")),1,""))))</f>
        <v/>
      </c>
      <c r="J861" s="4" t="str">
        <f t="shared" si="232"/>
        <v/>
      </c>
      <c r="K861" s="4" t="str">
        <f t="shared" si="233"/>
        <v/>
      </c>
      <c r="L861" s="4" t="str">
        <f t="shared" si="234"/>
        <v/>
      </c>
      <c r="M861" s="4" t="str">
        <f t="shared" si="235"/>
        <v/>
      </c>
      <c r="N861" s="4" t="str">
        <f t="shared" si="236"/>
        <v/>
      </c>
      <c r="O861" s="4" t="str">
        <f t="shared" si="237"/>
        <v/>
      </c>
      <c r="P861" s="4" t="str">
        <f t="shared" si="238"/>
        <v/>
      </c>
      <c r="Q861" s="4" t="str">
        <f t="shared" si="239"/>
        <v/>
      </c>
      <c r="R861" s="4" t="str">
        <f t="shared" si="240"/>
        <v/>
      </c>
      <c r="S861" s="4">
        <f t="shared" si="241"/>
        <v>1</v>
      </c>
      <c r="T861" s="4" t="str">
        <f t="shared" si="242"/>
        <v/>
      </c>
      <c r="U861">
        <f>IF(VLOOKUP(C861,'QA Table'!$Y$5:$Y$20,1,TRUE)=C861,1,0)</f>
        <v>0</v>
      </c>
      <c r="V861" t="str">
        <f t="shared" si="243"/>
        <v/>
      </c>
      <c r="W861" t="str">
        <f t="shared" si="244"/>
        <v/>
      </c>
      <c r="X861" t="str">
        <f t="shared" si="245"/>
        <v/>
      </c>
      <c r="Y861">
        <f t="shared" si="246"/>
        <v>0</v>
      </c>
      <c r="AA861" t="str">
        <f t="shared" si="247"/>
        <v/>
      </c>
    </row>
    <row r="862" spans="1:27" x14ac:dyDescent="0.2">
      <c r="A862" t="s">
        <v>61</v>
      </c>
      <c r="B862" t="s">
        <v>91</v>
      </c>
      <c r="C862" t="s">
        <v>2000</v>
      </c>
      <c r="D862" t="s">
        <v>1034</v>
      </c>
      <c r="E862" t="s">
        <v>19</v>
      </c>
      <c r="F862" t="s">
        <v>1989</v>
      </c>
      <c r="G862" t="s">
        <v>1783</v>
      </c>
      <c r="H862" s="4" t="str">
        <f t="shared" si="231"/>
        <v/>
      </c>
      <c r="I862" s="4" t="str">
        <f>IF(RIGHT(B862,1)="M",IF(AND(H862=1,E862="RFS",D862=INDEX('Station Depth Averages'!$A$3:$B$84,MATCH(B862,'Station Depth Averages'!$A$3:$A$84,0),2)),1,""),IF(AND(H862=1,OR(D862="SYN",D862="SRF",D862="MID")),1,IF(AND(H862=1,OR(E863="FDn",E863="LDn")),1,IF(AND(H862=1,OR(E862="FDn",E862="LDn")),1,""))))</f>
        <v/>
      </c>
      <c r="J862" s="4" t="str">
        <f t="shared" si="232"/>
        <v/>
      </c>
      <c r="K862" s="4" t="str">
        <f t="shared" si="233"/>
        <v/>
      </c>
      <c r="L862" s="4" t="str">
        <f t="shared" si="234"/>
        <v/>
      </c>
      <c r="M862" s="4" t="str">
        <f t="shared" si="235"/>
        <v/>
      </c>
      <c r="N862" s="4" t="str">
        <f t="shared" si="236"/>
        <v/>
      </c>
      <c r="O862" s="4" t="str">
        <f t="shared" si="237"/>
        <v/>
      </c>
      <c r="P862" s="4" t="str">
        <f t="shared" si="238"/>
        <v/>
      </c>
      <c r="Q862" s="4" t="str">
        <f t="shared" si="239"/>
        <v/>
      </c>
      <c r="R862" s="4" t="str">
        <f t="shared" si="240"/>
        <v/>
      </c>
      <c r="S862" s="4">
        <f t="shared" si="241"/>
        <v>1</v>
      </c>
      <c r="T862" s="4" t="str">
        <f t="shared" si="242"/>
        <v/>
      </c>
      <c r="U862">
        <f>IF(VLOOKUP(C862,'QA Table'!$Y$5:$Y$20,1,TRUE)=C862,1,0)</f>
        <v>0</v>
      </c>
      <c r="V862" t="str">
        <f t="shared" si="243"/>
        <v/>
      </c>
      <c r="W862" t="str">
        <f t="shared" si="244"/>
        <v/>
      </c>
      <c r="X862" t="str">
        <f t="shared" si="245"/>
        <v/>
      </c>
      <c r="Y862">
        <f t="shared" si="246"/>
        <v>0</v>
      </c>
      <c r="AA862" t="str">
        <f t="shared" si="247"/>
        <v/>
      </c>
    </row>
    <row r="863" spans="1:27" x14ac:dyDescent="0.2">
      <c r="A863" t="s">
        <v>61</v>
      </c>
      <c r="B863" t="s">
        <v>92</v>
      </c>
      <c r="C863" t="s">
        <v>2001</v>
      </c>
      <c r="D863" t="s">
        <v>2</v>
      </c>
      <c r="E863" t="s">
        <v>3</v>
      </c>
      <c r="F863" t="s">
        <v>2002</v>
      </c>
      <c r="G863" t="s">
        <v>1783</v>
      </c>
      <c r="H863" s="4">
        <f t="shared" si="231"/>
        <v>1</v>
      </c>
      <c r="I863" s="4" t="str">
        <f>IF(RIGHT(B863,1)="M",IF(AND(H863=1,E863="RFS",D863=INDEX('Station Depth Averages'!$A$3:$B$84,MATCH(B863,'Station Depth Averages'!$A$3:$A$84,0),2)),1,""),IF(AND(H863=1,OR(D863="SYN",D863="SRF",D863="MID")),1,IF(AND(H863=1,OR(E864="FDn",E864="LDn")),1,IF(AND(H863=1,OR(E863="FDn",E863="LDn")),1,""))))</f>
        <v/>
      </c>
      <c r="J863" s="4">
        <f t="shared" si="232"/>
        <v>1</v>
      </c>
      <c r="K863" s="4" t="str">
        <f t="shared" si="233"/>
        <v/>
      </c>
      <c r="L863" s="4" t="str">
        <f t="shared" si="234"/>
        <v/>
      </c>
      <c r="M863" s="4" t="str">
        <f t="shared" si="235"/>
        <v/>
      </c>
      <c r="N863" s="4" t="str">
        <f t="shared" si="236"/>
        <v/>
      </c>
      <c r="O863" s="4" t="str">
        <f t="shared" si="237"/>
        <v/>
      </c>
      <c r="P863" s="4" t="str">
        <f t="shared" si="238"/>
        <v/>
      </c>
      <c r="Q863" s="4" t="str">
        <f t="shared" si="239"/>
        <v/>
      </c>
      <c r="R863" s="4" t="str">
        <f t="shared" si="240"/>
        <v/>
      </c>
      <c r="S863" s="4" t="str">
        <f t="shared" si="241"/>
        <v/>
      </c>
      <c r="T863" s="4" t="str">
        <f t="shared" si="242"/>
        <v/>
      </c>
      <c r="U863">
        <f>IF(VLOOKUP(C863,'QA Table'!$Y$5:$Y$20,1,TRUE)=C863,1,0)</f>
        <v>0</v>
      </c>
      <c r="V863" t="str">
        <f t="shared" si="243"/>
        <v/>
      </c>
      <c r="W863" t="str">
        <f t="shared" si="244"/>
        <v/>
      </c>
      <c r="X863">
        <f t="shared" si="245"/>
        <v>3</v>
      </c>
      <c r="Y863">
        <f t="shared" si="246"/>
        <v>0</v>
      </c>
      <c r="AA863">
        <f t="shared" si="247"/>
        <v>1</v>
      </c>
    </row>
    <row r="864" spans="1:27" x14ac:dyDescent="0.2">
      <c r="A864" t="s">
        <v>61</v>
      </c>
      <c r="B864" t="s">
        <v>92</v>
      </c>
      <c r="C864" t="s">
        <v>2003</v>
      </c>
      <c r="D864" t="s">
        <v>1050</v>
      </c>
      <c r="E864" t="s">
        <v>3</v>
      </c>
      <c r="F864" t="s">
        <v>2002</v>
      </c>
      <c r="G864" t="s">
        <v>1783</v>
      </c>
      <c r="H864" s="4">
        <f t="shared" si="231"/>
        <v>1</v>
      </c>
      <c r="I864" s="4" t="str">
        <f>IF(RIGHT(B864,1)="M",IF(AND(H864=1,E864="RFS",D864=INDEX('Station Depth Averages'!$A$3:$B$84,MATCH(B864,'Station Depth Averages'!$A$3:$A$84,0),2)),1,""),IF(AND(H864=1,OR(D864="SYN",D864="SRF",D864="MID")),1,IF(AND(H864=1,OR(E865="FDn",E865="LDn")),1,IF(AND(H864=1,OR(E864="FDn",E864="LDn")),1,""))))</f>
        <v/>
      </c>
      <c r="J864" s="4">
        <f t="shared" si="232"/>
        <v>1</v>
      </c>
      <c r="K864" s="4" t="str">
        <f t="shared" si="233"/>
        <v/>
      </c>
      <c r="L864" s="4" t="str">
        <f t="shared" si="234"/>
        <v/>
      </c>
      <c r="M864" s="4" t="str">
        <f t="shared" si="235"/>
        <v/>
      </c>
      <c r="N864" s="4" t="str">
        <f t="shared" si="236"/>
        <v/>
      </c>
      <c r="O864" s="4" t="str">
        <f t="shared" si="237"/>
        <v/>
      </c>
      <c r="P864" s="4" t="str">
        <f t="shared" si="238"/>
        <v/>
      </c>
      <c r="Q864" s="4" t="str">
        <f t="shared" si="239"/>
        <v/>
      </c>
      <c r="R864" s="4" t="str">
        <f t="shared" si="240"/>
        <v/>
      </c>
      <c r="S864" s="4" t="str">
        <f t="shared" si="241"/>
        <v/>
      </c>
      <c r="T864" s="4" t="str">
        <f t="shared" si="242"/>
        <v/>
      </c>
      <c r="U864">
        <f>IF(VLOOKUP(C864,'QA Table'!$Y$5:$Y$20,1,TRUE)=C864,1,0)</f>
        <v>0</v>
      </c>
      <c r="V864" t="str">
        <f t="shared" si="243"/>
        <v/>
      </c>
      <c r="W864" t="str">
        <f t="shared" si="244"/>
        <v/>
      </c>
      <c r="X864">
        <f t="shared" si="245"/>
        <v>3</v>
      </c>
      <c r="Y864">
        <f t="shared" si="246"/>
        <v>0</v>
      </c>
      <c r="AA864">
        <f t="shared" si="247"/>
        <v>1</v>
      </c>
    </row>
    <row r="865" spans="1:27" x14ac:dyDescent="0.2">
      <c r="A865" t="s">
        <v>61</v>
      </c>
      <c r="B865" t="s">
        <v>92</v>
      </c>
      <c r="C865" t="s">
        <v>2004</v>
      </c>
      <c r="D865" t="s">
        <v>4</v>
      </c>
      <c r="E865" t="s">
        <v>3</v>
      </c>
      <c r="F865" t="s">
        <v>2002</v>
      </c>
      <c r="G865" t="s">
        <v>1783</v>
      </c>
      <c r="H865" s="4">
        <f t="shared" si="231"/>
        <v>1</v>
      </c>
      <c r="I865" s="4" t="str">
        <f>IF(RIGHT(B865,1)="M",IF(AND(H865=1,E865="RFS",D865=INDEX('Station Depth Averages'!$A$3:$B$84,MATCH(B865,'Station Depth Averages'!$A$3:$A$84,0),2)),1,""),IF(AND(H865=1,OR(D865="SYN",D865="SRF",D865="MID")),1,IF(AND(H865=1,OR(E866="FDn",E866="LDn")),1,IF(AND(H865=1,OR(E865="FDn",E865="LDn")),1,""))))</f>
        <v/>
      </c>
      <c r="J865" s="4">
        <f t="shared" si="232"/>
        <v>1</v>
      </c>
      <c r="K865" s="4" t="str">
        <f t="shared" si="233"/>
        <v/>
      </c>
      <c r="L865" s="4">
        <f t="shared" si="234"/>
        <v>1</v>
      </c>
      <c r="M865" s="4">
        <f t="shared" si="235"/>
        <v>1</v>
      </c>
      <c r="N865" s="4">
        <f t="shared" si="236"/>
        <v>1</v>
      </c>
      <c r="O865" s="4">
        <f t="shared" si="237"/>
        <v>1</v>
      </c>
      <c r="P865" s="4">
        <f t="shared" si="238"/>
        <v>1</v>
      </c>
      <c r="Q865" s="4" t="str">
        <f t="shared" si="239"/>
        <v/>
      </c>
      <c r="R865" s="4" t="str">
        <f t="shared" si="240"/>
        <v/>
      </c>
      <c r="S865" s="4" t="str">
        <f t="shared" si="241"/>
        <v/>
      </c>
      <c r="T865" s="4" t="str">
        <f t="shared" si="242"/>
        <v/>
      </c>
      <c r="U865">
        <f>IF(VLOOKUP(C865,'QA Table'!$Y$5:$Y$20,1,TRUE)=C865,1,0)</f>
        <v>0</v>
      </c>
      <c r="V865" t="str">
        <f t="shared" si="243"/>
        <v/>
      </c>
      <c r="W865" t="str">
        <f t="shared" si="244"/>
        <v/>
      </c>
      <c r="X865">
        <f t="shared" si="245"/>
        <v>3</v>
      </c>
      <c r="Y865">
        <f t="shared" si="246"/>
        <v>0</v>
      </c>
      <c r="AA865">
        <f t="shared" si="247"/>
        <v>1</v>
      </c>
    </row>
    <row r="866" spans="1:27" x14ac:dyDescent="0.2">
      <c r="A866" t="s">
        <v>61</v>
      </c>
      <c r="B866" t="s">
        <v>92</v>
      </c>
      <c r="C866" t="s">
        <v>2005</v>
      </c>
      <c r="D866" t="s">
        <v>1051</v>
      </c>
      <c r="E866" t="s">
        <v>3</v>
      </c>
      <c r="F866" t="s">
        <v>2002</v>
      </c>
      <c r="G866" t="s">
        <v>1783</v>
      </c>
      <c r="H866" s="4">
        <f t="shared" si="231"/>
        <v>1</v>
      </c>
      <c r="I866" s="4" t="str">
        <f>IF(RIGHT(B866,1)="M",IF(AND(H866=1,E866="RFS",D866=INDEX('Station Depth Averages'!$A$3:$B$84,MATCH(B866,'Station Depth Averages'!$A$3:$A$84,0),2)),1,""),IF(AND(H866=1,OR(D866="SYN",D866="SRF",D866="MID")),1,IF(AND(H866=1,OR(E867="FDn",E867="LDn")),1,IF(AND(H866=1,OR(E866="FDn",E866="LDn")),1,""))))</f>
        <v/>
      </c>
      <c r="J866" s="4">
        <f t="shared" si="232"/>
        <v>1</v>
      </c>
      <c r="K866" s="4" t="str">
        <f t="shared" si="233"/>
        <v/>
      </c>
      <c r="L866" s="4" t="str">
        <f t="shared" si="234"/>
        <v/>
      </c>
      <c r="M866" s="4" t="str">
        <f t="shared" si="235"/>
        <v/>
      </c>
      <c r="N866" s="4" t="str">
        <f t="shared" si="236"/>
        <v/>
      </c>
      <c r="O866" s="4" t="str">
        <f t="shared" si="237"/>
        <v/>
      </c>
      <c r="P866" s="4" t="str">
        <f t="shared" si="238"/>
        <v/>
      </c>
      <c r="Q866" s="4" t="str">
        <f t="shared" si="239"/>
        <v/>
      </c>
      <c r="R866" s="4" t="str">
        <f t="shared" si="240"/>
        <v/>
      </c>
      <c r="S866" s="4" t="str">
        <f t="shared" si="241"/>
        <v/>
      </c>
      <c r="T866" s="4" t="str">
        <f t="shared" si="242"/>
        <v/>
      </c>
      <c r="U866">
        <f>IF(VLOOKUP(C866,'QA Table'!$Y$5:$Y$20,1,TRUE)=C866,1,0)</f>
        <v>0</v>
      </c>
      <c r="V866" t="str">
        <f t="shared" si="243"/>
        <v/>
      </c>
      <c r="W866" t="str">
        <f t="shared" si="244"/>
        <v/>
      </c>
      <c r="X866">
        <f t="shared" si="245"/>
        <v>3</v>
      </c>
      <c r="Y866">
        <f t="shared" si="246"/>
        <v>0</v>
      </c>
      <c r="AA866">
        <f t="shared" si="247"/>
        <v>1</v>
      </c>
    </row>
    <row r="867" spans="1:27" x14ac:dyDescent="0.2">
      <c r="A867" t="s">
        <v>61</v>
      </c>
      <c r="B867" t="s">
        <v>92</v>
      </c>
      <c r="C867" t="s">
        <v>2006</v>
      </c>
      <c r="D867" t="s">
        <v>120</v>
      </c>
      <c r="E867" t="s">
        <v>3</v>
      </c>
      <c r="F867" t="s">
        <v>2002</v>
      </c>
      <c r="G867" t="s">
        <v>1783</v>
      </c>
      <c r="H867" s="4">
        <f t="shared" si="231"/>
        <v>1</v>
      </c>
      <c r="I867" s="4" t="str">
        <f>IF(RIGHT(B867,1)="M",IF(AND(H867=1,E867="RFS",D867=INDEX('Station Depth Averages'!$A$3:$B$84,MATCH(B867,'Station Depth Averages'!$A$3:$A$84,0),2)),1,""),IF(AND(H867=1,OR(D867="SYN",D867="SRF",D867="MID")),1,IF(AND(H867=1,OR(E868="FDn",E868="LDn")),1,IF(AND(H867=1,OR(E867="FDn",E867="LDn")),1,""))))</f>
        <v/>
      </c>
      <c r="J867" s="4">
        <f t="shared" si="232"/>
        <v>1</v>
      </c>
      <c r="K867" s="4" t="str">
        <f t="shared" si="233"/>
        <v/>
      </c>
      <c r="L867" s="4" t="str">
        <f t="shared" si="234"/>
        <v/>
      </c>
      <c r="M867" s="4" t="str">
        <f t="shared" si="235"/>
        <v/>
      </c>
      <c r="N867" s="4" t="str">
        <f t="shared" si="236"/>
        <v/>
      </c>
      <c r="O867" s="4" t="str">
        <f t="shared" si="237"/>
        <v/>
      </c>
      <c r="P867" s="4" t="str">
        <f t="shared" si="238"/>
        <v/>
      </c>
      <c r="Q867" s="4" t="str">
        <f t="shared" si="239"/>
        <v/>
      </c>
      <c r="R867" s="4" t="str">
        <f t="shared" si="240"/>
        <v/>
      </c>
      <c r="S867" s="4" t="str">
        <f t="shared" si="241"/>
        <v/>
      </c>
      <c r="T867" s="4" t="str">
        <f t="shared" si="242"/>
        <v/>
      </c>
      <c r="U867">
        <f>IF(VLOOKUP(C867,'QA Table'!$Y$5:$Y$20,1,TRUE)=C867,1,0)</f>
        <v>0</v>
      </c>
      <c r="V867" t="str">
        <f t="shared" si="243"/>
        <v/>
      </c>
      <c r="W867" t="str">
        <f t="shared" si="244"/>
        <v/>
      </c>
      <c r="X867">
        <f t="shared" si="245"/>
        <v>3</v>
      </c>
      <c r="Y867">
        <f t="shared" si="246"/>
        <v>0</v>
      </c>
      <c r="AA867">
        <f t="shared" si="247"/>
        <v>1</v>
      </c>
    </row>
    <row r="868" spans="1:27" x14ac:dyDescent="0.2">
      <c r="A868" t="s">
        <v>61</v>
      </c>
      <c r="B868" t="s">
        <v>92</v>
      </c>
      <c r="C868" t="s">
        <v>1127</v>
      </c>
      <c r="D868" t="s">
        <v>16</v>
      </c>
      <c r="E868" t="s">
        <v>3</v>
      </c>
      <c r="F868" t="s">
        <v>2002</v>
      </c>
      <c r="G868" t="s">
        <v>1783</v>
      </c>
      <c r="H868" s="4">
        <f t="shared" si="231"/>
        <v>1</v>
      </c>
      <c r="I868" s="4" t="str">
        <f>IF(RIGHT(B868,1)="M",IF(AND(H868=1,E868="RFS",D868=INDEX('Station Depth Averages'!$A$3:$B$84,MATCH(B868,'Station Depth Averages'!$A$3:$A$84,0),2)),1,""),IF(AND(H868=1,OR(D868="SYN",D868="SRF",D868="MID")),1,IF(AND(H868=1,OR(E869="FDn",E869="LDn")),1,IF(AND(H868=1,OR(E868="FDn",E868="LDn")),1,""))))</f>
        <v/>
      </c>
      <c r="J868" s="4">
        <f t="shared" si="232"/>
        <v>1</v>
      </c>
      <c r="K868" s="4" t="str">
        <f t="shared" si="233"/>
        <v/>
      </c>
      <c r="L868" s="4" t="str">
        <f t="shared" si="234"/>
        <v/>
      </c>
      <c r="M868" s="4" t="str">
        <f t="shared" si="235"/>
        <v/>
      </c>
      <c r="N868" s="4" t="str">
        <f t="shared" si="236"/>
        <v/>
      </c>
      <c r="O868" s="4" t="str">
        <f t="shared" si="237"/>
        <v/>
      </c>
      <c r="P868" s="4" t="str">
        <f t="shared" si="238"/>
        <v/>
      </c>
      <c r="Q868" s="4" t="str">
        <f t="shared" si="239"/>
        <v/>
      </c>
      <c r="R868" s="4" t="str">
        <f t="shared" si="240"/>
        <v/>
      </c>
      <c r="S868" s="4" t="str">
        <f t="shared" si="241"/>
        <v/>
      </c>
      <c r="T868" s="4" t="str">
        <f t="shared" si="242"/>
        <v/>
      </c>
      <c r="U868">
        <f>IF(VLOOKUP(C868,'QA Table'!$Y$5:$Y$20,1,TRUE)=C868,1,0)</f>
        <v>0</v>
      </c>
      <c r="V868" t="str">
        <f t="shared" si="243"/>
        <v/>
      </c>
      <c r="W868" t="str">
        <f t="shared" si="244"/>
        <v/>
      </c>
      <c r="X868">
        <f t="shared" si="245"/>
        <v>3</v>
      </c>
      <c r="Y868">
        <f t="shared" si="246"/>
        <v>0</v>
      </c>
      <c r="AA868">
        <f t="shared" si="247"/>
        <v>1</v>
      </c>
    </row>
    <row r="869" spans="1:27" x14ac:dyDescent="0.2">
      <c r="A869" t="s">
        <v>61</v>
      </c>
      <c r="B869" t="s">
        <v>92</v>
      </c>
      <c r="C869" t="s">
        <v>2007</v>
      </c>
      <c r="D869" t="s">
        <v>16</v>
      </c>
      <c r="E869" t="s">
        <v>7</v>
      </c>
      <c r="F869" t="s">
        <v>2002</v>
      </c>
      <c r="G869" t="s">
        <v>1783</v>
      </c>
      <c r="H869" s="4">
        <f t="shared" si="231"/>
        <v>1</v>
      </c>
      <c r="I869" s="4" t="str">
        <f>IF(RIGHT(B869,1)="M",IF(AND(H869=1,E869="RFS",D869=INDEX('Station Depth Averages'!$A$3:$B$84,MATCH(B869,'Station Depth Averages'!$A$3:$A$84,0),2)),1,""),IF(AND(H869=1,OR(D869="SYN",D869="SRF",D869="MID")),1,IF(AND(H869=1,OR(E870="FDn",E870="LDn")),1,IF(AND(H869=1,OR(E869="FDn",E869="LDn")),1,""))))</f>
        <v/>
      </c>
      <c r="J869" s="4">
        <f t="shared" si="232"/>
        <v>1</v>
      </c>
      <c r="K869" s="4" t="str">
        <f t="shared" si="233"/>
        <v/>
      </c>
      <c r="L869" s="4" t="str">
        <f t="shared" si="234"/>
        <v/>
      </c>
      <c r="M869" s="4" t="str">
        <f t="shared" si="235"/>
        <v/>
      </c>
      <c r="N869" s="4" t="str">
        <f t="shared" si="236"/>
        <v/>
      </c>
      <c r="O869" s="4" t="str">
        <f t="shared" si="237"/>
        <v/>
      </c>
      <c r="P869" s="4" t="str">
        <f t="shared" si="238"/>
        <v/>
      </c>
      <c r="Q869" s="4" t="str">
        <f t="shared" si="239"/>
        <v/>
      </c>
      <c r="R869" s="4" t="str">
        <f t="shared" si="240"/>
        <v/>
      </c>
      <c r="S869" s="4" t="str">
        <f t="shared" si="241"/>
        <v/>
      </c>
      <c r="T869" s="4" t="str">
        <f t="shared" si="242"/>
        <v/>
      </c>
      <c r="U869">
        <f>IF(VLOOKUP(C869,'QA Table'!$Y$5:$Y$20,1,TRUE)=C869,1,0)</f>
        <v>0</v>
      </c>
      <c r="V869" t="str">
        <f t="shared" si="243"/>
        <v/>
      </c>
      <c r="W869" t="str">
        <f t="shared" si="244"/>
        <v/>
      </c>
      <c r="X869">
        <f t="shared" si="245"/>
        <v>3</v>
      </c>
      <c r="Y869">
        <f t="shared" si="246"/>
        <v>0</v>
      </c>
      <c r="AA869">
        <f t="shared" si="247"/>
        <v>1</v>
      </c>
    </row>
    <row r="870" spans="1:27" x14ac:dyDescent="0.2">
      <c r="A870" t="s">
        <v>61</v>
      </c>
      <c r="B870" t="s">
        <v>92</v>
      </c>
      <c r="C870" t="s">
        <v>2008</v>
      </c>
      <c r="D870" t="s">
        <v>17</v>
      </c>
      <c r="E870" t="s">
        <v>3</v>
      </c>
      <c r="F870" t="s">
        <v>2002</v>
      </c>
      <c r="G870" t="s">
        <v>1783</v>
      </c>
      <c r="H870" s="4">
        <f t="shared" si="231"/>
        <v>1</v>
      </c>
      <c r="I870" s="4" t="str">
        <f>IF(RIGHT(B870,1)="M",IF(AND(H870=1,E870="RFS",D870=INDEX('Station Depth Averages'!$A$3:$B$84,MATCH(B870,'Station Depth Averages'!$A$3:$A$84,0),2)),1,""),IF(AND(H870=1,OR(D870="SYN",D870="SRF",D870="MID")),1,IF(AND(H870=1,OR(E871="FDn",E871="LDn")),1,IF(AND(H870=1,OR(E870="FDn",E870="LDn")),1,""))))</f>
        <v/>
      </c>
      <c r="J870" s="4">
        <f t="shared" si="232"/>
        <v>1</v>
      </c>
      <c r="K870" s="4" t="str">
        <f t="shared" si="233"/>
        <v/>
      </c>
      <c r="L870" s="4" t="str">
        <f t="shared" si="234"/>
        <v/>
      </c>
      <c r="M870" s="4" t="str">
        <f t="shared" si="235"/>
        <v/>
      </c>
      <c r="N870" s="4" t="str">
        <f t="shared" si="236"/>
        <v/>
      </c>
      <c r="O870" s="4" t="str">
        <f t="shared" si="237"/>
        <v/>
      </c>
      <c r="P870" s="4" t="str">
        <f t="shared" si="238"/>
        <v/>
      </c>
      <c r="Q870" s="4" t="str">
        <f t="shared" si="239"/>
        <v/>
      </c>
      <c r="R870" s="4" t="str">
        <f t="shared" si="240"/>
        <v/>
      </c>
      <c r="S870" s="4" t="str">
        <f t="shared" si="241"/>
        <v/>
      </c>
      <c r="T870" s="4" t="str">
        <f t="shared" si="242"/>
        <v/>
      </c>
      <c r="U870">
        <f>IF(VLOOKUP(C870,'QA Table'!$Y$5:$Y$20,1,TRUE)=C870,1,0)</f>
        <v>0</v>
      </c>
      <c r="V870" t="str">
        <f t="shared" si="243"/>
        <v/>
      </c>
      <c r="W870" t="str">
        <f t="shared" si="244"/>
        <v/>
      </c>
      <c r="X870">
        <f t="shared" si="245"/>
        <v>3</v>
      </c>
      <c r="Y870">
        <f t="shared" si="246"/>
        <v>0</v>
      </c>
      <c r="AA870">
        <f t="shared" si="247"/>
        <v>1</v>
      </c>
    </row>
    <row r="871" spans="1:27" x14ac:dyDescent="0.2">
      <c r="A871" t="s">
        <v>61</v>
      </c>
      <c r="B871" t="s">
        <v>92</v>
      </c>
      <c r="C871" t="s">
        <v>2009</v>
      </c>
      <c r="D871" t="s">
        <v>18</v>
      </c>
      <c r="E871" t="s">
        <v>3</v>
      </c>
      <c r="F871" t="s">
        <v>2002</v>
      </c>
      <c r="G871" t="s">
        <v>1783</v>
      </c>
      <c r="H871" s="4">
        <f t="shared" si="231"/>
        <v>1</v>
      </c>
      <c r="I871" s="4">
        <f>IF(RIGHT(B871,1)="M",IF(AND(H871=1,E871="RFS",D871=INDEX('Station Depth Averages'!$A$3:$B$84,MATCH(B871,'Station Depth Averages'!$A$3:$A$84,0),2)),1,""),IF(AND(H871=1,OR(D871="SYN",D871="SRF",D871="MID")),1,IF(AND(H871=1,OR(E872="FDn",E872="LDn")),1,IF(AND(H871=1,OR(E871="FDn",E871="LDn")),1,""))))</f>
        <v>1</v>
      </c>
      <c r="J871" s="4">
        <f t="shared" si="232"/>
        <v>1</v>
      </c>
      <c r="K871" s="4" t="str">
        <f t="shared" si="233"/>
        <v/>
      </c>
      <c r="L871" s="4" t="str">
        <f t="shared" si="234"/>
        <v/>
      </c>
      <c r="M871" s="4" t="str">
        <f t="shared" si="235"/>
        <v/>
      </c>
      <c r="N871" s="4" t="str">
        <f t="shared" si="236"/>
        <v/>
      </c>
      <c r="O871" s="4" t="str">
        <f t="shared" si="237"/>
        <v/>
      </c>
      <c r="P871" s="4" t="str">
        <f t="shared" si="238"/>
        <v/>
      </c>
      <c r="Q871" s="4" t="str">
        <f t="shared" si="239"/>
        <v/>
      </c>
      <c r="R871" s="4" t="str">
        <f t="shared" si="240"/>
        <v/>
      </c>
      <c r="S871" s="4" t="str">
        <f t="shared" si="241"/>
        <v/>
      </c>
      <c r="T871" s="4" t="str">
        <f t="shared" si="242"/>
        <v/>
      </c>
      <c r="U871">
        <f>IF(VLOOKUP(C871,'QA Table'!$Y$5:$Y$20,1,TRUE)=C871,1,0)</f>
        <v>0</v>
      </c>
      <c r="V871" t="str">
        <f t="shared" si="243"/>
        <v/>
      </c>
      <c r="W871" t="str">
        <f t="shared" si="244"/>
        <v/>
      </c>
      <c r="X871">
        <f t="shared" si="245"/>
        <v>3</v>
      </c>
      <c r="Y871">
        <f t="shared" si="246"/>
        <v>0</v>
      </c>
      <c r="AA871">
        <f t="shared" si="247"/>
        <v>1</v>
      </c>
    </row>
    <row r="872" spans="1:27" x14ac:dyDescent="0.2">
      <c r="A872" t="s">
        <v>61</v>
      </c>
      <c r="B872" t="s">
        <v>92</v>
      </c>
      <c r="C872" t="s">
        <v>2010</v>
      </c>
      <c r="D872" t="s">
        <v>5</v>
      </c>
      <c r="E872" t="s">
        <v>3</v>
      </c>
      <c r="F872" t="s">
        <v>2002</v>
      </c>
      <c r="G872" t="s">
        <v>1783</v>
      </c>
      <c r="H872" s="4">
        <f t="shared" si="231"/>
        <v>1</v>
      </c>
      <c r="I872" s="4" t="str">
        <f>IF(RIGHT(B872,1)="M",IF(AND(H872=1,E872="RFS",D872=INDEX('Station Depth Averages'!$A$3:$B$84,MATCH(B872,'Station Depth Averages'!$A$3:$A$84,0),2)),1,""),IF(AND(H872=1,OR(D872="SYN",D872="SRF",D872="MID")),1,IF(AND(H872=1,OR(E873="FDn",E873="LDn")),1,IF(AND(H872=1,OR(E872="FDn",E872="LDn")),1,""))))</f>
        <v/>
      </c>
      <c r="J872" s="4">
        <f t="shared" si="232"/>
        <v>1</v>
      </c>
      <c r="K872" s="4" t="str">
        <f t="shared" si="233"/>
        <v/>
      </c>
      <c r="L872" s="4" t="str">
        <f t="shared" si="234"/>
        <v/>
      </c>
      <c r="M872" s="4" t="str">
        <f t="shared" si="235"/>
        <v/>
      </c>
      <c r="N872" s="4" t="str">
        <f t="shared" si="236"/>
        <v/>
      </c>
      <c r="O872" s="4" t="str">
        <f t="shared" si="237"/>
        <v/>
      </c>
      <c r="P872" s="4" t="str">
        <f t="shared" si="238"/>
        <v/>
      </c>
      <c r="Q872" s="4" t="str">
        <f t="shared" si="239"/>
        <v/>
      </c>
      <c r="R872" s="4" t="str">
        <f t="shared" si="240"/>
        <v/>
      </c>
      <c r="S872" s="4" t="str">
        <f t="shared" si="241"/>
        <v/>
      </c>
      <c r="T872" s="4" t="str">
        <f t="shared" si="242"/>
        <v/>
      </c>
      <c r="U872">
        <f>IF(VLOOKUP(C872,'QA Table'!$Y$5:$Y$20,1,TRUE)=C872,1,0)</f>
        <v>0</v>
      </c>
      <c r="V872" t="str">
        <f t="shared" si="243"/>
        <v/>
      </c>
      <c r="W872" t="str">
        <f t="shared" si="244"/>
        <v/>
      </c>
      <c r="X872">
        <f t="shared" si="245"/>
        <v>3</v>
      </c>
      <c r="Y872">
        <f t="shared" si="246"/>
        <v>0</v>
      </c>
      <c r="AA872">
        <f t="shared" si="247"/>
        <v>1</v>
      </c>
    </row>
    <row r="873" spans="1:27" x14ac:dyDescent="0.2">
      <c r="A873" t="s">
        <v>61</v>
      </c>
      <c r="B873" t="s">
        <v>92</v>
      </c>
      <c r="C873" t="s">
        <v>2011</v>
      </c>
      <c r="D873" t="s">
        <v>6</v>
      </c>
      <c r="E873" t="s">
        <v>3</v>
      </c>
      <c r="F873" t="s">
        <v>2002</v>
      </c>
      <c r="G873" t="s">
        <v>1783</v>
      </c>
      <c r="H873" s="4">
        <f t="shared" si="231"/>
        <v>1</v>
      </c>
      <c r="I873" s="4" t="str">
        <f>IF(RIGHT(B873,1)="M",IF(AND(H873=1,E873="RFS",D873=INDEX('Station Depth Averages'!$A$3:$B$84,MATCH(B873,'Station Depth Averages'!$A$3:$A$84,0),2)),1,""),IF(AND(H873=1,OR(D873="SYN",D873="SRF",D873="MID")),1,IF(AND(H873=1,OR(E874="FDn",E874="LDn")),1,IF(AND(H873=1,OR(E873="FDn",E873="LDn")),1,""))))</f>
        <v/>
      </c>
      <c r="J873" s="4">
        <f t="shared" si="232"/>
        <v>1</v>
      </c>
      <c r="K873" s="4" t="str">
        <f t="shared" si="233"/>
        <v/>
      </c>
      <c r="L873" s="4" t="str">
        <f t="shared" si="234"/>
        <v/>
      </c>
      <c r="M873" s="4" t="str">
        <f t="shared" si="235"/>
        <v/>
      </c>
      <c r="N873" s="4" t="str">
        <f t="shared" si="236"/>
        <v/>
      </c>
      <c r="O873" s="4" t="str">
        <f t="shared" si="237"/>
        <v/>
      </c>
      <c r="P873" s="4" t="str">
        <f t="shared" si="238"/>
        <v/>
      </c>
      <c r="Q873" s="4" t="str">
        <f t="shared" si="239"/>
        <v/>
      </c>
      <c r="R873" s="4" t="str">
        <f t="shared" si="240"/>
        <v/>
      </c>
      <c r="S873" s="4" t="str">
        <f t="shared" si="241"/>
        <v/>
      </c>
      <c r="T873" s="4" t="str">
        <f t="shared" si="242"/>
        <v/>
      </c>
      <c r="U873">
        <f>IF(VLOOKUP(C873,'QA Table'!$Y$5:$Y$20,1,TRUE)=C873,1,0)</f>
        <v>0</v>
      </c>
      <c r="V873" t="str">
        <f t="shared" si="243"/>
        <v/>
      </c>
      <c r="W873" t="str">
        <f t="shared" si="244"/>
        <v/>
      </c>
      <c r="X873">
        <f t="shared" si="245"/>
        <v>3</v>
      </c>
      <c r="Y873">
        <f t="shared" si="246"/>
        <v>0</v>
      </c>
      <c r="AA873">
        <f t="shared" si="247"/>
        <v>1</v>
      </c>
    </row>
    <row r="874" spans="1:27" x14ac:dyDescent="0.2">
      <c r="A874" t="s">
        <v>61</v>
      </c>
      <c r="B874" t="s">
        <v>92</v>
      </c>
      <c r="C874" t="s">
        <v>2012</v>
      </c>
      <c r="D874" t="s">
        <v>8</v>
      </c>
      <c r="E874" t="s">
        <v>3</v>
      </c>
      <c r="F874" t="s">
        <v>2002</v>
      </c>
      <c r="G874" t="s">
        <v>1783</v>
      </c>
      <c r="H874" s="4">
        <f t="shared" si="231"/>
        <v>1</v>
      </c>
      <c r="I874" s="4" t="str">
        <f>IF(RIGHT(B874,1)="M",IF(AND(H874=1,E874="RFS",D874=INDEX('Station Depth Averages'!$A$3:$B$84,MATCH(B874,'Station Depth Averages'!$A$3:$A$84,0),2)),1,""),IF(AND(H874=1,OR(D874="SYN",D874="SRF",D874="MID")),1,IF(AND(H874=1,OR(E875="FDn",E875="LDn")),1,IF(AND(H874=1,OR(E874="FDn",E874="LDn")),1,""))))</f>
        <v/>
      </c>
      <c r="J874" s="4" t="str">
        <f t="shared" si="232"/>
        <v/>
      </c>
      <c r="K874" s="4">
        <f t="shared" si="233"/>
        <v>1</v>
      </c>
      <c r="L874" s="4" t="str">
        <f t="shared" si="234"/>
        <v/>
      </c>
      <c r="M874" s="4" t="str">
        <f t="shared" si="235"/>
        <v/>
      </c>
      <c r="N874" s="4" t="str">
        <f t="shared" si="236"/>
        <v/>
      </c>
      <c r="O874" s="4" t="str">
        <f t="shared" si="237"/>
        <v/>
      </c>
      <c r="P874" s="4" t="str">
        <f t="shared" si="238"/>
        <v/>
      </c>
      <c r="Q874" s="4">
        <f t="shared" si="239"/>
        <v>2</v>
      </c>
      <c r="R874" s="4" t="str">
        <f t="shared" si="240"/>
        <v/>
      </c>
      <c r="S874" s="4" t="str">
        <f t="shared" si="241"/>
        <v/>
      </c>
      <c r="T874" s="4" t="str">
        <f t="shared" si="242"/>
        <v/>
      </c>
      <c r="U874">
        <f>IF(VLOOKUP(C874,'QA Table'!$Y$5:$Y$20,1,TRUE)=C874,1,0)</f>
        <v>0</v>
      </c>
      <c r="V874" t="str">
        <f t="shared" si="243"/>
        <v/>
      </c>
      <c r="W874" t="str">
        <f t="shared" si="244"/>
        <v/>
      </c>
      <c r="X874">
        <f t="shared" si="245"/>
        <v>3</v>
      </c>
      <c r="Y874">
        <f t="shared" si="246"/>
        <v>0</v>
      </c>
      <c r="AA874">
        <f t="shared" si="247"/>
        <v>1</v>
      </c>
    </row>
    <row r="875" spans="1:27" x14ac:dyDescent="0.2">
      <c r="A875" t="s">
        <v>61</v>
      </c>
      <c r="B875" t="s">
        <v>92</v>
      </c>
      <c r="C875" t="s">
        <v>2013</v>
      </c>
      <c r="D875" t="s">
        <v>9</v>
      </c>
      <c r="E875" t="s">
        <v>3</v>
      </c>
      <c r="F875" t="s">
        <v>2002</v>
      </c>
      <c r="G875" t="s">
        <v>1783</v>
      </c>
      <c r="H875" s="4" t="str">
        <f t="shared" si="231"/>
        <v/>
      </c>
      <c r="I875" s="4" t="str">
        <f>IF(RIGHT(B875,1)="M",IF(AND(H875=1,E875="RFS",D875=INDEX('Station Depth Averages'!$A$3:$B$84,MATCH(B875,'Station Depth Averages'!$A$3:$A$84,0),2)),1,""),IF(AND(H875=1,OR(D875="SYN",D875="SRF",D875="MID")),1,IF(AND(H875=1,OR(E876="FDn",E876="LDn")),1,IF(AND(H875=1,OR(E875="FDn",E875="LDn")),1,""))))</f>
        <v/>
      </c>
      <c r="J875" s="4" t="str">
        <f t="shared" si="232"/>
        <v/>
      </c>
      <c r="K875" s="4" t="str">
        <f t="shared" si="233"/>
        <v/>
      </c>
      <c r="L875" s="4" t="str">
        <f t="shared" si="234"/>
        <v/>
      </c>
      <c r="M875" s="4" t="str">
        <f t="shared" si="235"/>
        <v/>
      </c>
      <c r="N875" s="4" t="str">
        <f t="shared" si="236"/>
        <v/>
      </c>
      <c r="O875" s="4" t="str">
        <f t="shared" si="237"/>
        <v/>
      </c>
      <c r="P875" s="4" t="str">
        <f t="shared" si="238"/>
        <v/>
      </c>
      <c r="Q875" s="4" t="str">
        <f t="shared" si="239"/>
        <v/>
      </c>
      <c r="R875" s="4" t="str">
        <f t="shared" si="240"/>
        <v/>
      </c>
      <c r="S875" s="4" t="str">
        <f t="shared" si="241"/>
        <v/>
      </c>
      <c r="T875" s="4">
        <f t="shared" si="242"/>
        <v>2</v>
      </c>
      <c r="U875">
        <f>IF(VLOOKUP(C875,'QA Table'!$Y$5:$Y$20,1,TRUE)=C875,1,0)</f>
        <v>0</v>
      </c>
      <c r="V875" t="str">
        <f t="shared" si="243"/>
        <v/>
      </c>
      <c r="W875" t="str">
        <f t="shared" si="244"/>
        <v/>
      </c>
      <c r="X875" t="str">
        <f t="shared" si="245"/>
        <v/>
      </c>
      <c r="Y875">
        <f t="shared" si="246"/>
        <v>0</v>
      </c>
      <c r="AA875" t="str">
        <f t="shared" si="247"/>
        <v/>
      </c>
    </row>
    <row r="876" spans="1:27" x14ac:dyDescent="0.2">
      <c r="A876" t="s">
        <v>61</v>
      </c>
      <c r="B876" t="s">
        <v>92</v>
      </c>
      <c r="C876" t="s">
        <v>2014</v>
      </c>
      <c r="D876" t="s">
        <v>9</v>
      </c>
      <c r="E876" t="s">
        <v>3</v>
      </c>
      <c r="F876" t="s">
        <v>2002</v>
      </c>
      <c r="G876" t="s">
        <v>1783</v>
      </c>
      <c r="H876" s="4" t="str">
        <f t="shared" si="231"/>
        <v/>
      </c>
      <c r="I876" s="4" t="str">
        <f>IF(RIGHT(B876,1)="M",IF(AND(H876=1,E876="RFS",D876=INDEX('Station Depth Averages'!$A$3:$B$84,MATCH(B876,'Station Depth Averages'!$A$3:$A$84,0),2)),1,""),IF(AND(H876=1,OR(D876="SYN",D876="SRF",D876="MID")),1,IF(AND(H876=1,OR(E877="FDn",E877="LDn")),1,IF(AND(H876=1,OR(E876="FDn",E876="LDn")),1,""))))</f>
        <v/>
      </c>
      <c r="J876" s="4" t="str">
        <f t="shared" si="232"/>
        <v/>
      </c>
      <c r="K876" s="4" t="str">
        <f t="shared" si="233"/>
        <v/>
      </c>
      <c r="L876" s="4" t="str">
        <f t="shared" si="234"/>
        <v/>
      </c>
      <c r="M876" s="4" t="str">
        <f t="shared" si="235"/>
        <v/>
      </c>
      <c r="N876" s="4" t="str">
        <f t="shared" si="236"/>
        <v/>
      </c>
      <c r="O876" s="4" t="str">
        <f t="shared" si="237"/>
        <v/>
      </c>
      <c r="P876" s="4" t="str">
        <f t="shared" si="238"/>
        <v/>
      </c>
      <c r="Q876" s="4" t="str">
        <f t="shared" si="239"/>
        <v/>
      </c>
      <c r="R876" s="4" t="str">
        <f t="shared" si="240"/>
        <v/>
      </c>
      <c r="S876" s="4" t="str">
        <f t="shared" si="241"/>
        <v/>
      </c>
      <c r="T876" s="4">
        <f t="shared" si="242"/>
        <v>2</v>
      </c>
      <c r="U876">
        <f>IF(VLOOKUP(C876,'QA Table'!$Y$5:$Y$20,1,TRUE)=C876,1,0)</f>
        <v>0</v>
      </c>
      <c r="V876" t="str">
        <f t="shared" si="243"/>
        <v/>
      </c>
      <c r="W876" t="str">
        <f t="shared" si="244"/>
        <v/>
      </c>
      <c r="X876" t="str">
        <f t="shared" si="245"/>
        <v/>
      </c>
      <c r="Y876">
        <f t="shared" si="246"/>
        <v>0</v>
      </c>
      <c r="AA876" t="str">
        <f t="shared" si="247"/>
        <v/>
      </c>
    </row>
    <row r="877" spans="1:27" x14ac:dyDescent="0.2">
      <c r="A877" t="s">
        <v>61</v>
      </c>
      <c r="B877" t="s">
        <v>92</v>
      </c>
      <c r="C877" t="s">
        <v>2015</v>
      </c>
      <c r="D877" t="s">
        <v>10</v>
      </c>
      <c r="E877" t="s">
        <v>3</v>
      </c>
      <c r="F877" t="s">
        <v>2002</v>
      </c>
      <c r="G877" t="s">
        <v>1783</v>
      </c>
      <c r="H877" s="4" t="str">
        <f t="shared" si="231"/>
        <v/>
      </c>
      <c r="I877" s="4" t="str">
        <f>IF(RIGHT(B877,1)="M",IF(AND(H877=1,E877="RFS",D877=INDEX('Station Depth Averages'!$A$3:$B$84,MATCH(B877,'Station Depth Averages'!$A$3:$A$84,0),2)),1,""),IF(AND(H877=1,OR(D877="SYN",D877="SRF",D877="MID")),1,IF(AND(H877=1,OR(E878="FDn",E878="LDn")),1,IF(AND(H877=1,OR(E877="FDn",E877="LDn")),1,""))))</f>
        <v/>
      </c>
      <c r="J877" s="4" t="str">
        <f t="shared" si="232"/>
        <v/>
      </c>
      <c r="K877" s="4" t="str">
        <f t="shared" si="233"/>
        <v/>
      </c>
      <c r="L877" s="4" t="str">
        <f t="shared" si="234"/>
        <v/>
      </c>
      <c r="M877" s="4" t="str">
        <f t="shared" si="235"/>
        <v/>
      </c>
      <c r="N877" s="4" t="str">
        <f t="shared" si="236"/>
        <v/>
      </c>
      <c r="O877" s="4" t="str">
        <f t="shared" si="237"/>
        <v/>
      </c>
      <c r="P877" s="4" t="str">
        <f t="shared" si="238"/>
        <v/>
      </c>
      <c r="Q877" s="4" t="str">
        <f t="shared" si="239"/>
        <v/>
      </c>
      <c r="R877" s="4" t="str">
        <f t="shared" si="240"/>
        <v/>
      </c>
      <c r="S877" s="4" t="str">
        <f t="shared" si="241"/>
        <v/>
      </c>
      <c r="T877" s="4">
        <f t="shared" si="242"/>
        <v>2</v>
      </c>
      <c r="U877">
        <f>IF(VLOOKUP(C877,'QA Table'!$Y$5:$Y$20,1,TRUE)=C877,1,0)</f>
        <v>0</v>
      </c>
      <c r="V877" t="str">
        <f t="shared" si="243"/>
        <v/>
      </c>
      <c r="W877" t="str">
        <f t="shared" si="244"/>
        <v/>
      </c>
      <c r="X877" t="str">
        <f t="shared" si="245"/>
        <v/>
      </c>
      <c r="Y877">
        <f t="shared" si="246"/>
        <v>0</v>
      </c>
      <c r="AA877" t="str">
        <f t="shared" si="247"/>
        <v/>
      </c>
    </row>
    <row r="878" spans="1:27" x14ac:dyDescent="0.2">
      <c r="A878" t="s">
        <v>61</v>
      </c>
      <c r="B878" t="s">
        <v>92</v>
      </c>
      <c r="C878" t="s">
        <v>2016</v>
      </c>
      <c r="D878" t="s">
        <v>1034</v>
      </c>
      <c r="E878" t="s">
        <v>3</v>
      </c>
      <c r="F878" t="s">
        <v>2002</v>
      </c>
      <c r="G878" t="s">
        <v>1783</v>
      </c>
      <c r="H878" s="4" t="str">
        <f t="shared" si="231"/>
        <v/>
      </c>
      <c r="I878" s="4" t="str">
        <f>IF(RIGHT(B878,1)="M",IF(AND(H878=1,E878="RFS",D878=INDEX('Station Depth Averages'!$A$3:$B$84,MATCH(B878,'Station Depth Averages'!$A$3:$A$84,0),2)),1,""),IF(AND(H878=1,OR(D878="SYN",D878="SRF",D878="MID")),1,IF(AND(H878=1,OR(E879="FDn",E879="LDn")),1,IF(AND(H878=1,OR(E878="FDn",E878="LDn")),1,""))))</f>
        <v/>
      </c>
      <c r="J878" s="4" t="str">
        <f t="shared" si="232"/>
        <v/>
      </c>
      <c r="K878" s="4" t="str">
        <f t="shared" si="233"/>
        <v/>
      </c>
      <c r="L878" s="4" t="str">
        <f t="shared" si="234"/>
        <v/>
      </c>
      <c r="M878" s="4" t="str">
        <f t="shared" si="235"/>
        <v/>
      </c>
      <c r="N878" s="4" t="str">
        <f t="shared" si="236"/>
        <v/>
      </c>
      <c r="O878" s="4" t="str">
        <f t="shared" si="237"/>
        <v/>
      </c>
      <c r="P878" s="4" t="str">
        <f t="shared" si="238"/>
        <v/>
      </c>
      <c r="Q878" s="4" t="str">
        <f t="shared" si="239"/>
        <v/>
      </c>
      <c r="R878" s="4" t="str">
        <f t="shared" si="240"/>
        <v/>
      </c>
      <c r="S878" s="4">
        <f t="shared" si="241"/>
        <v>1</v>
      </c>
      <c r="T878" s="4" t="str">
        <f t="shared" si="242"/>
        <v/>
      </c>
      <c r="U878">
        <f>IF(VLOOKUP(C878,'QA Table'!$Y$5:$Y$20,1,TRUE)=C878,1,0)</f>
        <v>0</v>
      </c>
      <c r="V878" t="str">
        <f t="shared" si="243"/>
        <v/>
      </c>
      <c r="W878" t="str">
        <f t="shared" si="244"/>
        <v/>
      </c>
      <c r="X878" t="str">
        <f t="shared" si="245"/>
        <v/>
      </c>
      <c r="Y878">
        <f t="shared" si="246"/>
        <v>0</v>
      </c>
      <c r="AA878" t="str">
        <f t="shared" si="247"/>
        <v/>
      </c>
    </row>
    <row r="879" spans="1:27" x14ac:dyDescent="0.2">
      <c r="A879" t="s">
        <v>61</v>
      </c>
      <c r="B879" t="s">
        <v>92</v>
      </c>
      <c r="C879" t="s">
        <v>2017</v>
      </c>
      <c r="D879" t="s">
        <v>1034</v>
      </c>
      <c r="E879" t="s">
        <v>19</v>
      </c>
      <c r="F879" t="s">
        <v>2002</v>
      </c>
      <c r="G879" t="s">
        <v>1783</v>
      </c>
      <c r="H879" s="4" t="str">
        <f t="shared" si="231"/>
        <v/>
      </c>
      <c r="I879" s="4" t="str">
        <f>IF(RIGHT(B879,1)="M",IF(AND(H879=1,E879="RFS",D879=INDEX('Station Depth Averages'!$A$3:$B$84,MATCH(B879,'Station Depth Averages'!$A$3:$A$84,0),2)),1,""),IF(AND(H879=1,OR(D879="SYN",D879="SRF",D879="MID")),1,IF(AND(H879=1,OR(E880="FDn",E880="LDn")),1,IF(AND(H879=1,OR(E879="FDn",E879="LDn")),1,""))))</f>
        <v/>
      </c>
      <c r="J879" s="4" t="str">
        <f t="shared" si="232"/>
        <v/>
      </c>
      <c r="K879" s="4" t="str">
        <f t="shared" si="233"/>
        <v/>
      </c>
      <c r="L879" s="4" t="str">
        <f t="shared" si="234"/>
        <v/>
      </c>
      <c r="M879" s="4" t="str">
        <f t="shared" si="235"/>
        <v/>
      </c>
      <c r="N879" s="4" t="str">
        <f t="shared" si="236"/>
        <v/>
      </c>
      <c r="O879" s="4" t="str">
        <f t="shared" si="237"/>
        <v/>
      </c>
      <c r="P879" s="4" t="str">
        <f t="shared" si="238"/>
        <v/>
      </c>
      <c r="Q879" s="4" t="str">
        <f t="shared" si="239"/>
        <v/>
      </c>
      <c r="R879" s="4" t="str">
        <f t="shared" si="240"/>
        <v/>
      </c>
      <c r="S879" s="4">
        <f t="shared" si="241"/>
        <v>1</v>
      </c>
      <c r="T879" s="4" t="str">
        <f t="shared" si="242"/>
        <v/>
      </c>
      <c r="U879">
        <f>IF(VLOOKUP(C879,'QA Table'!$Y$5:$Y$20,1,TRUE)=C879,1,0)</f>
        <v>0</v>
      </c>
      <c r="V879" t="str">
        <f t="shared" si="243"/>
        <v/>
      </c>
      <c r="W879" t="str">
        <f t="shared" si="244"/>
        <v/>
      </c>
      <c r="X879" t="str">
        <f t="shared" si="245"/>
        <v/>
      </c>
      <c r="Y879">
        <f t="shared" si="246"/>
        <v>0</v>
      </c>
      <c r="AA879" t="str">
        <f t="shared" si="247"/>
        <v/>
      </c>
    </row>
    <row r="880" spans="1:27" x14ac:dyDescent="0.2">
      <c r="A880" t="s">
        <v>61</v>
      </c>
      <c r="B880" t="s">
        <v>93</v>
      </c>
      <c r="C880" t="s">
        <v>2018</v>
      </c>
      <c r="D880" t="s">
        <v>2</v>
      </c>
      <c r="E880" t="s">
        <v>3</v>
      </c>
      <c r="F880" t="s">
        <v>2019</v>
      </c>
      <c r="G880" t="s">
        <v>1783</v>
      </c>
      <c r="H880" s="4">
        <f t="shared" si="231"/>
        <v>1</v>
      </c>
      <c r="I880" s="4">
        <f>IF(RIGHT(B880,1)="M",IF(AND(H880=1,E880="RFS",D880=INDEX('Station Depth Averages'!$A$3:$B$84,MATCH(B880,'Station Depth Averages'!$A$3:$A$84,0),2)),1,""),IF(AND(H880=1,OR(D880="SYN",D880="SRF",D880="MID")),1,IF(AND(H880=1,OR(E881="FDn",E881="LDn")),1,IF(AND(H880=1,OR(E880="FDn",E880="LDn")),1,""))))</f>
        <v>1</v>
      </c>
      <c r="J880" s="4">
        <f t="shared" si="232"/>
        <v>1</v>
      </c>
      <c r="K880" s="4" t="str">
        <f t="shared" si="233"/>
        <v/>
      </c>
      <c r="L880" s="4" t="str">
        <f t="shared" si="234"/>
        <v/>
      </c>
      <c r="M880" s="4" t="str">
        <f t="shared" si="235"/>
        <v/>
      </c>
      <c r="N880" s="4" t="str">
        <f t="shared" si="236"/>
        <v/>
      </c>
      <c r="O880" s="4" t="str">
        <f t="shared" si="237"/>
        <v/>
      </c>
      <c r="P880" s="4" t="str">
        <f t="shared" si="238"/>
        <v/>
      </c>
      <c r="Q880" s="4" t="str">
        <f t="shared" si="239"/>
        <v/>
      </c>
      <c r="R880" s="4" t="str">
        <f t="shared" si="240"/>
        <v/>
      </c>
      <c r="S880" s="4" t="str">
        <f t="shared" si="241"/>
        <v/>
      </c>
      <c r="T880" s="4" t="str">
        <f t="shared" si="242"/>
        <v/>
      </c>
      <c r="U880">
        <f>IF(VLOOKUP(C880,'QA Table'!$Y$5:$Y$20,1,TRUE)=C880,1,0)</f>
        <v>0</v>
      </c>
      <c r="V880" t="str">
        <f t="shared" si="243"/>
        <v/>
      </c>
      <c r="W880" t="str">
        <f t="shared" si="244"/>
        <v/>
      </c>
      <c r="X880">
        <f t="shared" si="245"/>
        <v>3</v>
      </c>
      <c r="Y880">
        <f t="shared" si="246"/>
        <v>0</v>
      </c>
      <c r="AA880">
        <f t="shared" si="247"/>
        <v>1</v>
      </c>
    </row>
    <row r="881" spans="1:27" x14ac:dyDescent="0.2">
      <c r="A881" t="s">
        <v>61</v>
      </c>
      <c r="B881" t="s">
        <v>93</v>
      </c>
      <c r="C881" t="s">
        <v>2020</v>
      </c>
      <c r="D881" t="s">
        <v>1050</v>
      </c>
      <c r="E881" t="s">
        <v>3</v>
      </c>
      <c r="F881" t="s">
        <v>2019</v>
      </c>
      <c r="G881" t="s">
        <v>1783</v>
      </c>
      <c r="H881" s="4" t="str">
        <f t="shared" si="231"/>
        <v/>
      </c>
      <c r="I881" s="4" t="str">
        <f>IF(RIGHT(B881,1)="M",IF(AND(H881=1,E881="RFS",D881=INDEX('Station Depth Averages'!$A$3:$B$84,MATCH(B881,'Station Depth Averages'!$A$3:$A$84,0),2)),1,""),IF(AND(H881=1,OR(D881="SYN",D881="SRF",D881="MID")),1,IF(AND(H881=1,OR(E882="FDn",E882="LDn")),1,IF(AND(H881=1,OR(E881="FDn",E881="LDn")),1,""))))</f>
        <v/>
      </c>
      <c r="J881" s="4" t="str">
        <f t="shared" si="232"/>
        <v/>
      </c>
      <c r="K881" s="4" t="str">
        <f t="shared" si="233"/>
        <v/>
      </c>
      <c r="L881" s="4" t="str">
        <f t="shared" si="234"/>
        <v/>
      </c>
      <c r="M881" s="4" t="str">
        <f t="shared" si="235"/>
        <v/>
      </c>
      <c r="N881" s="4" t="str">
        <f t="shared" si="236"/>
        <v/>
      </c>
      <c r="O881" s="4" t="str">
        <f t="shared" si="237"/>
        <v/>
      </c>
      <c r="P881" s="4" t="str">
        <f t="shared" si="238"/>
        <v/>
      </c>
      <c r="Q881" s="4" t="str">
        <f t="shared" si="239"/>
        <v/>
      </c>
      <c r="R881" s="4" t="str">
        <f t="shared" si="240"/>
        <v/>
      </c>
      <c r="S881" s="4" t="str">
        <f t="shared" si="241"/>
        <v/>
      </c>
      <c r="T881" s="4" t="str">
        <f t="shared" si="242"/>
        <v/>
      </c>
      <c r="U881">
        <f>IF(VLOOKUP(C881,'QA Table'!$Y$5:$Y$20,1,TRUE)=C881,1,0)</f>
        <v>0</v>
      </c>
      <c r="V881" t="str">
        <f t="shared" si="243"/>
        <v/>
      </c>
      <c r="W881" t="str">
        <f t="shared" si="244"/>
        <v/>
      </c>
      <c r="X881" t="str">
        <f t="shared" si="245"/>
        <v/>
      </c>
      <c r="Y881">
        <f t="shared" si="246"/>
        <v>0</v>
      </c>
      <c r="AA881" t="str">
        <f t="shared" si="247"/>
        <v/>
      </c>
    </row>
    <row r="882" spans="1:27" x14ac:dyDescent="0.2">
      <c r="A882" t="s">
        <v>61</v>
      </c>
      <c r="B882" t="s">
        <v>93</v>
      </c>
      <c r="C882" t="s">
        <v>2021</v>
      </c>
      <c r="D882" t="s">
        <v>4</v>
      </c>
      <c r="E882" t="s">
        <v>3</v>
      </c>
      <c r="F882" t="s">
        <v>2019</v>
      </c>
      <c r="G882" t="s">
        <v>1783</v>
      </c>
      <c r="H882" s="4" t="str">
        <f t="shared" si="231"/>
        <v/>
      </c>
      <c r="I882" s="4" t="str">
        <f>IF(RIGHT(B882,1)="M",IF(AND(H882=1,E882="RFS",D882=INDEX('Station Depth Averages'!$A$3:$B$84,MATCH(B882,'Station Depth Averages'!$A$3:$A$84,0),2)),1,""),IF(AND(H882=1,OR(D882="SYN",D882="SRF",D882="MID")),1,IF(AND(H882=1,OR(E883="FDn",E883="LDn")),1,IF(AND(H882=1,OR(E882="FDn",E882="LDn")),1,""))))</f>
        <v/>
      </c>
      <c r="J882" s="4" t="str">
        <f t="shared" si="232"/>
        <v/>
      </c>
      <c r="K882" s="4" t="str">
        <f t="shared" si="233"/>
        <v/>
      </c>
      <c r="L882" s="4" t="str">
        <f t="shared" si="234"/>
        <v/>
      </c>
      <c r="M882" s="4" t="str">
        <f t="shared" si="235"/>
        <v/>
      </c>
      <c r="N882" s="4" t="str">
        <f t="shared" si="236"/>
        <v/>
      </c>
      <c r="O882" s="4" t="str">
        <f t="shared" si="237"/>
        <v/>
      </c>
      <c r="P882" s="4" t="str">
        <f t="shared" si="238"/>
        <v/>
      </c>
      <c r="Q882" s="4" t="str">
        <f t="shared" si="239"/>
        <v/>
      </c>
      <c r="R882" s="4" t="str">
        <f t="shared" si="240"/>
        <v/>
      </c>
      <c r="S882" s="4" t="str">
        <f t="shared" si="241"/>
        <v/>
      </c>
      <c r="T882" s="4" t="str">
        <f t="shared" si="242"/>
        <v/>
      </c>
      <c r="U882">
        <f>IF(VLOOKUP(C882,'QA Table'!$Y$5:$Y$20,1,TRUE)=C882,1,0)</f>
        <v>0</v>
      </c>
      <c r="V882" t="str">
        <f t="shared" si="243"/>
        <v/>
      </c>
      <c r="W882" t="str">
        <f t="shared" si="244"/>
        <v/>
      </c>
      <c r="X882" t="str">
        <f t="shared" si="245"/>
        <v/>
      </c>
      <c r="Y882">
        <f t="shared" si="246"/>
        <v>0</v>
      </c>
      <c r="AA882" t="str">
        <f t="shared" si="247"/>
        <v/>
      </c>
    </row>
    <row r="883" spans="1:27" x14ac:dyDescent="0.2">
      <c r="A883" t="s">
        <v>61</v>
      </c>
      <c r="B883" t="s">
        <v>93</v>
      </c>
      <c r="C883" t="s">
        <v>2022</v>
      </c>
      <c r="D883" t="s">
        <v>1051</v>
      </c>
      <c r="E883" t="s">
        <v>3</v>
      </c>
      <c r="F883" t="s">
        <v>2019</v>
      </c>
      <c r="G883" t="s">
        <v>1783</v>
      </c>
      <c r="H883" s="4" t="str">
        <f t="shared" si="231"/>
        <v/>
      </c>
      <c r="I883" s="4" t="str">
        <f>IF(RIGHT(B883,1)="M",IF(AND(H883=1,E883="RFS",D883=INDEX('Station Depth Averages'!$A$3:$B$84,MATCH(B883,'Station Depth Averages'!$A$3:$A$84,0),2)),1,""),IF(AND(H883=1,OR(D883="SYN",D883="SRF",D883="MID")),1,IF(AND(H883=1,OR(E884="FDn",E884="LDn")),1,IF(AND(H883=1,OR(E883="FDn",E883="LDn")),1,""))))</f>
        <v/>
      </c>
      <c r="J883" s="4" t="str">
        <f t="shared" si="232"/>
        <v/>
      </c>
      <c r="K883" s="4" t="str">
        <f t="shared" si="233"/>
        <v/>
      </c>
      <c r="L883" s="4" t="str">
        <f t="shared" si="234"/>
        <v/>
      </c>
      <c r="M883" s="4" t="str">
        <f t="shared" si="235"/>
        <v/>
      </c>
      <c r="N883" s="4" t="str">
        <f t="shared" si="236"/>
        <v/>
      </c>
      <c r="O883" s="4" t="str">
        <f t="shared" si="237"/>
        <v/>
      </c>
      <c r="P883" s="4" t="str">
        <f t="shared" si="238"/>
        <v/>
      </c>
      <c r="Q883" s="4" t="str">
        <f t="shared" si="239"/>
        <v/>
      </c>
      <c r="R883" s="4" t="str">
        <f t="shared" si="240"/>
        <v/>
      </c>
      <c r="S883" s="4" t="str">
        <f t="shared" si="241"/>
        <v/>
      </c>
      <c r="T883" s="4" t="str">
        <f t="shared" si="242"/>
        <v/>
      </c>
      <c r="U883">
        <f>IF(VLOOKUP(C883,'QA Table'!$Y$5:$Y$20,1,TRUE)=C883,1,0)</f>
        <v>0</v>
      </c>
      <c r="V883" t="str">
        <f t="shared" si="243"/>
        <v/>
      </c>
      <c r="W883" t="str">
        <f t="shared" si="244"/>
        <v/>
      </c>
      <c r="X883" t="str">
        <f t="shared" si="245"/>
        <v/>
      </c>
      <c r="Y883">
        <f t="shared" si="246"/>
        <v>0</v>
      </c>
      <c r="AA883" t="str">
        <f t="shared" si="247"/>
        <v/>
      </c>
    </row>
    <row r="884" spans="1:27" x14ac:dyDescent="0.2">
      <c r="A884" t="s">
        <v>61</v>
      </c>
      <c r="B884" t="s">
        <v>93</v>
      </c>
      <c r="C884" t="s">
        <v>2023</v>
      </c>
      <c r="D884" t="s">
        <v>119</v>
      </c>
      <c r="E884" t="s">
        <v>3</v>
      </c>
      <c r="F884" t="s">
        <v>2019</v>
      </c>
      <c r="G884" t="s">
        <v>1783</v>
      </c>
      <c r="H884" s="4">
        <f t="shared" si="231"/>
        <v>1</v>
      </c>
      <c r="I884" s="4">
        <f>IF(RIGHT(B884,1)="M",IF(AND(H884=1,E884="RFS",D884=INDEX('Station Depth Averages'!$A$3:$B$84,MATCH(B884,'Station Depth Averages'!$A$3:$A$84,0),2)),1,""),IF(AND(H884=1,OR(D884="SYN",D884="SRF",D884="MID")),1,IF(AND(H884=1,OR(E885="FDn",E885="LDn")),1,IF(AND(H884=1,OR(E884="FDn",E884="LDn")),1,""))))</f>
        <v>1</v>
      </c>
      <c r="J884" s="4">
        <f t="shared" si="232"/>
        <v>1</v>
      </c>
      <c r="K884" s="4" t="str">
        <f t="shared" si="233"/>
        <v/>
      </c>
      <c r="L884" s="4" t="str">
        <f t="shared" si="234"/>
        <v/>
      </c>
      <c r="M884" s="4" t="str">
        <f t="shared" si="235"/>
        <v/>
      </c>
      <c r="N884" s="4" t="str">
        <f t="shared" si="236"/>
        <v/>
      </c>
      <c r="O884" s="4" t="str">
        <f t="shared" si="237"/>
        <v/>
      </c>
      <c r="P884" s="4" t="str">
        <f t="shared" si="238"/>
        <v/>
      </c>
      <c r="Q884" s="4" t="str">
        <f t="shared" si="239"/>
        <v/>
      </c>
      <c r="R884" s="4" t="str">
        <f t="shared" si="240"/>
        <v/>
      </c>
      <c r="S884" s="4" t="str">
        <f t="shared" si="241"/>
        <v/>
      </c>
      <c r="T884" s="4" t="str">
        <f t="shared" si="242"/>
        <v/>
      </c>
      <c r="U884">
        <f>IF(VLOOKUP(C884,'QA Table'!$Y$5:$Y$20,1,TRUE)=C884,1,0)</f>
        <v>0</v>
      </c>
      <c r="V884" t="str">
        <f t="shared" si="243"/>
        <v/>
      </c>
      <c r="W884" t="str">
        <f t="shared" si="244"/>
        <v/>
      </c>
      <c r="X884">
        <f t="shared" si="245"/>
        <v>3</v>
      </c>
      <c r="Y884">
        <f t="shared" si="246"/>
        <v>0</v>
      </c>
      <c r="AA884">
        <f t="shared" si="247"/>
        <v>1</v>
      </c>
    </row>
    <row r="885" spans="1:27" x14ac:dyDescent="0.2">
      <c r="A885" t="s">
        <v>61</v>
      </c>
      <c r="B885" t="s">
        <v>93</v>
      </c>
      <c r="C885" t="s">
        <v>2024</v>
      </c>
      <c r="D885" t="s">
        <v>5</v>
      </c>
      <c r="E885" t="s">
        <v>3</v>
      </c>
      <c r="F885" t="s">
        <v>2019</v>
      </c>
      <c r="G885" t="s">
        <v>1783</v>
      </c>
      <c r="H885" s="4">
        <f t="shared" si="231"/>
        <v>1</v>
      </c>
      <c r="I885" s="4" t="str">
        <f>IF(RIGHT(B885,1)="M",IF(AND(H885=1,E885="RFS",D885=INDEX('Station Depth Averages'!$A$3:$B$84,MATCH(B885,'Station Depth Averages'!$A$3:$A$84,0),2)),1,""),IF(AND(H885=1,OR(D885="SYN",D885="SRF",D885="MID")),1,IF(AND(H885=1,OR(E886="FDn",E886="LDn")),1,IF(AND(H885=1,OR(E885="FDn",E885="LDn")),1,""))))</f>
        <v/>
      </c>
      <c r="J885" s="4">
        <f t="shared" si="232"/>
        <v>1</v>
      </c>
      <c r="K885" s="4" t="str">
        <f t="shared" si="233"/>
        <v/>
      </c>
      <c r="L885" s="4" t="str">
        <f t="shared" si="234"/>
        <v/>
      </c>
      <c r="M885" s="4" t="str">
        <f t="shared" si="235"/>
        <v/>
      </c>
      <c r="N885" s="4" t="str">
        <f t="shared" si="236"/>
        <v/>
      </c>
      <c r="O885" s="4" t="str">
        <f t="shared" si="237"/>
        <v/>
      </c>
      <c r="P885" s="4" t="str">
        <f t="shared" si="238"/>
        <v/>
      </c>
      <c r="Q885" s="4" t="str">
        <f t="shared" si="239"/>
        <v/>
      </c>
      <c r="R885" s="4" t="str">
        <f t="shared" si="240"/>
        <v/>
      </c>
      <c r="S885" s="4" t="str">
        <f t="shared" si="241"/>
        <v/>
      </c>
      <c r="T885" s="4" t="str">
        <f t="shared" si="242"/>
        <v/>
      </c>
      <c r="U885">
        <f>IF(VLOOKUP(C885,'QA Table'!$Y$5:$Y$20,1,TRUE)=C885,1,0)</f>
        <v>0</v>
      </c>
      <c r="V885" t="str">
        <f t="shared" si="243"/>
        <v/>
      </c>
      <c r="W885" t="str">
        <f t="shared" si="244"/>
        <v/>
      </c>
      <c r="X885">
        <f t="shared" si="245"/>
        <v>3</v>
      </c>
      <c r="Y885">
        <f t="shared" si="246"/>
        <v>0</v>
      </c>
      <c r="AA885">
        <f t="shared" si="247"/>
        <v>1</v>
      </c>
    </row>
    <row r="886" spans="1:27" x14ac:dyDescent="0.2">
      <c r="A886" t="s">
        <v>61</v>
      </c>
      <c r="B886" t="s">
        <v>93</v>
      </c>
      <c r="C886" t="s">
        <v>2025</v>
      </c>
      <c r="D886" t="s">
        <v>6</v>
      </c>
      <c r="E886" t="s">
        <v>3</v>
      </c>
      <c r="F886" t="s">
        <v>2019</v>
      </c>
      <c r="G886" t="s">
        <v>1783</v>
      </c>
      <c r="H886" s="4">
        <f t="shared" si="231"/>
        <v>1</v>
      </c>
      <c r="I886" s="4" t="str">
        <f>IF(RIGHT(B886,1)="M",IF(AND(H886=1,E886="RFS",D886=INDEX('Station Depth Averages'!$A$3:$B$84,MATCH(B886,'Station Depth Averages'!$A$3:$A$84,0),2)),1,""),IF(AND(H886=1,OR(D886="SYN",D886="SRF",D886="MID")),1,IF(AND(H886=1,OR(E887="FDn",E887="LDn")),1,IF(AND(H886=1,OR(E886="FDn",E886="LDn")),1,""))))</f>
        <v/>
      </c>
      <c r="J886" s="4">
        <f t="shared" si="232"/>
        <v>1</v>
      </c>
      <c r="K886" s="4" t="str">
        <f t="shared" si="233"/>
        <v/>
      </c>
      <c r="L886" s="4" t="str">
        <f t="shared" si="234"/>
        <v/>
      </c>
      <c r="M886" s="4" t="str">
        <f t="shared" si="235"/>
        <v/>
      </c>
      <c r="N886" s="4" t="str">
        <f t="shared" si="236"/>
        <v/>
      </c>
      <c r="O886" s="4" t="str">
        <f t="shared" si="237"/>
        <v/>
      </c>
      <c r="P886" s="4" t="str">
        <f t="shared" si="238"/>
        <v/>
      </c>
      <c r="Q886" s="4" t="str">
        <f t="shared" si="239"/>
        <v/>
      </c>
      <c r="R886" s="4" t="str">
        <f t="shared" si="240"/>
        <v/>
      </c>
      <c r="S886" s="4" t="str">
        <f t="shared" si="241"/>
        <v/>
      </c>
      <c r="T886" s="4" t="str">
        <f t="shared" si="242"/>
        <v/>
      </c>
      <c r="U886">
        <f>IF(VLOOKUP(C886,'QA Table'!$Y$5:$Y$20,1,TRUE)=C886,1,0)</f>
        <v>0</v>
      </c>
      <c r="V886" t="str">
        <f t="shared" si="243"/>
        <v/>
      </c>
      <c r="W886" t="str">
        <f t="shared" si="244"/>
        <v/>
      </c>
      <c r="X886">
        <f t="shared" si="245"/>
        <v>3</v>
      </c>
      <c r="Y886">
        <f t="shared" si="246"/>
        <v>0</v>
      </c>
      <c r="AA886">
        <f t="shared" si="247"/>
        <v>1</v>
      </c>
    </row>
    <row r="887" spans="1:27" x14ac:dyDescent="0.2">
      <c r="A887" t="s">
        <v>61</v>
      </c>
      <c r="B887" t="s">
        <v>93</v>
      </c>
      <c r="C887" t="s">
        <v>2026</v>
      </c>
      <c r="D887" t="s">
        <v>8</v>
      </c>
      <c r="E887" t="s">
        <v>3</v>
      </c>
      <c r="F887" t="s">
        <v>2019</v>
      </c>
      <c r="G887" t="s">
        <v>1783</v>
      </c>
      <c r="H887" s="4">
        <f t="shared" si="231"/>
        <v>1</v>
      </c>
      <c r="I887" s="4" t="str">
        <f>IF(RIGHT(B887,1)="M",IF(AND(H887=1,E887="RFS",D887=INDEX('Station Depth Averages'!$A$3:$B$84,MATCH(B887,'Station Depth Averages'!$A$3:$A$84,0),2)),1,""),IF(AND(H887=1,OR(D887="SYN",D887="SRF",D887="MID")),1,IF(AND(H887=1,OR(E888="FDn",E888="LDn")),1,IF(AND(H887=1,OR(E887="FDn",E887="LDn")),1,""))))</f>
        <v/>
      </c>
      <c r="J887" s="4" t="str">
        <f t="shared" si="232"/>
        <v/>
      </c>
      <c r="K887" s="4">
        <f t="shared" si="233"/>
        <v>1</v>
      </c>
      <c r="L887" s="4" t="str">
        <f t="shared" si="234"/>
        <v/>
      </c>
      <c r="M887" s="4" t="str">
        <f t="shared" si="235"/>
        <v/>
      </c>
      <c r="N887" s="4" t="str">
        <f t="shared" si="236"/>
        <v/>
      </c>
      <c r="O887" s="4" t="str">
        <f t="shared" si="237"/>
        <v/>
      </c>
      <c r="P887" s="4" t="str">
        <f t="shared" si="238"/>
        <v/>
      </c>
      <c r="Q887" s="4">
        <f t="shared" si="239"/>
        <v>2</v>
      </c>
      <c r="R887" s="4" t="str">
        <f t="shared" si="240"/>
        <v/>
      </c>
      <c r="S887" s="4" t="str">
        <f t="shared" si="241"/>
        <v/>
      </c>
      <c r="T887" s="4" t="str">
        <f t="shared" si="242"/>
        <v/>
      </c>
      <c r="U887">
        <f>IF(VLOOKUP(C887,'QA Table'!$Y$5:$Y$20,1,TRUE)=C887,1,0)</f>
        <v>0</v>
      </c>
      <c r="V887" t="str">
        <f t="shared" si="243"/>
        <v/>
      </c>
      <c r="W887" t="str">
        <f t="shared" si="244"/>
        <v/>
      </c>
      <c r="X887">
        <f t="shared" si="245"/>
        <v>3</v>
      </c>
      <c r="Y887">
        <f t="shared" si="246"/>
        <v>0</v>
      </c>
      <c r="AA887">
        <f t="shared" si="247"/>
        <v>1</v>
      </c>
    </row>
    <row r="888" spans="1:27" x14ac:dyDescent="0.2">
      <c r="A888" t="s">
        <v>61</v>
      </c>
      <c r="B888" t="s">
        <v>93</v>
      </c>
      <c r="C888" t="s">
        <v>2027</v>
      </c>
      <c r="D888" t="s">
        <v>9</v>
      </c>
      <c r="E888" t="s">
        <v>3</v>
      </c>
      <c r="F888" t="s">
        <v>2019</v>
      </c>
      <c r="G888" t="s">
        <v>1783</v>
      </c>
      <c r="H888" s="4" t="str">
        <f t="shared" si="231"/>
        <v/>
      </c>
      <c r="I888" s="4" t="str">
        <f>IF(RIGHT(B888,1)="M",IF(AND(H888=1,E888="RFS",D888=INDEX('Station Depth Averages'!$A$3:$B$84,MATCH(B888,'Station Depth Averages'!$A$3:$A$84,0),2)),1,""),IF(AND(H888=1,OR(D888="SYN",D888="SRF",D888="MID")),1,IF(AND(H888=1,OR(E889="FDn",E889="LDn")),1,IF(AND(H888=1,OR(E888="FDn",E888="LDn")),1,""))))</f>
        <v/>
      </c>
      <c r="J888" s="4" t="str">
        <f t="shared" si="232"/>
        <v/>
      </c>
      <c r="K888" s="4" t="str">
        <f t="shared" si="233"/>
        <v/>
      </c>
      <c r="L888" s="4" t="str">
        <f t="shared" si="234"/>
        <v/>
      </c>
      <c r="M888" s="4" t="str">
        <f t="shared" si="235"/>
        <v/>
      </c>
      <c r="N888" s="4" t="str">
        <f t="shared" si="236"/>
        <v/>
      </c>
      <c r="O888" s="4" t="str">
        <f t="shared" si="237"/>
        <v/>
      </c>
      <c r="P888" s="4" t="str">
        <f t="shared" si="238"/>
        <v/>
      </c>
      <c r="Q888" s="4" t="str">
        <f t="shared" si="239"/>
        <v/>
      </c>
      <c r="R888" s="4" t="str">
        <f t="shared" si="240"/>
        <v/>
      </c>
      <c r="S888" s="4" t="str">
        <f t="shared" si="241"/>
        <v/>
      </c>
      <c r="T888" s="4">
        <f t="shared" si="242"/>
        <v>2</v>
      </c>
      <c r="U888">
        <f>IF(VLOOKUP(C888,'QA Table'!$Y$5:$Y$20,1,TRUE)=C888,1,0)</f>
        <v>0</v>
      </c>
      <c r="V888" t="str">
        <f t="shared" si="243"/>
        <v/>
      </c>
      <c r="W888" t="str">
        <f t="shared" si="244"/>
        <v/>
      </c>
      <c r="X888" t="str">
        <f t="shared" si="245"/>
        <v/>
      </c>
      <c r="Y888">
        <f t="shared" si="246"/>
        <v>0</v>
      </c>
      <c r="AA888" t="str">
        <f t="shared" si="247"/>
        <v/>
      </c>
    </row>
    <row r="889" spans="1:27" x14ac:dyDescent="0.2">
      <c r="A889" t="s">
        <v>61</v>
      </c>
      <c r="B889" t="s">
        <v>93</v>
      </c>
      <c r="C889" t="s">
        <v>2028</v>
      </c>
      <c r="D889" t="s">
        <v>10</v>
      </c>
      <c r="E889" t="s">
        <v>3</v>
      </c>
      <c r="F889" t="s">
        <v>2019</v>
      </c>
      <c r="G889" t="s">
        <v>1783</v>
      </c>
      <c r="H889" s="4" t="str">
        <f t="shared" si="231"/>
        <v/>
      </c>
      <c r="I889" s="4" t="str">
        <f>IF(RIGHT(B889,1)="M",IF(AND(H889=1,E889="RFS",D889=INDEX('Station Depth Averages'!$A$3:$B$84,MATCH(B889,'Station Depth Averages'!$A$3:$A$84,0),2)),1,""),IF(AND(H889=1,OR(D889="SYN",D889="SRF",D889="MID")),1,IF(AND(H889=1,OR(E890="FDn",E890="LDn")),1,IF(AND(H889=1,OR(E889="FDn",E889="LDn")),1,""))))</f>
        <v/>
      </c>
      <c r="J889" s="4" t="str">
        <f t="shared" si="232"/>
        <v/>
      </c>
      <c r="K889" s="4" t="str">
        <f t="shared" si="233"/>
        <v/>
      </c>
      <c r="L889" s="4" t="str">
        <f t="shared" si="234"/>
        <v/>
      </c>
      <c r="M889" s="4" t="str">
        <f t="shared" si="235"/>
        <v/>
      </c>
      <c r="N889" s="4" t="str">
        <f t="shared" si="236"/>
        <v/>
      </c>
      <c r="O889" s="4" t="str">
        <f t="shared" si="237"/>
        <v/>
      </c>
      <c r="P889" s="4" t="str">
        <f t="shared" si="238"/>
        <v/>
      </c>
      <c r="Q889" s="4" t="str">
        <f t="shared" si="239"/>
        <v/>
      </c>
      <c r="R889" s="4" t="str">
        <f t="shared" si="240"/>
        <v/>
      </c>
      <c r="S889" s="4" t="str">
        <f t="shared" si="241"/>
        <v/>
      </c>
      <c r="T889" s="4">
        <f t="shared" si="242"/>
        <v>2</v>
      </c>
      <c r="U889">
        <f>IF(VLOOKUP(C889,'QA Table'!$Y$5:$Y$20,1,TRUE)=C889,1,0)</f>
        <v>0</v>
      </c>
      <c r="V889" t="str">
        <f t="shared" si="243"/>
        <v/>
      </c>
      <c r="W889" t="str">
        <f t="shared" si="244"/>
        <v/>
      </c>
      <c r="X889" t="str">
        <f t="shared" si="245"/>
        <v/>
      </c>
      <c r="Y889">
        <f t="shared" si="246"/>
        <v>0</v>
      </c>
      <c r="AA889" t="str">
        <f t="shared" si="247"/>
        <v/>
      </c>
    </row>
    <row r="890" spans="1:27" x14ac:dyDescent="0.2">
      <c r="A890" t="s">
        <v>61</v>
      </c>
      <c r="B890" t="s">
        <v>93</v>
      </c>
      <c r="C890" t="s">
        <v>2029</v>
      </c>
      <c r="D890" t="s">
        <v>1034</v>
      </c>
      <c r="E890" t="s">
        <v>3</v>
      </c>
      <c r="F890" t="s">
        <v>2019</v>
      </c>
      <c r="G890" t="s">
        <v>1783</v>
      </c>
      <c r="H890" s="4" t="str">
        <f t="shared" si="231"/>
        <v/>
      </c>
      <c r="I890" s="4" t="str">
        <f>IF(RIGHT(B890,1)="M",IF(AND(H890=1,E890="RFS",D890=INDEX('Station Depth Averages'!$A$3:$B$84,MATCH(B890,'Station Depth Averages'!$A$3:$A$84,0),2)),1,""),IF(AND(H890=1,OR(D890="SYN",D890="SRF",D890="MID")),1,IF(AND(H890=1,OR(E891="FDn",E891="LDn")),1,IF(AND(H890=1,OR(E890="FDn",E890="LDn")),1,""))))</f>
        <v/>
      </c>
      <c r="J890" s="4" t="str">
        <f t="shared" si="232"/>
        <v/>
      </c>
      <c r="K890" s="4" t="str">
        <f t="shared" si="233"/>
        <v/>
      </c>
      <c r="L890" s="4" t="str">
        <f t="shared" si="234"/>
        <v/>
      </c>
      <c r="M890" s="4" t="str">
        <f t="shared" si="235"/>
        <v/>
      </c>
      <c r="N890" s="4" t="str">
        <f t="shared" si="236"/>
        <v/>
      </c>
      <c r="O890" s="4" t="str">
        <f t="shared" si="237"/>
        <v/>
      </c>
      <c r="P890" s="4" t="str">
        <f t="shared" si="238"/>
        <v/>
      </c>
      <c r="Q890" s="4" t="str">
        <f t="shared" si="239"/>
        <v/>
      </c>
      <c r="R890" s="4" t="str">
        <f t="shared" si="240"/>
        <v/>
      </c>
      <c r="S890" s="4">
        <f t="shared" si="241"/>
        <v>1</v>
      </c>
      <c r="T890" s="4" t="str">
        <f t="shared" si="242"/>
        <v/>
      </c>
      <c r="U890">
        <f>IF(VLOOKUP(C890,'QA Table'!$Y$5:$Y$20,1,TRUE)=C890,1,0)</f>
        <v>0</v>
      </c>
      <c r="V890" t="str">
        <f t="shared" si="243"/>
        <v/>
      </c>
      <c r="W890" t="str">
        <f t="shared" si="244"/>
        <v/>
      </c>
      <c r="X890" t="str">
        <f t="shared" si="245"/>
        <v/>
      </c>
      <c r="Y890">
        <f t="shared" si="246"/>
        <v>0</v>
      </c>
      <c r="AA890" t="str">
        <f t="shared" si="247"/>
        <v/>
      </c>
    </row>
    <row r="891" spans="1:27" x14ac:dyDescent="0.2">
      <c r="A891" t="s">
        <v>61</v>
      </c>
      <c r="B891" t="s">
        <v>93</v>
      </c>
      <c r="C891" t="s">
        <v>2030</v>
      </c>
      <c r="D891" t="s">
        <v>1034</v>
      </c>
      <c r="E891" t="s">
        <v>19</v>
      </c>
      <c r="F891" t="s">
        <v>2019</v>
      </c>
      <c r="G891" t="s">
        <v>1783</v>
      </c>
      <c r="H891" s="4" t="str">
        <f t="shared" si="231"/>
        <v/>
      </c>
      <c r="I891" s="4" t="str">
        <f>IF(RIGHT(B891,1)="M",IF(AND(H891=1,E891="RFS",D891=INDEX('Station Depth Averages'!$A$3:$B$84,MATCH(B891,'Station Depth Averages'!$A$3:$A$84,0),2)),1,""),IF(AND(H891=1,OR(D891="SYN",D891="SRF",D891="MID")),1,IF(AND(H891=1,OR(E892="FDn",E892="LDn")),1,IF(AND(H891=1,OR(E891="FDn",E891="LDn")),1,""))))</f>
        <v/>
      </c>
      <c r="J891" s="4" t="str">
        <f t="shared" si="232"/>
        <v/>
      </c>
      <c r="K891" s="4" t="str">
        <f t="shared" si="233"/>
        <v/>
      </c>
      <c r="L891" s="4" t="str">
        <f t="shared" si="234"/>
        <v/>
      </c>
      <c r="M891" s="4" t="str">
        <f t="shared" si="235"/>
        <v/>
      </c>
      <c r="N891" s="4" t="str">
        <f t="shared" si="236"/>
        <v/>
      </c>
      <c r="O891" s="4" t="str">
        <f t="shared" si="237"/>
        <v/>
      </c>
      <c r="P891" s="4" t="str">
        <f t="shared" si="238"/>
        <v/>
      </c>
      <c r="Q891" s="4" t="str">
        <f t="shared" si="239"/>
        <v/>
      </c>
      <c r="R891" s="4" t="str">
        <f t="shared" si="240"/>
        <v/>
      </c>
      <c r="S891" s="4">
        <f t="shared" si="241"/>
        <v>1</v>
      </c>
      <c r="T891" s="4" t="str">
        <f t="shared" si="242"/>
        <v/>
      </c>
      <c r="U891">
        <f>IF(VLOOKUP(C891,'QA Table'!$Y$5:$Y$20,1,TRUE)=C891,1,0)</f>
        <v>0</v>
      </c>
      <c r="V891" t="str">
        <f t="shared" si="243"/>
        <v/>
      </c>
      <c r="W891" t="str">
        <f t="shared" si="244"/>
        <v/>
      </c>
      <c r="X891" t="str">
        <f t="shared" si="245"/>
        <v/>
      </c>
      <c r="Y891">
        <f t="shared" si="246"/>
        <v>0</v>
      </c>
      <c r="AA891" t="str">
        <f t="shared" si="247"/>
        <v/>
      </c>
    </row>
    <row r="892" spans="1:27" x14ac:dyDescent="0.2">
      <c r="A892" t="s">
        <v>61</v>
      </c>
      <c r="B892" t="s">
        <v>94</v>
      </c>
      <c r="C892" t="s">
        <v>1128</v>
      </c>
      <c r="D892" t="s">
        <v>2</v>
      </c>
      <c r="E892" t="s">
        <v>3</v>
      </c>
      <c r="F892" t="s">
        <v>2031</v>
      </c>
      <c r="G892" t="s">
        <v>1783</v>
      </c>
      <c r="H892" s="4">
        <f t="shared" si="231"/>
        <v>1</v>
      </c>
      <c r="I892" s="4">
        <f>IF(RIGHT(B892,1)="M",IF(AND(H892=1,E892="RFS",D892=INDEX('Station Depth Averages'!$A$3:$B$84,MATCH(B892,'Station Depth Averages'!$A$3:$A$84,0),2)),1,""),IF(AND(H892=1,OR(D892="SYN",D892="SRF",D892="MID")),1,IF(AND(H892=1,OR(E893="FDn",E893="LDn")),1,IF(AND(H892=1,OR(E892="FDn",E892="LDn")),1,""))))</f>
        <v>1</v>
      </c>
      <c r="J892" s="4">
        <f t="shared" si="232"/>
        <v>1</v>
      </c>
      <c r="K892" s="4" t="str">
        <f t="shared" si="233"/>
        <v/>
      </c>
      <c r="L892" s="4" t="str">
        <f t="shared" si="234"/>
        <v/>
      </c>
      <c r="M892" s="4" t="str">
        <f t="shared" si="235"/>
        <v/>
      </c>
      <c r="N892" s="4" t="str">
        <f t="shared" si="236"/>
        <v/>
      </c>
      <c r="O892" s="4" t="str">
        <f t="shared" si="237"/>
        <v/>
      </c>
      <c r="P892" s="4" t="str">
        <f t="shared" si="238"/>
        <v/>
      </c>
      <c r="Q892" s="4" t="str">
        <f t="shared" si="239"/>
        <v/>
      </c>
      <c r="R892" s="4" t="str">
        <f t="shared" si="240"/>
        <v/>
      </c>
      <c r="S892" s="4" t="str">
        <f t="shared" si="241"/>
        <v/>
      </c>
      <c r="T892" s="4" t="str">
        <f t="shared" si="242"/>
        <v/>
      </c>
      <c r="U892">
        <f>IF(VLOOKUP(C892,'QA Table'!$Y$5:$Y$20,1,TRUE)=C892,1,0)</f>
        <v>1</v>
      </c>
      <c r="V892" t="str">
        <f t="shared" si="243"/>
        <v/>
      </c>
      <c r="W892" t="str">
        <f t="shared" si="244"/>
        <v/>
      </c>
      <c r="X892">
        <f t="shared" si="245"/>
        <v>3</v>
      </c>
      <c r="Y892">
        <f t="shared" si="246"/>
        <v>1</v>
      </c>
      <c r="AA892">
        <f t="shared" si="247"/>
        <v>1</v>
      </c>
    </row>
    <row r="893" spans="1:27" x14ac:dyDescent="0.2">
      <c r="A893" t="s">
        <v>61</v>
      </c>
      <c r="B893" t="s">
        <v>94</v>
      </c>
      <c r="C893" t="s">
        <v>2032</v>
      </c>
      <c r="D893" t="s">
        <v>1050</v>
      </c>
      <c r="E893" t="s">
        <v>3</v>
      </c>
      <c r="F893" t="s">
        <v>2031</v>
      </c>
      <c r="G893" t="s">
        <v>1783</v>
      </c>
      <c r="H893" s="4" t="str">
        <f t="shared" si="231"/>
        <v/>
      </c>
      <c r="I893" s="4" t="str">
        <f>IF(RIGHT(B893,1)="M",IF(AND(H893=1,E893="RFS",D893=INDEX('Station Depth Averages'!$A$3:$B$84,MATCH(B893,'Station Depth Averages'!$A$3:$A$84,0),2)),1,""),IF(AND(H893=1,OR(D893="SYN",D893="SRF",D893="MID")),1,IF(AND(H893=1,OR(E894="FDn",E894="LDn")),1,IF(AND(H893=1,OR(E893="FDn",E893="LDn")),1,""))))</f>
        <v/>
      </c>
      <c r="J893" s="4" t="str">
        <f t="shared" si="232"/>
        <v/>
      </c>
      <c r="K893" s="4" t="str">
        <f t="shared" si="233"/>
        <v/>
      </c>
      <c r="L893" s="4" t="str">
        <f t="shared" si="234"/>
        <v/>
      </c>
      <c r="M893" s="4" t="str">
        <f t="shared" si="235"/>
        <v/>
      </c>
      <c r="N893" s="4" t="str">
        <f t="shared" si="236"/>
        <v/>
      </c>
      <c r="O893" s="4" t="str">
        <f t="shared" si="237"/>
        <v/>
      </c>
      <c r="P893" s="4" t="str">
        <f t="shared" si="238"/>
        <v/>
      </c>
      <c r="Q893" s="4" t="str">
        <f t="shared" si="239"/>
        <v/>
      </c>
      <c r="R893" s="4" t="str">
        <f t="shared" si="240"/>
        <v/>
      </c>
      <c r="S893" s="4" t="str">
        <f t="shared" si="241"/>
        <v/>
      </c>
      <c r="T893" s="4" t="str">
        <f t="shared" si="242"/>
        <v/>
      </c>
      <c r="U893">
        <f>IF(VLOOKUP(C893,'QA Table'!$Y$5:$Y$20,1,TRUE)=C893,1,0)</f>
        <v>0</v>
      </c>
      <c r="V893" t="str">
        <f t="shared" si="243"/>
        <v/>
      </c>
      <c r="W893" t="str">
        <f t="shared" si="244"/>
        <v/>
      </c>
      <c r="X893" t="str">
        <f t="shared" si="245"/>
        <v/>
      </c>
      <c r="Y893">
        <f t="shared" si="246"/>
        <v>0</v>
      </c>
      <c r="AA893" t="str">
        <f t="shared" si="247"/>
        <v/>
      </c>
    </row>
    <row r="894" spans="1:27" x14ac:dyDescent="0.2">
      <c r="A894" t="s">
        <v>61</v>
      </c>
      <c r="B894" t="s">
        <v>94</v>
      </c>
      <c r="C894" t="s">
        <v>2033</v>
      </c>
      <c r="D894" t="s">
        <v>4</v>
      </c>
      <c r="E894" t="s">
        <v>3</v>
      </c>
      <c r="F894" t="s">
        <v>2031</v>
      </c>
      <c r="G894" t="s">
        <v>1783</v>
      </c>
      <c r="H894" s="4" t="str">
        <f t="shared" si="231"/>
        <v/>
      </c>
      <c r="I894" s="4" t="str">
        <f>IF(RIGHT(B894,1)="M",IF(AND(H894=1,E894="RFS",D894=INDEX('Station Depth Averages'!$A$3:$B$84,MATCH(B894,'Station Depth Averages'!$A$3:$A$84,0),2)),1,""),IF(AND(H894=1,OR(D894="SYN",D894="SRF",D894="MID")),1,IF(AND(H894=1,OR(E895="FDn",E895="LDn")),1,IF(AND(H894=1,OR(E894="FDn",E894="LDn")),1,""))))</f>
        <v/>
      </c>
      <c r="J894" s="4" t="str">
        <f t="shared" si="232"/>
        <v/>
      </c>
      <c r="K894" s="4" t="str">
        <f t="shared" si="233"/>
        <v/>
      </c>
      <c r="L894" s="4" t="str">
        <f t="shared" si="234"/>
        <v/>
      </c>
      <c r="M894" s="4" t="str">
        <f t="shared" si="235"/>
        <v/>
      </c>
      <c r="N894" s="4" t="str">
        <f t="shared" si="236"/>
        <v/>
      </c>
      <c r="O894" s="4" t="str">
        <f t="shared" si="237"/>
        <v/>
      </c>
      <c r="P894" s="4" t="str">
        <f t="shared" si="238"/>
        <v/>
      </c>
      <c r="Q894" s="4" t="str">
        <f t="shared" si="239"/>
        <v/>
      </c>
      <c r="R894" s="4" t="str">
        <f t="shared" si="240"/>
        <v/>
      </c>
      <c r="S894" s="4" t="str">
        <f t="shared" si="241"/>
        <v/>
      </c>
      <c r="T894" s="4" t="str">
        <f t="shared" si="242"/>
        <v/>
      </c>
      <c r="U894">
        <f>IF(VLOOKUP(C894,'QA Table'!$Y$5:$Y$20,1,TRUE)=C894,1,0)</f>
        <v>0</v>
      </c>
      <c r="V894" t="str">
        <f t="shared" si="243"/>
        <v/>
      </c>
      <c r="W894" t="str">
        <f t="shared" si="244"/>
        <v/>
      </c>
      <c r="X894" t="str">
        <f t="shared" si="245"/>
        <v/>
      </c>
      <c r="Y894">
        <f t="shared" si="246"/>
        <v>0</v>
      </c>
      <c r="AA894" t="str">
        <f t="shared" si="247"/>
        <v/>
      </c>
    </row>
    <row r="895" spans="1:27" x14ac:dyDescent="0.2">
      <c r="A895" t="s">
        <v>61</v>
      </c>
      <c r="B895" t="s">
        <v>94</v>
      </c>
      <c r="C895" t="s">
        <v>2034</v>
      </c>
      <c r="D895" t="s">
        <v>1051</v>
      </c>
      <c r="E895" t="s">
        <v>3</v>
      </c>
      <c r="F895" t="s">
        <v>2031</v>
      </c>
      <c r="G895" t="s">
        <v>1783</v>
      </c>
      <c r="H895" s="4" t="str">
        <f t="shared" si="231"/>
        <v/>
      </c>
      <c r="I895" s="4" t="str">
        <f>IF(RIGHT(B895,1)="M",IF(AND(H895=1,E895="RFS",D895=INDEX('Station Depth Averages'!$A$3:$B$84,MATCH(B895,'Station Depth Averages'!$A$3:$A$84,0),2)),1,""),IF(AND(H895=1,OR(D895="SYN",D895="SRF",D895="MID")),1,IF(AND(H895=1,OR(E896="FDn",E896="LDn")),1,IF(AND(H895=1,OR(E895="FDn",E895="LDn")),1,""))))</f>
        <v/>
      </c>
      <c r="J895" s="4" t="str">
        <f t="shared" si="232"/>
        <v/>
      </c>
      <c r="K895" s="4" t="str">
        <f t="shared" si="233"/>
        <v/>
      </c>
      <c r="L895" s="4" t="str">
        <f t="shared" si="234"/>
        <v/>
      </c>
      <c r="M895" s="4" t="str">
        <f t="shared" si="235"/>
        <v/>
      </c>
      <c r="N895" s="4" t="str">
        <f t="shared" si="236"/>
        <v/>
      </c>
      <c r="O895" s="4" t="str">
        <f t="shared" si="237"/>
        <v/>
      </c>
      <c r="P895" s="4" t="str">
        <f t="shared" si="238"/>
        <v/>
      </c>
      <c r="Q895" s="4" t="str">
        <f t="shared" si="239"/>
        <v/>
      </c>
      <c r="R895" s="4" t="str">
        <f t="shared" si="240"/>
        <v/>
      </c>
      <c r="S895" s="4" t="str">
        <f t="shared" si="241"/>
        <v/>
      </c>
      <c r="T895" s="4" t="str">
        <f t="shared" si="242"/>
        <v/>
      </c>
      <c r="U895">
        <f>IF(VLOOKUP(C895,'QA Table'!$Y$5:$Y$20,1,TRUE)=C895,1,0)</f>
        <v>0</v>
      </c>
      <c r="V895" t="str">
        <f t="shared" si="243"/>
        <v/>
      </c>
      <c r="W895" t="str">
        <f t="shared" si="244"/>
        <v/>
      </c>
      <c r="X895" t="str">
        <f t="shared" si="245"/>
        <v/>
      </c>
      <c r="Y895">
        <f t="shared" si="246"/>
        <v>0</v>
      </c>
      <c r="AA895" t="str">
        <f t="shared" si="247"/>
        <v/>
      </c>
    </row>
    <row r="896" spans="1:27" x14ac:dyDescent="0.2">
      <c r="A896" t="s">
        <v>61</v>
      </c>
      <c r="B896" t="s">
        <v>94</v>
      </c>
      <c r="C896" t="s">
        <v>2035</v>
      </c>
      <c r="D896" t="s">
        <v>119</v>
      </c>
      <c r="E896" t="s">
        <v>3</v>
      </c>
      <c r="F896" t="s">
        <v>2031</v>
      </c>
      <c r="G896" t="s">
        <v>1783</v>
      </c>
      <c r="H896" s="4">
        <f t="shared" si="231"/>
        <v>1</v>
      </c>
      <c r="I896" s="4">
        <f>IF(RIGHT(B896,1)="M",IF(AND(H896=1,E896="RFS",D896=INDEX('Station Depth Averages'!$A$3:$B$84,MATCH(B896,'Station Depth Averages'!$A$3:$A$84,0),2)),1,""),IF(AND(H896=1,OR(D896="SYN",D896="SRF",D896="MID")),1,IF(AND(H896=1,OR(E897="FDn",E897="LDn")),1,IF(AND(H896=1,OR(E896="FDn",E896="LDn")),1,""))))</f>
        <v>1</v>
      </c>
      <c r="J896" s="4">
        <f t="shared" si="232"/>
        <v>1</v>
      </c>
      <c r="K896" s="4" t="str">
        <f t="shared" si="233"/>
        <v/>
      </c>
      <c r="L896" s="4" t="str">
        <f t="shared" si="234"/>
        <v/>
      </c>
      <c r="M896" s="4" t="str">
        <f t="shared" si="235"/>
        <v/>
      </c>
      <c r="N896" s="4" t="str">
        <f t="shared" si="236"/>
        <v/>
      </c>
      <c r="O896" s="4" t="str">
        <f t="shared" si="237"/>
        <v/>
      </c>
      <c r="P896" s="4" t="str">
        <f t="shared" si="238"/>
        <v/>
      </c>
      <c r="Q896" s="4" t="str">
        <f t="shared" si="239"/>
        <v/>
      </c>
      <c r="R896" s="4" t="str">
        <f t="shared" si="240"/>
        <v/>
      </c>
      <c r="S896" s="4" t="str">
        <f t="shared" si="241"/>
        <v/>
      </c>
      <c r="T896" s="4" t="str">
        <f t="shared" si="242"/>
        <v/>
      </c>
      <c r="U896">
        <f>IF(VLOOKUP(C896,'QA Table'!$Y$5:$Y$20,1,TRUE)=C896,1,0)</f>
        <v>0</v>
      </c>
      <c r="V896" t="str">
        <f t="shared" si="243"/>
        <v/>
      </c>
      <c r="W896" t="str">
        <f t="shared" si="244"/>
        <v/>
      </c>
      <c r="X896">
        <f t="shared" si="245"/>
        <v>3</v>
      </c>
      <c r="Y896">
        <f t="shared" si="246"/>
        <v>0</v>
      </c>
      <c r="AA896">
        <f t="shared" si="247"/>
        <v>1</v>
      </c>
    </row>
    <row r="897" spans="1:27" x14ac:dyDescent="0.2">
      <c r="A897" t="s">
        <v>61</v>
      </c>
      <c r="B897" t="s">
        <v>94</v>
      </c>
      <c r="C897" t="s">
        <v>2036</v>
      </c>
      <c r="D897" t="s">
        <v>5</v>
      </c>
      <c r="E897" t="s">
        <v>3</v>
      </c>
      <c r="F897" t="s">
        <v>2031</v>
      </c>
      <c r="G897" t="s">
        <v>1783</v>
      </c>
      <c r="H897" s="4">
        <f t="shared" si="231"/>
        <v>1</v>
      </c>
      <c r="I897" s="4" t="str">
        <f>IF(RIGHT(B897,1)="M",IF(AND(H897=1,E897="RFS",D897=INDEX('Station Depth Averages'!$A$3:$B$84,MATCH(B897,'Station Depth Averages'!$A$3:$A$84,0),2)),1,""),IF(AND(H897=1,OR(D897="SYN",D897="SRF",D897="MID")),1,IF(AND(H897=1,OR(E898="FDn",E898="LDn")),1,IF(AND(H897=1,OR(E897="FDn",E897="LDn")),1,""))))</f>
        <v/>
      </c>
      <c r="J897" s="4">
        <f t="shared" si="232"/>
        <v>1</v>
      </c>
      <c r="K897" s="4" t="str">
        <f t="shared" si="233"/>
        <v/>
      </c>
      <c r="L897" s="4" t="str">
        <f t="shared" si="234"/>
        <v/>
      </c>
      <c r="M897" s="4" t="str">
        <f t="shared" si="235"/>
        <v/>
      </c>
      <c r="N897" s="4" t="str">
        <f t="shared" si="236"/>
        <v/>
      </c>
      <c r="O897" s="4" t="str">
        <f t="shared" si="237"/>
        <v/>
      </c>
      <c r="P897" s="4" t="str">
        <f t="shared" si="238"/>
        <v/>
      </c>
      <c r="Q897" s="4" t="str">
        <f t="shared" si="239"/>
        <v/>
      </c>
      <c r="R897" s="4" t="str">
        <f t="shared" si="240"/>
        <v/>
      </c>
      <c r="S897" s="4" t="str">
        <f t="shared" si="241"/>
        <v/>
      </c>
      <c r="T897" s="4" t="str">
        <f t="shared" si="242"/>
        <v/>
      </c>
      <c r="U897">
        <f>IF(VLOOKUP(C897,'QA Table'!$Y$5:$Y$20,1,TRUE)=C897,1,0)</f>
        <v>0</v>
      </c>
      <c r="V897" t="str">
        <f t="shared" si="243"/>
        <v/>
      </c>
      <c r="W897" t="str">
        <f t="shared" si="244"/>
        <v/>
      </c>
      <c r="X897">
        <f t="shared" si="245"/>
        <v>3</v>
      </c>
      <c r="Y897">
        <f t="shared" si="246"/>
        <v>0</v>
      </c>
      <c r="AA897">
        <f t="shared" si="247"/>
        <v>1</v>
      </c>
    </row>
    <row r="898" spans="1:27" x14ac:dyDescent="0.2">
      <c r="A898" t="s">
        <v>61</v>
      </c>
      <c r="B898" t="s">
        <v>94</v>
      </c>
      <c r="C898" t="s">
        <v>2037</v>
      </c>
      <c r="D898" t="s">
        <v>6</v>
      </c>
      <c r="E898" t="s">
        <v>3</v>
      </c>
      <c r="F898" t="s">
        <v>2031</v>
      </c>
      <c r="G898" t="s">
        <v>1783</v>
      </c>
      <c r="H898" s="4">
        <f t="shared" si="231"/>
        <v>1</v>
      </c>
      <c r="I898" s="4" t="str">
        <f>IF(RIGHT(B898,1)="M",IF(AND(H898=1,E898="RFS",D898=INDEX('Station Depth Averages'!$A$3:$B$84,MATCH(B898,'Station Depth Averages'!$A$3:$A$84,0),2)),1,""),IF(AND(H898=1,OR(D898="SYN",D898="SRF",D898="MID")),1,IF(AND(H898=1,OR(E899="FDn",E899="LDn")),1,IF(AND(H898=1,OR(E898="FDn",E898="LDn")),1,""))))</f>
        <v/>
      </c>
      <c r="J898" s="4">
        <f t="shared" si="232"/>
        <v>1</v>
      </c>
      <c r="K898" s="4" t="str">
        <f t="shared" si="233"/>
        <v/>
      </c>
      <c r="L898" s="4" t="str">
        <f t="shared" si="234"/>
        <v/>
      </c>
      <c r="M898" s="4" t="str">
        <f t="shared" si="235"/>
        <v/>
      </c>
      <c r="N898" s="4" t="str">
        <f t="shared" si="236"/>
        <v/>
      </c>
      <c r="O898" s="4" t="str">
        <f t="shared" si="237"/>
        <v/>
      </c>
      <c r="P898" s="4" t="str">
        <f t="shared" si="238"/>
        <v/>
      </c>
      <c r="Q898" s="4" t="str">
        <f t="shared" si="239"/>
        <v/>
      </c>
      <c r="R898" s="4" t="str">
        <f t="shared" si="240"/>
        <v/>
      </c>
      <c r="S898" s="4" t="str">
        <f t="shared" si="241"/>
        <v/>
      </c>
      <c r="T898" s="4" t="str">
        <f t="shared" si="242"/>
        <v/>
      </c>
      <c r="U898">
        <f>IF(VLOOKUP(C898,'QA Table'!$Y$5:$Y$20,1,TRUE)=C898,1,0)</f>
        <v>0</v>
      </c>
      <c r="V898" t="str">
        <f t="shared" si="243"/>
        <v/>
      </c>
      <c r="W898" t="str">
        <f t="shared" si="244"/>
        <v/>
      </c>
      <c r="X898">
        <f t="shared" si="245"/>
        <v>3</v>
      </c>
      <c r="Y898">
        <f t="shared" si="246"/>
        <v>0</v>
      </c>
      <c r="AA898">
        <f t="shared" si="247"/>
        <v>1</v>
      </c>
    </row>
    <row r="899" spans="1:27" x14ac:dyDescent="0.2">
      <c r="A899" t="s">
        <v>61</v>
      </c>
      <c r="B899" t="s">
        <v>94</v>
      </c>
      <c r="C899" t="s">
        <v>2038</v>
      </c>
      <c r="D899" t="s">
        <v>8</v>
      </c>
      <c r="E899" t="s">
        <v>3</v>
      </c>
      <c r="F899" t="s">
        <v>2031</v>
      </c>
      <c r="G899" t="s">
        <v>1783</v>
      </c>
      <c r="H899" s="4">
        <f t="shared" si="231"/>
        <v>1</v>
      </c>
      <c r="I899" s="4" t="str">
        <f>IF(RIGHT(B899,1)="M",IF(AND(H899=1,E899="RFS",D899=INDEX('Station Depth Averages'!$A$3:$B$84,MATCH(B899,'Station Depth Averages'!$A$3:$A$84,0),2)),1,""),IF(AND(H899=1,OR(D899="SYN",D899="SRF",D899="MID")),1,IF(AND(H899=1,OR(E900="FDn",E900="LDn")),1,IF(AND(H899=1,OR(E899="FDn",E899="LDn")),1,""))))</f>
        <v/>
      </c>
      <c r="J899" s="4" t="str">
        <f t="shared" si="232"/>
        <v/>
      </c>
      <c r="K899" s="4">
        <f t="shared" si="233"/>
        <v>1</v>
      </c>
      <c r="L899" s="4" t="str">
        <f t="shared" si="234"/>
        <v/>
      </c>
      <c r="M899" s="4" t="str">
        <f t="shared" si="235"/>
        <v/>
      </c>
      <c r="N899" s="4" t="str">
        <f t="shared" si="236"/>
        <v/>
      </c>
      <c r="O899" s="4" t="str">
        <f t="shared" si="237"/>
        <v/>
      </c>
      <c r="P899" s="4" t="str">
        <f t="shared" si="238"/>
        <v/>
      </c>
      <c r="Q899" s="4">
        <f t="shared" si="239"/>
        <v>2</v>
      </c>
      <c r="R899" s="4" t="str">
        <f t="shared" si="240"/>
        <v/>
      </c>
      <c r="S899" s="4" t="str">
        <f t="shared" si="241"/>
        <v/>
      </c>
      <c r="T899" s="4" t="str">
        <f t="shared" si="242"/>
        <v/>
      </c>
      <c r="U899">
        <f>IF(VLOOKUP(C899,'QA Table'!$Y$5:$Y$20,1,TRUE)=C899,1,0)</f>
        <v>0</v>
      </c>
      <c r="V899" t="str">
        <f t="shared" si="243"/>
        <v/>
      </c>
      <c r="W899" t="str">
        <f t="shared" si="244"/>
        <v/>
      </c>
      <c r="X899">
        <f t="shared" si="245"/>
        <v>3</v>
      </c>
      <c r="Y899">
        <f t="shared" si="246"/>
        <v>0</v>
      </c>
      <c r="AA899">
        <f t="shared" si="247"/>
        <v>1</v>
      </c>
    </row>
    <row r="900" spans="1:27" x14ac:dyDescent="0.2">
      <c r="A900" t="s">
        <v>61</v>
      </c>
      <c r="B900" t="s">
        <v>94</v>
      </c>
      <c r="C900" t="s">
        <v>2039</v>
      </c>
      <c r="D900" t="s">
        <v>9</v>
      </c>
      <c r="E900" t="s">
        <v>3</v>
      </c>
      <c r="F900" t="s">
        <v>2031</v>
      </c>
      <c r="G900" t="s">
        <v>1783</v>
      </c>
      <c r="H900" s="4" t="str">
        <f t="shared" si="231"/>
        <v/>
      </c>
      <c r="I900" s="4" t="str">
        <f>IF(RIGHT(B900,1)="M",IF(AND(H900=1,E900="RFS",D900=INDEX('Station Depth Averages'!$A$3:$B$84,MATCH(B900,'Station Depth Averages'!$A$3:$A$84,0),2)),1,""),IF(AND(H900=1,OR(D900="SYN",D900="SRF",D900="MID")),1,IF(AND(H900=1,OR(E901="FDn",E901="LDn")),1,IF(AND(H900=1,OR(E900="FDn",E900="LDn")),1,""))))</f>
        <v/>
      </c>
      <c r="J900" s="4" t="str">
        <f t="shared" si="232"/>
        <v/>
      </c>
      <c r="K900" s="4" t="str">
        <f t="shared" si="233"/>
        <v/>
      </c>
      <c r="L900" s="4" t="str">
        <f t="shared" si="234"/>
        <v/>
      </c>
      <c r="M900" s="4" t="str">
        <f t="shared" si="235"/>
        <v/>
      </c>
      <c r="N900" s="4" t="str">
        <f t="shared" si="236"/>
        <v/>
      </c>
      <c r="O900" s="4" t="str">
        <f t="shared" si="237"/>
        <v/>
      </c>
      <c r="P900" s="4" t="str">
        <f t="shared" si="238"/>
        <v/>
      </c>
      <c r="Q900" s="4" t="str">
        <f t="shared" si="239"/>
        <v/>
      </c>
      <c r="R900" s="4" t="str">
        <f t="shared" si="240"/>
        <v/>
      </c>
      <c r="S900" s="4" t="str">
        <f t="shared" si="241"/>
        <v/>
      </c>
      <c r="T900" s="4">
        <f t="shared" si="242"/>
        <v>2</v>
      </c>
      <c r="U900">
        <f>IF(VLOOKUP(C900,'QA Table'!$Y$5:$Y$20,1,TRUE)=C900,1,0)</f>
        <v>0</v>
      </c>
      <c r="V900" t="str">
        <f t="shared" si="243"/>
        <v/>
      </c>
      <c r="W900" t="str">
        <f t="shared" si="244"/>
        <v/>
      </c>
      <c r="X900" t="str">
        <f t="shared" si="245"/>
        <v/>
      </c>
      <c r="Y900">
        <f t="shared" si="246"/>
        <v>0</v>
      </c>
      <c r="AA900" t="str">
        <f t="shared" si="247"/>
        <v/>
      </c>
    </row>
    <row r="901" spans="1:27" x14ac:dyDescent="0.2">
      <c r="A901" t="s">
        <v>61</v>
      </c>
      <c r="B901" t="s">
        <v>94</v>
      </c>
      <c r="C901" t="s">
        <v>2040</v>
      </c>
      <c r="D901" t="s">
        <v>9</v>
      </c>
      <c r="E901" t="s">
        <v>3</v>
      </c>
      <c r="F901" t="s">
        <v>2031</v>
      </c>
      <c r="G901" t="s">
        <v>1783</v>
      </c>
      <c r="H901" s="4" t="str">
        <f t="shared" si="231"/>
        <v/>
      </c>
      <c r="I901" s="4" t="str">
        <f>IF(RIGHT(B901,1)="M",IF(AND(H901=1,E901="RFS",D901=INDEX('Station Depth Averages'!$A$3:$B$84,MATCH(B901,'Station Depth Averages'!$A$3:$A$84,0),2)),1,""),IF(AND(H901=1,OR(D901="SYN",D901="SRF",D901="MID")),1,IF(AND(H901=1,OR(E902="FDn",E902="LDn")),1,IF(AND(H901=1,OR(E901="FDn",E901="LDn")),1,""))))</f>
        <v/>
      </c>
      <c r="J901" s="4" t="str">
        <f t="shared" si="232"/>
        <v/>
      </c>
      <c r="K901" s="4" t="str">
        <f t="shared" si="233"/>
        <v/>
      </c>
      <c r="L901" s="4" t="str">
        <f t="shared" si="234"/>
        <v/>
      </c>
      <c r="M901" s="4" t="str">
        <f t="shared" si="235"/>
        <v/>
      </c>
      <c r="N901" s="4" t="str">
        <f t="shared" si="236"/>
        <v/>
      </c>
      <c r="O901" s="4" t="str">
        <f t="shared" si="237"/>
        <v/>
      </c>
      <c r="P901" s="4" t="str">
        <f t="shared" si="238"/>
        <v/>
      </c>
      <c r="Q901" s="4" t="str">
        <f t="shared" si="239"/>
        <v/>
      </c>
      <c r="R901" s="4" t="str">
        <f t="shared" si="240"/>
        <v/>
      </c>
      <c r="S901" s="4" t="str">
        <f t="shared" si="241"/>
        <v/>
      </c>
      <c r="T901" s="4">
        <f t="shared" si="242"/>
        <v>2</v>
      </c>
      <c r="U901">
        <f>IF(VLOOKUP(C901,'QA Table'!$Y$5:$Y$20,1,TRUE)=C901,1,0)</f>
        <v>0</v>
      </c>
      <c r="V901" t="str">
        <f t="shared" si="243"/>
        <v/>
      </c>
      <c r="W901" t="str">
        <f t="shared" si="244"/>
        <v/>
      </c>
      <c r="X901" t="str">
        <f t="shared" si="245"/>
        <v/>
      </c>
      <c r="Y901">
        <f t="shared" si="246"/>
        <v>0</v>
      </c>
      <c r="AA901" t="str">
        <f t="shared" si="247"/>
        <v/>
      </c>
    </row>
    <row r="902" spans="1:27" x14ac:dyDescent="0.2">
      <c r="A902" t="s">
        <v>61</v>
      </c>
      <c r="B902" t="s">
        <v>94</v>
      </c>
      <c r="C902" t="s">
        <v>2041</v>
      </c>
      <c r="D902" t="s">
        <v>10</v>
      </c>
      <c r="E902" t="s">
        <v>3</v>
      </c>
      <c r="F902" t="s">
        <v>2031</v>
      </c>
      <c r="G902" t="s">
        <v>1783</v>
      </c>
      <c r="H902" s="4" t="str">
        <f t="shared" si="231"/>
        <v/>
      </c>
      <c r="I902" s="4" t="str">
        <f>IF(RIGHT(B902,1)="M",IF(AND(H902=1,E902="RFS",D902=INDEX('Station Depth Averages'!$A$3:$B$84,MATCH(B902,'Station Depth Averages'!$A$3:$A$84,0),2)),1,""),IF(AND(H902=1,OR(D902="SYN",D902="SRF",D902="MID")),1,IF(AND(H902=1,OR(E903="FDn",E903="LDn")),1,IF(AND(H902=1,OR(E902="FDn",E902="LDn")),1,""))))</f>
        <v/>
      </c>
      <c r="J902" s="4" t="str">
        <f t="shared" si="232"/>
        <v/>
      </c>
      <c r="K902" s="4" t="str">
        <f t="shared" si="233"/>
        <v/>
      </c>
      <c r="L902" s="4" t="str">
        <f t="shared" si="234"/>
        <v/>
      </c>
      <c r="M902" s="4" t="str">
        <f t="shared" si="235"/>
        <v/>
      </c>
      <c r="N902" s="4" t="str">
        <f t="shared" si="236"/>
        <v/>
      </c>
      <c r="O902" s="4" t="str">
        <f t="shared" si="237"/>
        <v/>
      </c>
      <c r="P902" s="4" t="str">
        <f t="shared" si="238"/>
        <v/>
      </c>
      <c r="Q902" s="4" t="str">
        <f t="shared" si="239"/>
        <v/>
      </c>
      <c r="R902" s="4" t="str">
        <f t="shared" si="240"/>
        <v/>
      </c>
      <c r="S902" s="4" t="str">
        <f t="shared" si="241"/>
        <v/>
      </c>
      <c r="T902" s="4">
        <f t="shared" si="242"/>
        <v>2</v>
      </c>
      <c r="U902">
        <f>IF(VLOOKUP(C902,'QA Table'!$Y$5:$Y$20,1,TRUE)=C902,1,0)</f>
        <v>0</v>
      </c>
      <c r="V902" t="str">
        <f t="shared" si="243"/>
        <v/>
      </c>
      <c r="W902" t="str">
        <f t="shared" si="244"/>
        <v/>
      </c>
      <c r="X902" t="str">
        <f t="shared" si="245"/>
        <v/>
      </c>
      <c r="Y902">
        <f t="shared" si="246"/>
        <v>0</v>
      </c>
      <c r="AA902" t="str">
        <f t="shared" si="247"/>
        <v/>
      </c>
    </row>
    <row r="903" spans="1:27" x14ac:dyDescent="0.2">
      <c r="A903" t="s">
        <v>61</v>
      </c>
      <c r="B903" t="s">
        <v>94</v>
      </c>
      <c r="C903" t="s">
        <v>2042</v>
      </c>
      <c r="D903" t="s">
        <v>1034</v>
      </c>
      <c r="E903" t="s">
        <v>3</v>
      </c>
      <c r="F903" t="s">
        <v>2031</v>
      </c>
      <c r="G903" t="s">
        <v>1783</v>
      </c>
      <c r="H903" s="4" t="str">
        <f t="shared" ref="H903:H904" si="248">IF(OR(RIGHT(C903,1)="A",RIGHT(C903,1)="B",RIGHT(C903,1)="C",D903="Benthos",D903="Sediment",D903="Sediments",D903="D100",D903="D20",D903="Mysis",E903="FD1",E903="LD1"),"",1)</f>
        <v/>
      </c>
      <c r="I903" s="4" t="str">
        <f>IF(RIGHT(B903,1)="M",IF(AND(H903=1,E903="RFS",D903=INDEX('Station Depth Averages'!$A$3:$B$84,MATCH(B903,'Station Depth Averages'!$A$3:$A$84,0),2)),1,""),IF(AND(H903=1,OR(D903="SYN",D903="SRF",D903="MID")),1,IF(AND(H903=1,OR(E904="FDn",E904="LDn")),1,IF(AND(H903=1,OR(E903="FDn",E903="LDn")),1,""))))</f>
        <v/>
      </c>
      <c r="J903" s="4" t="str">
        <f t="shared" ref="J903:J904" si="249">IF(OR(D903="INT",D903="Benthos",D903="D100",D903="D20",E903="LDn",D903="mysis",D903="sediment",D903="sediments",OR(RIGHT(C903,1)="A",RIGHT(C903,1)="B",RIGHT(C903,1)="C",E903="FD1",E903="LD1")),"",1)</f>
        <v/>
      </c>
      <c r="K903" s="4" t="str">
        <f t="shared" ref="K903:K965" si="250">IF(D903="INT",1,"")</f>
        <v/>
      </c>
      <c r="L903" s="4" t="str">
        <f t="shared" ref="L903:L965" si="251">IF(AND(LEFT(B903,1)="E",A903&lt;&gt;"E",RIGHT(B903,1)="M"),IF(AND(A903="w",D903="MID",E903="RFS"),1,IF(AND(A903="C",D903="5M",E903="RFS"),1,"")),IF(AND(RIGHT(B903,1)="M",D903="10M",E903="RFS"),1,""))</f>
        <v/>
      </c>
      <c r="M903" s="4" t="str">
        <f t="shared" ref="M903:M965" si="252">IF(L903=1,1,"")</f>
        <v/>
      </c>
      <c r="N903" s="4" t="str">
        <f t="shared" ref="N903:N965" si="253">IF(M903=1,1,"")</f>
        <v/>
      </c>
      <c r="O903" s="4" t="str">
        <f t="shared" ref="O903:O965" si="254">IF(N903=1,1,"")</f>
        <v/>
      </c>
      <c r="P903" s="4" t="str">
        <f t="shared" ref="P903:P965" si="255">IF(O903=1,1,"")</f>
        <v/>
      </c>
      <c r="Q903" s="4" t="str">
        <f t="shared" ref="Q903:Q965" si="256">IF(AND(OR(D903="INT",D903="DCL"),OR(LEFT(B903,2)="SU",LEFT(B903,2)="HU",LEFT(B903,2)="MI",LEFT(B903,2)="CS",LEFT(B903,2)="ON")),2,IF(AND(OR(D903="INT",D903="DCL"),LEFT(B903,2)="ER"),1,""))</f>
        <v/>
      </c>
      <c r="R903" s="4" t="str">
        <f t="shared" ref="R903:R965" si="257">IF(D903="benthos",1,"")</f>
        <v/>
      </c>
      <c r="S903" s="4">
        <f t="shared" ref="S903:S965" si="258">IF(D903="mysis",1,"")</f>
        <v>1</v>
      </c>
      <c r="T903" s="4" t="str">
        <f t="shared" ref="T903:T965" si="259">IF(AND(OR(D903="d20",D903="d100"),LEFT(B903,2)="SU"),2,IF(OR(D903="D20",D903="d100"),1,""))</f>
        <v/>
      </c>
      <c r="U903">
        <f>IF(VLOOKUP(C903,'QA Table'!$Y$5:$Y$20,1,TRUE)=C903,1,0)</f>
        <v>0</v>
      </c>
      <c r="V903" t="str">
        <f t="shared" ref="V903:V965" si="260">IF(AND(D903="Sediment",RIGHT(C903,1)="8"),1,"")</f>
        <v/>
      </c>
      <c r="W903" t="str">
        <f t="shared" ref="W903:W965" si="261">IF(AND(D903="Sediment",RIGHT(C903,1)="9"),1,"")</f>
        <v/>
      </c>
      <c r="X903" t="str">
        <f t="shared" ref="X903:X965" si="262">IF(AND(H903=1,OR(LEFT(B903,1)="M",LEFT(B903,1)="E",LEFT(B903,1)="O",LEFT(B903,1)="C")),4,IF(AND(H903=1,OR(LEFT(B903,1)="H",LEFT(B903,1)="S")),3,""))</f>
        <v/>
      </c>
      <c r="Y903">
        <f t="shared" ref="Y903:Y964" si="263">IF(U903=1,1,IF(AND(E903="LD1",U902=1),1,IF(AND(E903="FD1",U901=1),1,0)))</f>
        <v>0</v>
      </c>
      <c r="AA903" t="str">
        <f t="shared" ref="AA903:AA965" si="264">IF(X903&lt;&gt;"",1,"")</f>
        <v/>
      </c>
    </row>
    <row r="904" spans="1:27" x14ac:dyDescent="0.2">
      <c r="A904" t="s">
        <v>61</v>
      </c>
      <c r="B904" t="s">
        <v>94</v>
      </c>
      <c r="C904" t="s">
        <v>2043</v>
      </c>
      <c r="D904" t="s">
        <v>1034</v>
      </c>
      <c r="E904" t="s">
        <v>19</v>
      </c>
      <c r="F904" t="s">
        <v>2031</v>
      </c>
      <c r="G904" t="s">
        <v>1783</v>
      </c>
      <c r="H904" s="4" t="str">
        <f t="shared" si="248"/>
        <v/>
      </c>
      <c r="I904" s="4" t="str">
        <f>IF(RIGHT(B904,1)="M",IF(AND(H904=1,E904="RFS",D904=INDEX('Station Depth Averages'!$A$3:$B$84,MATCH(B904,'Station Depth Averages'!$A$3:$A$84,0),2)),1,""),IF(AND(H904=1,OR(D904="SYN",D904="SRF",D904="MID")),1,IF(AND(H904=1,OR(E905="FDn",E905="LDn")),1,IF(AND(H904=1,OR(E904="FDn",E904="LDn")),1,""))))</f>
        <v/>
      </c>
      <c r="J904" s="4" t="str">
        <f t="shared" si="249"/>
        <v/>
      </c>
      <c r="K904" s="4" t="str">
        <f t="shared" si="250"/>
        <v/>
      </c>
      <c r="L904" s="4" t="str">
        <f t="shared" si="251"/>
        <v/>
      </c>
      <c r="M904" s="4" t="str">
        <f t="shared" si="252"/>
        <v/>
      </c>
      <c r="N904" s="4" t="str">
        <f t="shared" si="253"/>
        <v/>
      </c>
      <c r="O904" s="4" t="str">
        <f t="shared" si="254"/>
        <v/>
      </c>
      <c r="P904" s="4" t="str">
        <f t="shared" si="255"/>
        <v/>
      </c>
      <c r="Q904" s="4" t="str">
        <f t="shared" si="256"/>
        <v/>
      </c>
      <c r="R904" s="4" t="str">
        <f t="shared" si="257"/>
        <v/>
      </c>
      <c r="S904" s="4">
        <f t="shared" si="258"/>
        <v>1</v>
      </c>
      <c r="T904" s="4" t="str">
        <f t="shared" si="259"/>
        <v/>
      </c>
      <c r="U904">
        <f>IF(VLOOKUP(C904,'QA Table'!$Y$5:$Y$20,1,TRUE)=C904,1,0)</f>
        <v>0</v>
      </c>
      <c r="V904" t="str">
        <f t="shared" si="260"/>
        <v/>
      </c>
      <c r="W904" t="str">
        <f t="shared" si="261"/>
        <v/>
      </c>
      <c r="X904" t="str">
        <f t="shared" si="262"/>
        <v/>
      </c>
      <c r="Y904">
        <f t="shared" si="263"/>
        <v>0</v>
      </c>
      <c r="AA904" t="str">
        <f t="shared" si="264"/>
        <v/>
      </c>
    </row>
    <row r="905" spans="1:27" x14ac:dyDescent="0.2">
      <c r="A905" t="s">
        <v>1058</v>
      </c>
      <c r="B905" t="s">
        <v>2044</v>
      </c>
      <c r="C905" t="s">
        <v>2045</v>
      </c>
      <c r="D905" t="s">
        <v>2</v>
      </c>
      <c r="E905" t="s">
        <v>3</v>
      </c>
      <c r="F905" t="s">
        <v>2046</v>
      </c>
      <c r="G905" t="s">
        <v>1474</v>
      </c>
      <c r="H905" s="4"/>
      <c r="I905" s="4"/>
      <c r="J905" s="4">
        <v>1</v>
      </c>
      <c r="K905" s="4" t="str">
        <f t="shared" si="250"/>
        <v/>
      </c>
      <c r="L905" s="4" t="str">
        <f t="shared" si="251"/>
        <v/>
      </c>
      <c r="M905" s="4" t="str">
        <f t="shared" si="252"/>
        <v/>
      </c>
      <c r="N905" s="4" t="str">
        <f t="shared" si="253"/>
        <v/>
      </c>
      <c r="O905" s="4" t="str">
        <f t="shared" si="254"/>
        <v/>
      </c>
      <c r="P905" s="4" t="str">
        <f t="shared" si="255"/>
        <v/>
      </c>
      <c r="Q905" s="4" t="str">
        <f t="shared" si="256"/>
        <v/>
      </c>
      <c r="R905" s="4" t="str">
        <f t="shared" si="257"/>
        <v/>
      </c>
      <c r="S905" s="4" t="str">
        <f t="shared" si="258"/>
        <v/>
      </c>
      <c r="T905" s="4" t="str">
        <f t="shared" si="259"/>
        <v/>
      </c>
      <c r="U905">
        <f>IF(VLOOKUP(C905,'QA Table'!$Y$5:$Y$20,1,TRUE)=C905,1,0)</f>
        <v>0</v>
      </c>
      <c r="V905" t="str">
        <f t="shared" si="260"/>
        <v/>
      </c>
      <c r="W905" t="str">
        <f t="shared" si="261"/>
        <v/>
      </c>
      <c r="X905" t="str">
        <f t="shared" si="262"/>
        <v/>
      </c>
      <c r="Y905">
        <f t="shared" si="263"/>
        <v>0</v>
      </c>
      <c r="AA905" t="str">
        <f t="shared" si="264"/>
        <v/>
      </c>
    </row>
    <row r="906" spans="1:27" x14ac:dyDescent="0.2">
      <c r="A906" t="s">
        <v>1058</v>
      </c>
      <c r="B906" t="s">
        <v>2044</v>
      </c>
      <c r="C906" t="s">
        <v>2047</v>
      </c>
      <c r="D906" t="s">
        <v>1050</v>
      </c>
      <c r="E906" t="s">
        <v>3</v>
      </c>
      <c r="F906" t="s">
        <v>2046</v>
      </c>
      <c r="G906" t="s">
        <v>1474</v>
      </c>
      <c r="H906" s="4"/>
      <c r="I906" s="4"/>
      <c r="J906" s="4"/>
      <c r="K906" s="4" t="str">
        <f t="shared" si="250"/>
        <v/>
      </c>
      <c r="L906" s="4" t="str">
        <f t="shared" si="251"/>
        <v/>
      </c>
      <c r="M906" s="4" t="str">
        <f t="shared" si="252"/>
        <v/>
      </c>
      <c r="N906" s="4" t="str">
        <f t="shared" si="253"/>
        <v/>
      </c>
      <c r="O906" s="4" t="str">
        <f t="shared" si="254"/>
        <v/>
      </c>
      <c r="P906" s="4" t="str">
        <f t="shared" si="255"/>
        <v/>
      </c>
      <c r="Q906" s="4" t="str">
        <f t="shared" si="256"/>
        <v/>
      </c>
      <c r="R906" s="4" t="str">
        <f t="shared" si="257"/>
        <v/>
      </c>
      <c r="S906" s="4" t="str">
        <f t="shared" si="258"/>
        <v/>
      </c>
      <c r="T906" s="4" t="str">
        <f t="shared" si="259"/>
        <v/>
      </c>
      <c r="U906">
        <f>IF(VLOOKUP(C906,'QA Table'!$Y$5:$Y$20,1,TRUE)=C906,1,0)</f>
        <v>0</v>
      </c>
      <c r="V906" t="str">
        <f t="shared" si="260"/>
        <v/>
      </c>
      <c r="W906" t="str">
        <f t="shared" si="261"/>
        <v/>
      </c>
      <c r="X906" t="str">
        <f t="shared" si="262"/>
        <v/>
      </c>
      <c r="Y906">
        <f t="shared" si="263"/>
        <v>0</v>
      </c>
      <c r="AA906" t="str">
        <f t="shared" si="264"/>
        <v/>
      </c>
    </row>
    <row r="907" spans="1:27" x14ac:dyDescent="0.2">
      <c r="A907" t="s">
        <v>1058</v>
      </c>
      <c r="B907" t="s">
        <v>2044</v>
      </c>
      <c r="C907" t="s">
        <v>2048</v>
      </c>
      <c r="D907" t="s">
        <v>4</v>
      </c>
      <c r="E907" t="s">
        <v>3</v>
      </c>
      <c r="F907" t="s">
        <v>2046</v>
      </c>
      <c r="G907" t="s">
        <v>1474</v>
      </c>
      <c r="H907" s="4"/>
      <c r="I907" s="4"/>
      <c r="J907" s="4"/>
      <c r="K907" s="4" t="str">
        <f t="shared" si="250"/>
        <v/>
      </c>
      <c r="L907" s="4" t="str">
        <f t="shared" si="251"/>
        <v/>
      </c>
      <c r="M907" s="4" t="str">
        <f t="shared" si="252"/>
        <v/>
      </c>
      <c r="N907" s="4" t="str">
        <f t="shared" si="253"/>
        <v/>
      </c>
      <c r="O907" s="4" t="str">
        <f t="shared" si="254"/>
        <v/>
      </c>
      <c r="P907" s="4" t="str">
        <f t="shared" si="255"/>
        <v/>
      </c>
      <c r="Q907" s="4" t="str">
        <f t="shared" si="256"/>
        <v/>
      </c>
      <c r="R907" s="4" t="str">
        <f t="shared" si="257"/>
        <v/>
      </c>
      <c r="S907" s="4" t="str">
        <f t="shared" si="258"/>
        <v/>
      </c>
      <c r="T907" s="4" t="str">
        <f t="shared" si="259"/>
        <v/>
      </c>
      <c r="U907">
        <f>IF(VLOOKUP(C907,'QA Table'!$Y$5:$Y$20,1,TRUE)=C907,1,0)</f>
        <v>0</v>
      </c>
      <c r="V907" t="str">
        <f t="shared" si="260"/>
        <v/>
      </c>
      <c r="W907" t="str">
        <f t="shared" si="261"/>
        <v/>
      </c>
      <c r="X907" t="str">
        <f t="shared" si="262"/>
        <v/>
      </c>
      <c r="Y907">
        <f t="shared" si="263"/>
        <v>0</v>
      </c>
      <c r="AA907" t="str">
        <f t="shared" si="264"/>
        <v/>
      </c>
    </row>
    <row r="908" spans="1:27" x14ac:dyDescent="0.2">
      <c r="A908" t="s">
        <v>1058</v>
      </c>
      <c r="B908" t="s">
        <v>2044</v>
      </c>
      <c r="C908" t="s">
        <v>2049</v>
      </c>
      <c r="D908" t="s">
        <v>1051</v>
      </c>
      <c r="E908" t="s">
        <v>3</v>
      </c>
      <c r="F908" t="s">
        <v>2046</v>
      </c>
      <c r="G908" t="s">
        <v>1474</v>
      </c>
      <c r="H908" s="4"/>
      <c r="I908" s="4"/>
      <c r="J908" s="4"/>
      <c r="K908" s="4" t="str">
        <f t="shared" si="250"/>
        <v/>
      </c>
      <c r="L908" s="4" t="str">
        <f t="shared" si="251"/>
        <v/>
      </c>
      <c r="M908" s="4" t="str">
        <f t="shared" si="252"/>
        <v/>
      </c>
      <c r="N908" s="4" t="str">
        <f t="shared" si="253"/>
        <v/>
      </c>
      <c r="O908" s="4" t="str">
        <f t="shared" si="254"/>
        <v/>
      </c>
      <c r="P908" s="4" t="str">
        <f t="shared" si="255"/>
        <v/>
      </c>
      <c r="Q908" s="4" t="str">
        <f t="shared" si="256"/>
        <v/>
      </c>
      <c r="R908" s="4" t="str">
        <f t="shared" si="257"/>
        <v/>
      </c>
      <c r="S908" s="4" t="str">
        <f t="shared" si="258"/>
        <v/>
      </c>
      <c r="T908" s="4" t="str">
        <f t="shared" si="259"/>
        <v/>
      </c>
      <c r="U908">
        <f>IF(VLOOKUP(C908,'QA Table'!$Y$5:$Y$20,1,TRUE)=C908,1,0)</f>
        <v>0</v>
      </c>
      <c r="V908" t="str">
        <f t="shared" si="260"/>
        <v/>
      </c>
      <c r="W908" t="str">
        <f t="shared" si="261"/>
        <v/>
      </c>
      <c r="X908" t="str">
        <f t="shared" si="262"/>
        <v/>
      </c>
      <c r="Y908">
        <f t="shared" si="263"/>
        <v>0</v>
      </c>
      <c r="AA908" t="str">
        <f t="shared" si="264"/>
        <v/>
      </c>
    </row>
    <row r="909" spans="1:27" x14ac:dyDescent="0.2">
      <c r="A909" t="s">
        <v>1058</v>
      </c>
      <c r="B909" t="s">
        <v>2044</v>
      </c>
      <c r="C909" t="s">
        <v>2050</v>
      </c>
      <c r="D909" t="s">
        <v>8</v>
      </c>
      <c r="E909" t="s">
        <v>3</v>
      </c>
      <c r="F909" t="s">
        <v>2046</v>
      </c>
      <c r="G909" t="s">
        <v>1474</v>
      </c>
      <c r="H909" s="4">
        <v>1</v>
      </c>
      <c r="I909" s="4"/>
      <c r="J909" s="4"/>
      <c r="K909" s="4">
        <f t="shared" si="250"/>
        <v>1</v>
      </c>
      <c r="L909" s="4" t="str">
        <f t="shared" si="251"/>
        <v/>
      </c>
      <c r="M909" s="4" t="str">
        <f t="shared" si="252"/>
        <v/>
      </c>
      <c r="N909" s="4" t="str">
        <f t="shared" si="253"/>
        <v/>
      </c>
      <c r="O909" s="4" t="str">
        <f t="shared" si="254"/>
        <v/>
      </c>
      <c r="P909" s="4" t="str">
        <f t="shared" si="255"/>
        <v/>
      </c>
      <c r="Q909" s="4">
        <v>1</v>
      </c>
      <c r="R909" s="4" t="str">
        <f t="shared" si="257"/>
        <v/>
      </c>
      <c r="S909" s="4" t="str">
        <f t="shared" si="258"/>
        <v/>
      </c>
      <c r="T909" s="4" t="str">
        <f t="shared" si="259"/>
        <v/>
      </c>
      <c r="U909">
        <f>IF(VLOOKUP(C909,'QA Table'!$Y$5:$Y$20,1,TRUE)=C909,1,0)</f>
        <v>0</v>
      </c>
      <c r="V909" t="str">
        <f t="shared" si="260"/>
        <v/>
      </c>
      <c r="W909" t="str">
        <f t="shared" si="261"/>
        <v/>
      </c>
      <c r="X909">
        <f t="shared" si="262"/>
        <v>4</v>
      </c>
      <c r="Y909">
        <f t="shared" si="263"/>
        <v>0</v>
      </c>
      <c r="AA909">
        <f t="shared" si="264"/>
        <v>1</v>
      </c>
    </row>
    <row r="910" spans="1:27" x14ac:dyDescent="0.2">
      <c r="A910" t="s">
        <v>1058</v>
      </c>
      <c r="B910" t="s">
        <v>2044</v>
      </c>
      <c r="C910" t="s">
        <v>2051</v>
      </c>
      <c r="D910" t="s">
        <v>10</v>
      </c>
      <c r="E910" t="s">
        <v>3</v>
      </c>
      <c r="F910" t="s">
        <v>2046</v>
      </c>
      <c r="G910" t="s">
        <v>1474</v>
      </c>
      <c r="H910" s="4"/>
      <c r="I910" s="4"/>
      <c r="J910" s="4"/>
      <c r="K910" s="4" t="str">
        <f t="shared" si="250"/>
        <v/>
      </c>
      <c r="L910" s="4" t="str">
        <f t="shared" si="251"/>
        <v/>
      </c>
      <c r="M910" s="4" t="str">
        <f t="shared" si="252"/>
        <v/>
      </c>
      <c r="N910" s="4" t="str">
        <f t="shared" si="253"/>
        <v/>
      </c>
      <c r="O910" s="4" t="str">
        <f t="shared" si="254"/>
        <v/>
      </c>
      <c r="P910" s="4" t="str">
        <f t="shared" si="255"/>
        <v/>
      </c>
      <c r="Q910" s="4"/>
      <c r="R910" s="4" t="str">
        <f t="shared" si="257"/>
        <v/>
      </c>
      <c r="S910" s="4" t="str">
        <f t="shared" si="258"/>
        <v/>
      </c>
      <c r="T910" s="4">
        <f t="shared" si="259"/>
        <v>1</v>
      </c>
      <c r="U910">
        <f>IF(VLOOKUP(C910,'QA Table'!$Y$5:$Y$20,1,TRUE)=C910,1,0)</f>
        <v>0</v>
      </c>
      <c r="V910" t="str">
        <f t="shared" si="260"/>
        <v/>
      </c>
      <c r="W910" t="str">
        <f t="shared" si="261"/>
        <v/>
      </c>
      <c r="X910" t="str">
        <f t="shared" si="262"/>
        <v/>
      </c>
      <c r="Y910">
        <f t="shared" si="263"/>
        <v>0</v>
      </c>
      <c r="AA910" t="str">
        <f t="shared" si="264"/>
        <v/>
      </c>
    </row>
    <row r="911" spans="1:27" x14ac:dyDescent="0.2">
      <c r="A911" t="s">
        <v>1058</v>
      </c>
      <c r="B911" t="s">
        <v>2052</v>
      </c>
      <c r="C911" t="s">
        <v>2053</v>
      </c>
      <c r="D911" t="s">
        <v>2</v>
      </c>
      <c r="E911" t="s">
        <v>3</v>
      </c>
      <c r="F911" t="s">
        <v>2054</v>
      </c>
      <c r="G911" t="s">
        <v>1474</v>
      </c>
      <c r="H911" s="4"/>
      <c r="I911" s="4"/>
      <c r="J911" s="4">
        <v>1</v>
      </c>
      <c r="K911" s="4" t="str">
        <f t="shared" si="250"/>
        <v/>
      </c>
      <c r="L911" s="4" t="str">
        <f t="shared" si="251"/>
        <v/>
      </c>
      <c r="M911" s="4" t="str">
        <f t="shared" si="252"/>
        <v/>
      </c>
      <c r="N911" s="4" t="str">
        <f t="shared" si="253"/>
        <v/>
      </c>
      <c r="O911" s="4" t="str">
        <f t="shared" si="254"/>
        <v/>
      </c>
      <c r="P911" s="4" t="str">
        <f t="shared" si="255"/>
        <v/>
      </c>
      <c r="Q911" s="4" t="str">
        <f t="shared" si="256"/>
        <v/>
      </c>
      <c r="R911" s="4" t="str">
        <f t="shared" si="257"/>
        <v/>
      </c>
      <c r="S911" s="4" t="str">
        <f t="shared" si="258"/>
        <v/>
      </c>
      <c r="T911" s="4" t="str">
        <f t="shared" si="259"/>
        <v/>
      </c>
      <c r="U911">
        <f>IF(VLOOKUP(C911,'QA Table'!$Y$5:$Y$20,1,TRUE)=C911,1,0)</f>
        <v>0</v>
      </c>
      <c r="V911" t="str">
        <f t="shared" si="260"/>
        <v/>
      </c>
      <c r="W911" t="str">
        <f t="shared" si="261"/>
        <v/>
      </c>
      <c r="X911" t="str">
        <f t="shared" si="262"/>
        <v/>
      </c>
      <c r="Y911">
        <f t="shared" si="263"/>
        <v>0</v>
      </c>
      <c r="AA911" t="str">
        <f t="shared" si="264"/>
        <v/>
      </c>
    </row>
    <row r="912" spans="1:27" x14ac:dyDescent="0.2">
      <c r="A912" t="s">
        <v>1058</v>
      </c>
      <c r="B912" t="s">
        <v>2052</v>
      </c>
      <c r="C912" t="s">
        <v>2055</v>
      </c>
      <c r="D912" t="s">
        <v>1050</v>
      </c>
      <c r="E912" t="s">
        <v>3</v>
      </c>
      <c r="F912" t="s">
        <v>2054</v>
      </c>
      <c r="G912" t="s">
        <v>1474</v>
      </c>
      <c r="H912" s="4"/>
      <c r="I912" s="4"/>
      <c r="J912" s="4"/>
      <c r="K912" s="4" t="str">
        <f t="shared" si="250"/>
        <v/>
      </c>
      <c r="L912" s="4" t="str">
        <f t="shared" si="251"/>
        <v/>
      </c>
      <c r="M912" s="4" t="str">
        <f t="shared" si="252"/>
        <v/>
      </c>
      <c r="N912" s="4" t="str">
        <f t="shared" si="253"/>
        <v/>
      </c>
      <c r="O912" s="4" t="str">
        <f t="shared" si="254"/>
        <v/>
      </c>
      <c r="P912" s="4" t="str">
        <f t="shared" si="255"/>
        <v/>
      </c>
      <c r="Q912" s="4" t="str">
        <f t="shared" si="256"/>
        <v/>
      </c>
      <c r="R912" s="4" t="str">
        <f t="shared" si="257"/>
        <v/>
      </c>
      <c r="S912" s="4" t="str">
        <f t="shared" si="258"/>
        <v/>
      </c>
      <c r="T912" s="4" t="str">
        <f t="shared" si="259"/>
        <v/>
      </c>
      <c r="U912">
        <f>IF(VLOOKUP(C912,'QA Table'!$Y$5:$Y$20,1,TRUE)=C912,1,0)</f>
        <v>0</v>
      </c>
      <c r="V912" t="str">
        <f t="shared" si="260"/>
        <v/>
      </c>
      <c r="W912" t="str">
        <f t="shared" si="261"/>
        <v/>
      </c>
      <c r="X912" t="str">
        <f t="shared" si="262"/>
        <v/>
      </c>
      <c r="Y912">
        <f t="shared" si="263"/>
        <v>0</v>
      </c>
      <c r="AA912" t="str">
        <f t="shared" si="264"/>
        <v/>
      </c>
    </row>
    <row r="913" spans="1:27" x14ac:dyDescent="0.2">
      <c r="A913" t="s">
        <v>1058</v>
      </c>
      <c r="B913" t="s">
        <v>2052</v>
      </c>
      <c r="C913" t="s">
        <v>2056</v>
      </c>
      <c r="D913" t="s">
        <v>4</v>
      </c>
      <c r="E913" t="s">
        <v>3</v>
      </c>
      <c r="F913" t="s">
        <v>2054</v>
      </c>
      <c r="G913" t="s">
        <v>1474</v>
      </c>
      <c r="H913" s="4"/>
      <c r="I913" s="4"/>
      <c r="J913" s="4"/>
      <c r="K913" s="4" t="str">
        <f t="shared" si="250"/>
        <v/>
      </c>
      <c r="L913" s="4" t="str">
        <f t="shared" si="251"/>
        <v/>
      </c>
      <c r="M913" s="4" t="str">
        <f t="shared" si="252"/>
        <v/>
      </c>
      <c r="N913" s="4" t="str">
        <f t="shared" si="253"/>
        <v/>
      </c>
      <c r="O913" s="4" t="str">
        <f t="shared" si="254"/>
        <v/>
      </c>
      <c r="P913" s="4" t="str">
        <f t="shared" si="255"/>
        <v/>
      </c>
      <c r="Q913" s="4" t="str">
        <f t="shared" si="256"/>
        <v/>
      </c>
      <c r="R913" s="4" t="str">
        <f t="shared" si="257"/>
        <v/>
      </c>
      <c r="S913" s="4" t="str">
        <f t="shared" si="258"/>
        <v/>
      </c>
      <c r="T913" s="4" t="str">
        <f t="shared" si="259"/>
        <v/>
      </c>
      <c r="U913">
        <f>IF(VLOOKUP(C913,'QA Table'!$Y$5:$Y$20,1,TRUE)=C913,1,0)</f>
        <v>0</v>
      </c>
      <c r="V913" t="str">
        <f t="shared" si="260"/>
        <v/>
      </c>
      <c r="W913" t="str">
        <f t="shared" si="261"/>
        <v/>
      </c>
      <c r="X913" t="str">
        <f t="shared" si="262"/>
        <v/>
      </c>
      <c r="Y913">
        <f t="shared" si="263"/>
        <v>0</v>
      </c>
      <c r="AA913" t="str">
        <f t="shared" si="264"/>
        <v/>
      </c>
    </row>
    <row r="914" spans="1:27" x14ac:dyDescent="0.2">
      <c r="A914" t="s">
        <v>1058</v>
      </c>
      <c r="B914" t="s">
        <v>2052</v>
      </c>
      <c r="C914" t="s">
        <v>2057</v>
      </c>
      <c r="D914" t="s">
        <v>1051</v>
      </c>
      <c r="E914" t="s">
        <v>3</v>
      </c>
      <c r="F914" t="s">
        <v>2054</v>
      </c>
      <c r="G914" t="s">
        <v>1474</v>
      </c>
      <c r="H914" s="4"/>
      <c r="I914" s="4"/>
      <c r="J914" s="4"/>
      <c r="K914" s="4" t="str">
        <f t="shared" si="250"/>
        <v/>
      </c>
      <c r="L914" s="4" t="str">
        <f t="shared" si="251"/>
        <v/>
      </c>
      <c r="M914" s="4" t="str">
        <f t="shared" si="252"/>
        <v/>
      </c>
      <c r="N914" s="4" t="str">
        <f t="shared" si="253"/>
        <v/>
      </c>
      <c r="O914" s="4" t="str">
        <f t="shared" si="254"/>
        <v/>
      </c>
      <c r="P914" s="4" t="str">
        <f t="shared" si="255"/>
        <v/>
      </c>
      <c r="Q914" s="4" t="str">
        <f t="shared" si="256"/>
        <v/>
      </c>
      <c r="R914" s="4" t="str">
        <f t="shared" si="257"/>
        <v/>
      </c>
      <c r="S914" s="4" t="str">
        <f t="shared" si="258"/>
        <v/>
      </c>
      <c r="T914" s="4" t="str">
        <f t="shared" si="259"/>
        <v/>
      </c>
      <c r="U914">
        <f>IF(VLOOKUP(C914,'QA Table'!$Y$5:$Y$20,1,TRUE)=C914,1,0)</f>
        <v>0</v>
      </c>
      <c r="V914" t="str">
        <f t="shared" si="260"/>
        <v/>
      </c>
      <c r="W914" t="str">
        <f t="shared" si="261"/>
        <v/>
      </c>
      <c r="X914" t="str">
        <f t="shared" si="262"/>
        <v/>
      </c>
      <c r="Y914">
        <f t="shared" si="263"/>
        <v>0</v>
      </c>
      <c r="AA914" t="str">
        <f t="shared" si="264"/>
        <v/>
      </c>
    </row>
    <row r="915" spans="1:27" x14ac:dyDescent="0.2">
      <c r="A915" t="s">
        <v>1058</v>
      </c>
      <c r="B915" t="s">
        <v>2052</v>
      </c>
      <c r="C915" t="s">
        <v>2058</v>
      </c>
      <c r="D915" t="s">
        <v>8</v>
      </c>
      <c r="E915" t="s">
        <v>3</v>
      </c>
      <c r="F915" t="s">
        <v>2054</v>
      </c>
      <c r="G915" t="s">
        <v>1474</v>
      </c>
      <c r="H915" s="4">
        <v>1</v>
      </c>
      <c r="I915" s="4"/>
      <c r="J915" s="4"/>
      <c r="K915" s="4">
        <f t="shared" si="250"/>
        <v>1</v>
      </c>
      <c r="L915" s="4" t="str">
        <f t="shared" si="251"/>
        <v/>
      </c>
      <c r="M915" s="4" t="str">
        <f t="shared" si="252"/>
        <v/>
      </c>
      <c r="N915" s="4" t="str">
        <f t="shared" si="253"/>
        <v/>
      </c>
      <c r="O915" s="4" t="str">
        <f t="shared" si="254"/>
        <v/>
      </c>
      <c r="P915" s="4" t="str">
        <f t="shared" si="255"/>
        <v/>
      </c>
      <c r="Q915" s="4">
        <v>1</v>
      </c>
      <c r="R915" s="4" t="str">
        <f t="shared" si="257"/>
        <v/>
      </c>
      <c r="S915" s="4" t="str">
        <f t="shared" si="258"/>
        <v/>
      </c>
      <c r="T915" s="4" t="str">
        <f t="shared" si="259"/>
        <v/>
      </c>
      <c r="U915">
        <f>IF(VLOOKUP(C915,'QA Table'!$Y$5:$Y$20,1,TRUE)=C915,1,0)</f>
        <v>0</v>
      </c>
      <c r="V915" t="str">
        <f t="shared" si="260"/>
        <v/>
      </c>
      <c r="W915" t="str">
        <f t="shared" si="261"/>
        <v/>
      </c>
      <c r="X915">
        <f t="shared" si="262"/>
        <v>4</v>
      </c>
      <c r="Y915">
        <f t="shared" si="263"/>
        <v>0</v>
      </c>
      <c r="AA915">
        <f t="shared" si="264"/>
        <v>1</v>
      </c>
    </row>
    <row r="916" spans="1:27" x14ac:dyDescent="0.2">
      <c r="A916" t="s">
        <v>1058</v>
      </c>
      <c r="B916" t="s">
        <v>2052</v>
      </c>
      <c r="C916" t="s">
        <v>2059</v>
      </c>
      <c r="D916" t="s">
        <v>10</v>
      </c>
      <c r="E916" t="s">
        <v>3</v>
      </c>
      <c r="F916" t="s">
        <v>2054</v>
      </c>
      <c r="G916" t="s">
        <v>1474</v>
      </c>
      <c r="H916" s="4"/>
      <c r="I916" s="4"/>
      <c r="J916" s="4"/>
      <c r="K916" s="4" t="str">
        <f t="shared" si="250"/>
        <v/>
      </c>
      <c r="L916" s="4" t="str">
        <f t="shared" si="251"/>
        <v/>
      </c>
      <c r="M916" s="4" t="str">
        <f t="shared" si="252"/>
        <v/>
      </c>
      <c r="N916" s="4" t="str">
        <f t="shared" si="253"/>
        <v/>
      </c>
      <c r="O916" s="4" t="str">
        <f t="shared" si="254"/>
        <v/>
      </c>
      <c r="P916" s="4" t="str">
        <f t="shared" si="255"/>
        <v/>
      </c>
      <c r="Q916" s="4"/>
      <c r="R916" s="4" t="str">
        <f t="shared" si="257"/>
        <v/>
      </c>
      <c r="S916" s="4" t="str">
        <f t="shared" si="258"/>
        <v/>
      </c>
      <c r="T916" s="4">
        <f t="shared" si="259"/>
        <v>1</v>
      </c>
      <c r="U916">
        <f>IF(VLOOKUP(C916,'QA Table'!$Y$5:$Y$20,1,TRUE)=C916,1,0)</f>
        <v>0</v>
      </c>
      <c r="V916" t="str">
        <f t="shared" si="260"/>
        <v/>
      </c>
      <c r="W916" t="str">
        <f t="shared" si="261"/>
        <v/>
      </c>
      <c r="X916" t="str">
        <f t="shared" si="262"/>
        <v/>
      </c>
      <c r="Y916">
        <f t="shared" si="263"/>
        <v>0</v>
      </c>
      <c r="AA916" t="str">
        <f t="shared" si="264"/>
        <v/>
      </c>
    </row>
    <row r="917" spans="1:27" x14ac:dyDescent="0.2">
      <c r="A917" t="s">
        <v>1058</v>
      </c>
      <c r="B917" t="s">
        <v>2060</v>
      </c>
      <c r="C917" t="s">
        <v>2061</v>
      </c>
      <c r="D917" t="s">
        <v>2</v>
      </c>
      <c r="E917" t="s">
        <v>3</v>
      </c>
      <c r="F917" t="s">
        <v>2062</v>
      </c>
      <c r="G917" t="s">
        <v>1474</v>
      </c>
      <c r="H917" s="4"/>
      <c r="I917" s="4"/>
      <c r="J917" s="4">
        <v>1</v>
      </c>
      <c r="K917" s="4" t="str">
        <f t="shared" si="250"/>
        <v/>
      </c>
      <c r="L917" s="4" t="str">
        <f t="shared" si="251"/>
        <v/>
      </c>
      <c r="M917" s="4" t="str">
        <f t="shared" si="252"/>
        <v/>
      </c>
      <c r="N917" s="4" t="str">
        <f t="shared" si="253"/>
        <v/>
      </c>
      <c r="O917" s="4" t="str">
        <f t="shared" si="254"/>
        <v/>
      </c>
      <c r="P917" s="4" t="str">
        <f t="shared" si="255"/>
        <v/>
      </c>
      <c r="Q917" s="4" t="str">
        <f t="shared" si="256"/>
        <v/>
      </c>
      <c r="R917" s="4" t="str">
        <f t="shared" si="257"/>
        <v/>
      </c>
      <c r="S917" s="4" t="str">
        <f t="shared" si="258"/>
        <v/>
      </c>
      <c r="T917" s="4" t="str">
        <f t="shared" si="259"/>
        <v/>
      </c>
      <c r="U917">
        <f>IF(VLOOKUP(C917,'QA Table'!$Y$5:$Y$20,1,TRUE)=C917,1,0)</f>
        <v>0</v>
      </c>
      <c r="V917" t="str">
        <f t="shared" si="260"/>
        <v/>
      </c>
      <c r="W917" t="str">
        <f t="shared" si="261"/>
        <v/>
      </c>
      <c r="X917" t="str">
        <f t="shared" si="262"/>
        <v/>
      </c>
      <c r="Y917">
        <f t="shared" si="263"/>
        <v>0</v>
      </c>
      <c r="AA917" t="str">
        <f t="shared" si="264"/>
        <v/>
      </c>
    </row>
    <row r="918" spans="1:27" x14ac:dyDescent="0.2">
      <c r="A918" t="s">
        <v>1058</v>
      </c>
      <c r="B918" t="s">
        <v>2060</v>
      </c>
      <c r="C918" t="s">
        <v>2063</v>
      </c>
      <c r="D918" t="s">
        <v>1050</v>
      </c>
      <c r="E918" t="s">
        <v>3</v>
      </c>
      <c r="F918" t="s">
        <v>2062</v>
      </c>
      <c r="G918" t="s">
        <v>1474</v>
      </c>
      <c r="H918" s="4"/>
      <c r="I918" s="4"/>
      <c r="J918" s="4"/>
      <c r="K918" s="4" t="str">
        <f t="shared" si="250"/>
        <v/>
      </c>
      <c r="L918" s="4" t="str">
        <f t="shared" si="251"/>
        <v/>
      </c>
      <c r="M918" s="4" t="str">
        <f t="shared" si="252"/>
        <v/>
      </c>
      <c r="N918" s="4" t="str">
        <f t="shared" si="253"/>
        <v/>
      </c>
      <c r="O918" s="4" t="str">
        <f t="shared" si="254"/>
        <v/>
      </c>
      <c r="P918" s="4" t="str">
        <f t="shared" si="255"/>
        <v/>
      </c>
      <c r="Q918" s="4" t="str">
        <f t="shared" si="256"/>
        <v/>
      </c>
      <c r="R918" s="4" t="str">
        <f t="shared" si="257"/>
        <v/>
      </c>
      <c r="S918" s="4" t="str">
        <f t="shared" si="258"/>
        <v/>
      </c>
      <c r="T918" s="4" t="str">
        <f t="shared" si="259"/>
        <v/>
      </c>
      <c r="U918">
        <f>IF(VLOOKUP(C918,'QA Table'!$Y$5:$Y$20,1,TRUE)=C918,1,0)</f>
        <v>0</v>
      </c>
      <c r="V918" t="str">
        <f t="shared" si="260"/>
        <v/>
      </c>
      <c r="W918" t="str">
        <f t="shared" si="261"/>
        <v/>
      </c>
      <c r="X918" t="str">
        <f t="shared" si="262"/>
        <v/>
      </c>
      <c r="Y918">
        <f t="shared" si="263"/>
        <v>0</v>
      </c>
      <c r="AA918" t="str">
        <f t="shared" si="264"/>
        <v/>
      </c>
    </row>
    <row r="919" spans="1:27" x14ac:dyDescent="0.2">
      <c r="A919" t="s">
        <v>1058</v>
      </c>
      <c r="B919" t="s">
        <v>2060</v>
      </c>
      <c r="C919" t="s">
        <v>2064</v>
      </c>
      <c r="D919" t="s">
        <v>4</v>
      </c>
      <c r="E919" t="s">
        <v>3</v>
      </c>
      <c r="F919" t="s">
        <v>2062</v>
      </c>
      <c r="G919" t="s">
        <v>1474</v>
      </c>
      <c r="H919" s="4"/>
      <c r="I919" s="4"/>
      <c r="J919" s="4"/>
      <c r="K919" s="4" t="str">
        <f t="shared" si="250"/>
        <v/>
      </c>
      <c r="L919" s="4" t="str">
        <f t="shared" si="251"/>
        <v/>
      </c>
      <c r="M919" s="4" t="str">
        <f t="shared" si="252"/>
        <v/>
      </c>
      <c r="N919" s="4" t="str">
        <f t="shared" si="253"/>
        <v/>
      </c>
      <c r="O919" s="4" t="str">
        <f t="shared" si="254"/>
        <v/>
      </c>
      <c r="P919" s="4" t="str">
        <f t="shared" si="255"/>
        <v/>
      </c>
      <c r="Q919" s="4" t="str">
        <f t="shared" si="256"/>
        <v/>
      </c>
      <c r="R919" s="4" t="str">
        <f t="shared" si="257"/>
        <v/>
      </c>
      <c r="S919" s="4" t="str">
        <f t="shared" si="258"/>
        <v/>
      </c>
      <c r="T919" s="4" t="str">
        <f t="shared" si="259"/>
        <v/>
      </c>
      <c r="U919">
        <f>IF(VLOOKUP(C919,'QA Table'!$Y$5:$Y$20,1,TRUE)=C919,1,0)</f>
        <v>0</v>
      </c>
      <c r="V919" t="str">
        <f t="shared" si="260"/>
        <v/>
      </c>
      <c r="W919" t="str">
        <f t="shared" si="261"/>
        <v/>
      </c>
      <c r="X919" t="str">
        <f t="shared" si="262"/>
        <v/>
      </c>
      <c r="Y919">
        <f t="shared" si="263"/>
        <v>0</v>
      </c>
      <c r="AA919" t="str">
        <f t="shared" si="264"/>
        <v/>
      </c>
    </row>
    <row r="920" spans="1:27" x14ac:dyDescent="0.2">
      <c r="A920" t="s">
        <v>1058</v>
      </c>
      <c r="B920" t="s">
        <v>2060</v>
      </c>
      <c r="C920" t="s">
        <v>2065</v>
      </c>
      <c r="D920" t="s">
        <v>1051</v>
      </c>
      <c r="E920" t="s">
        <v>3</v>
      </c>
      <c r="F920" t="s">
        <v>2062</v>
      </c>
      <c r="G920" t="s">
        <v>1474</v>
      </c>
      <c r="H920" s="4"/>
      <c r="I920" s="4"/>
      <c r="J920" s="4"/>
      <c r="K920" s="4" t="str">
        <f t="shared" si="250"/>
        <v/>
      </c>
      <c r="L920" s="4" t="str">
        <f t="shared" si="251"/>
        <v/>
      </c>
      <c r="M920" s="4" t="str">
        <f t="shared" si="252"/>
        <v/>
      </c>
      <c r="N920" s="4" t="str">
        <f t="shared" si="253"/>
        <v/>
      </c>
      <c r="O920" s="4" t="str">
        <f t="shared" si="254"/>
        <v/>
      </c>
      <c r="P920" s="4" t="str">
        <f t="shared" si="255"/>
        <v/>
      </c>
      <c r="Q920" s="4" t="str">
        <f t="shared" si="256"/>
        <v/>
      </c>
      <c r="R920" s="4" t="str">
        <f t="shared" si="257"/>
        <v/>
      </c>
      <c r="S920" s="4" t="str">
        <f t="shared" si="258"/>
        <v/>
      </c>
      <c r="T920" s="4" t="str">
        <f t="shared" si="259"/>
        <v/>
      </c>
      <c r="U920">
        <f>IF(VLOOKUP(C920,'QA Table'!$Y$5:$Y$20,1,TRUE)=C920,1,0)</f>
        <v>0</v>
      </c>
      <c r="V920" t="str">
        <f t="shared" si="260"/>
        <v/>
      </c>
      <c r="W920" t="str">
        <f t="shared" si="261"/>
        <v/>
      </c>
      <c r="X920" t="str">
        <f t="shared" si="262"/>
        <v/>
      </c>
      <c r="Y920">
        <f t="shared" si="263"/>
        <v>0</v>
      </c>
      <c r="AA920" t="str">
        <f t="shared" si="264"/>
        <v/>
      </c>
    </row>
    <row r="921" spans="1:27" x14ac:dyDescent="0.2">
      <c r="A921" t="s">
        <v>1058</v>
      </c>
      <c r="B921" t="s">
        <v>2060</v>
      </c>
      <c r="C921" t="s">
        <v>2066</v>
      </c>
      <c r="D921" t="s">
        <v>8</v>
      </c>
      <c r="E921" t="s">
        <v>3</v>
      </c>
      <c r="F921" t="s">
        <v>2062</v>
      </c>
      <c r="G921" t="s">
        <v>1474</v>
      </c>
      <c r="H921" s="4">
        <v>1</v>
      </c>
      <c r="I921" s="4"/>
      <c r="J921" s="4"/>
      <c r="K921" s="4">
        <f t="shared" si="250"/>
        <v>1</v>
      </c>
      <c r="L921" s="4" t="str">
        <f t="shared" si="251"/>
        <v/>
      </c>
      <c r="M921" s="4" t="str">
        <f t="shared" si="252"/>
        <v/>
      </c>
      <c r="N921" s="4" t="str">
        <f t="shared" si="253"/>
        <v/>
      </c>
      <c r="O921" s="4" t="str">
        <f t="shared" si="254"/>
        <v/>
      </c>
      <c r="P921" s="4" t="str">
        <f t="shared" si="255"/>
        <v/>
      </c>
      <c r="Q921" s="4">
        <v>1</v>
      </c>
      <c r="R921" s="4" t="str">
        <f t="shared" si="257"/>
        <v/>
      </c>
      <c r="S921" s="4" t="str">
        <f t="shared" si="258"/>
        <v/>
      </c>
      <c r="T921" s="4" t="str">
        <f t="shared" si="259"/>
        <v/>
      </c>
      <c r="U921">
        <f>IF(VLOOKUP(C921,'QA Table'!$Y$5:$Y$20,1,TRUE)=C921,1,0)</f>
        <v>0</v>
      </c>
      <c r="V921" t="str">
        <f t="shared" si="260"/>
        <v/>
      </c>
      <c r="W921" t="str">
        <f t="shared" si="261"/>
        <v/>
      </c>
      <c r="X921">
        <f t="shared" si="262"/>
        <v>4</v>
      </c>
      <c r="Y921">
        <f t="shared" si="263"/>
        <v>0</v>
      </c>
      <c r="AA921">
        <f t="shared" si="264"/>
        <v>1</v>
      </c>
    </row>
    <row r="922" spans="1:27" x14ac:dyDescent="0.2">
      <c r="A922" t="s">
        <v>1058</v>
      </c>
      <c r="B922" t="s">
        <v>2060</v>
      </c>
      <c r="C922" t="s">
        <v>2067</v>
      </c>
      <c r="D922" t="s">
        <v>10</v>
      </c>
      <c r="E922" t="s">
        <v>3</v>
      </c>
      <c r="F922" t="s">
        <v>2062</v>
      </c>
      <c r="G922" t="s">
        <v>1474</v>
      </c>
      <c r="H922" s="4"/>
      <c r="I922" s="4"/>
      <c r="J922" s="4"/>
      <c r="K922" s="4" t="str">
        <f t="shared" si="250"/>
        <v/>
      </c>
      <c r="L922" s="4" t="str">
        <f t="shared" si="251"/>
        <v/>
      </c>
      <c r="M922" s="4" t="str">
        <f t="shared" si="252"/>
        <v/>
      </c>
      <c r="N922" s="4" t="str">
        <f t="shared" si="253"/>
        <v/>
      </c>
      <c r="O922" s="4" t="str">
        <f t="shared" si="254"/>
        <v/>
      </c>
      <c r="P922" s="4" t="str">
        <f t="shared" si="255"/>
        <v/>
      </c>
      <c r="Q922" s="4"/>
      <c r="R922" s="4" t="str">
        <f t="shared" si="257"/>
        <v/>
      </c>
      <c r="S922" s="4" t="str">
        <f t="shared" si="258"/>
        <v/>
      </c>
      <c r="T922" s="4">
        <f t="shared" si="259"/>
        <v>1</v>
      </c>
      <c r="U922">
        <f>IF(VLOOKUP(C922,'QA Table'!$Y$5:$Y$20,1,TRUE)=C922,1,0)</f>
        <v>0</v>
      </c>
      <c r="V922" t="str">
        <f t="shared" si="260"/>
        <v/>
      </c>
      <c r="W922" t="str">
        <f t="shared" si="261"/>
        <v/>
      </c>
      <c r="X922" t="str">
        <f t="shared" si="262"/>
        <v/>
      </c>
      <c r="Y922">
        <f t="shared" si="263"/>
        <v>0</v>
      </c>
      <c r="AA922" t="str">
        <f t="shared" si="264"/>
        <v/>
      </c>
    </row>
    <row r="923" spans="1:27" x14ac:dyDescent="0.2">
      <c r="A923" t="s">
        <v>1058</v>
      </c>
      <c r="B923" t="s">
        <v>2068</v>
      </c>
      <c r="C923" t="s">
        <v>2069</v>
      </c>
      <c r="D923" t="s">
        <v>2</v>
      </c>
      <c r="E923" t="s">
        <v>3</v>
      </c>
      <c r="F923" t="s">
        <v>2070</v>
      </c>
      <c r="G923" t="s">
        <v>1474</v>
      </c>
      <c r="H923" s="4"/>
      <c r="I923" s="4"/>
      <c r="J923" s="4">
        <v>1</v>
      </c>
      <c r="K923" s="4" t="str">
        <f t="shared" si="250"/>
        <v/>
      </c>
      <c r="L923" s="4" t="str">
        <f t="shared" si="251"/>
        <v/>
      </c>
      <c r="M923" s="4" t="str">
        <f t="shared" si="252"/>
        <v/>
      </c>
      <c r="N923" s="4" t="str">
        <f t="shared" si="253"/>
        <v/>
      </c>
      <c r="O923" s="4" t="str">
        <f t="shared" si="254"/>
        <v/>
      </c>
      <c r="P923" s="4" t="str">
        <f t="shared" si="255"/>
        <v/>
      </c>
      <c r="Q923" s="4" t="str">
        <f t="shared" si="256"/>
        <v/>
      </c>
      <c r="R923" s="4" t="str">
        <f t="shared" si="257"/>
        <v/>
      </c>
      <c r="S923" s="4" t="str">
        <f t="shared" si="258"/>
        <v/>
      </c>
      <c r="T923" s="4" t="str">
        <f t="shared" si="259"/>
        <v/>
      </c>
      <c r="U923">
        <f>IF(VLOOKUP(C923,'QA Table'!$Y$5:$Y$20,1,TRUE)=C923,1,0)</f>
        <v>0</v>
      </c>
      <c r="V923" t="str">
        <f t="shared" si="260"/>
        <v/>
      </c>
      <c r="W923" t="str">
        <f t="shared" si="261"/>
        <v/>
      </c>
      <c r="X923" t="str">
        <f t="shared" si="262"/>
        <v/>
      </c>
      <c r="Y923">
        <f t="shared" si="263"/>
        <v>0</v>
      </c>
      <c r="AA923" t="str">
        <f t="shared" si="264"/>
        <v/>
      </c>
    </row>
    <row r="924" spans="1:27" x14ac:dyDescent="0.2">
      <c r="A924" t="s">
        <v>1058</v>
      </c>
      <c r="B924" t="s">
        <v>2068</v>
      </c>
      <c r="C924" t="s">
        <v>2071</v>
      </c>
      <c r="D924" t="s">
        <v>1050</v>
      </c>
      <c r="E924" t="s">
        <v>3</v>
      </c>
      <c r="F924" t="s">
        <v>2070</v>
      </c>
      <c r="G924" t="s">
        <v>1474</v>
      </c>
      <c r="H924" s="4"/>
      <c r="I924" s="4"/>
      <c r="J924" s="4"/>
      <c r="K924" s="4" t="str">
        <f t="shared" si="250"/>
        <v/>
      </c>
      <c r="L924" s="4" t="str">
        <f t="shared" si="251"/>
        <v/>
      </c>
      <c r="M924" s="4" t="str">
        <f t="shared" si="252"/>
        <v/>
      </c>
      <c r="N924" s="4" t="str">
        <f t="shared" si="253"/>
        <v/>
      </c>
      <c r="O924" s="4" t="str">
        <f t="shared" si="254"/>
        <v/>
      </c>
      <c r="P924" s="4" t="str">
        <f t="shared" si="255"/>
        <v/>
      </c>
      <c r="Q924" s="4" t="str">
        <f t="shared" si="256"/>
        <v/>
      </c>
      <c r="R924" s="4" t="str">
        <f t="shared" si="257"/>
        <v/>
      </c>
      <c r="S924" s="4" t="str">
        <f t="shared" si="258"/>
        <v/>
      </c>
      <c r="T924" s="4" t="str">
        <f t="shared" si="259"/>
        <v/>
      </c>
      <c r="U924">
        <f>IF(VLOOKUP(C924,'QA Table'!$Y$5:$Y$20,1,TRUE)=C924,1,0)</f>
        <v>0</v>
      </c>
      <c r="V924" t="str">
        <f t="shared" si="260"/>
        <v/>
      </c>
      <c r="W924" t="str">
        <f t="shared" si="261"/>
        <v/>
      </c>
      <c r="X924" t="str">
        <f t="shared" si="262"/>
        <v/>
      </c>
      <c r="Y924">
        <f t="shared" si="263"/>
        <v>0</v>
      </c>
      <c r="AA924" t="str">
        <f t="shared" si="264"/>
        <v/>
      </c>
    </row>
    <row r="925" spans="1:27" x14ac:dyDescent="0.2">
      <c r="A925" t="s">
        <v>1058</v>
      </c>
      <c r="B925" t="s">
        <v>2068</v>
      </c>
      <c r="C925" t="s">
        <v>2072</v>
      </c>
      <c r="D925" t="s">
        <v>4</v>
      </c>
      <c r="E925" t="s">
        <v>3</v>
      </c>
      <c r="F925" t="s">
        <v>2070</v>
      </c>
      <c r="G925" t="s">
        <v>1474</v>
      </c>
      <c r="H925" s="4"/>
      <c r="I925" s="4"/>
      <c r="J925" s="4"/>
      <c r="K925" s="4" t="str">
        <f t="shared" si="250"/>
        <v/>
      </c>
      <c r="L925" s="4" t="str">
        <f t="shared" si="251"/>
        <v/>
      </c>
      <c r="M925" s="4" t="str">
        <f t="shared" si="252"/>
        <v/>
      </c>
      <c r="N925" s="4" t="str">
        <f t="shared" si="253"/>
        <v/>
      </c>
      <c r="O925" s="4" t="str">
        <f t="shared" si="254"/>
        <v/>
      </c>
      <c r="P925" s="4" t="str">
        <f t="shared" si="255"/>
        <v/>
      </c>
      <c r="Q925" s="4" t="str">
        <f t="shared" si="256"/>
        <v/>
      </c>
      <c r="R925" s="4" t="str">
        <f t="shared" si="257"/>
        <v/>
      </c>
      <c r="S925" s="4" t="str">
        <f t="shared" si="258"/>
        <v/>
      </c>
      <c r="T925" s="4" t="str">
        <f t="shared" si="259"/>
        <v/>
      </c>
      <c r="U925">
        <f>IF(VLOOKUP(C925,'QA Table'!$Y$5:$Y$20,1,TRUE)=C925,1,0)</f>
        <v>0</v>
      </c>
      <c r="V925" t="str">
        <f t="shared" si="260"/>
        <v/>
      </c>
      <c r="W925" t="str">
        <f t="shared" si="261"/>
        <v/>
      </c>
      <c r="X925" t="str">
        <f t="shared" si="262"/>
        <v/>
      </c>
      <c r="Y925">
        <f t="shared" si="263"/>
        <v>0</v>
      </c>
      <c r="AA925" t="str">
        <f t="shared" si="264"/>
        <v/>
      </c>
    </row>
    <row r="926" spans="1:27" x14ac:dyDescent="0.2">
      <c r="A926" t="s">
        <v>1058</v>
      </c>
      <c r="B926" t="s">
        <v>2068</v>
      </c>
      <c r="C926" t="s">
        <v>2073</v>
      </c>
      <c r="D926" t="s">
        <v>1051</v>
      </c>
      <c r="E926" t="s">
        <v>3</v>
      </c>
      <c r="F926" t="s">
        <v>2070</v>
      </c>
      <c r="G926" t="s">
        <v>1474</v>
      </c>
      <c r="H926" s="4"/>
      <c r="I926" s="4"/>
      <c r="J926" s="4"/>
      <c r="K926" s="4" t="str">
        <f t="shared" si="250"/>
        <v/>
      </c>
      <c r="L926" s="4" t="str">
        <f t="shared" si="251"/>
        <v/>
      </c>
      <c r="M926" s="4" t="str">
        <f t="shared" si="252"/>
        <v/>
      </c>
      <c r="N926" s="4" t="str">
        <f t="shared" si="253"/>
        <v/>
      </c>
      <c r="O926" s="4" t="str">
        <f t="shared" si="254"/>
        <v/>
      </c>
      <c r="P926" s="4" t="str">
        <f t="shared" si="255"/>
        <v/>
      </c>
      <c r="Q926" s="4" t="str">
        <f t="shared" si="256"/>
        <v/>
      </c>
      <c r="R926" s="4" t="str">
        <f t="shared" si="257"/>
        <v/>
      </c>
      <c r="S926" s="4" t="str">
        <f t="shared" si="258"/>
        <v/>
      </c>
      <c r="T926" s="4" t="str">
        <f t="shared" si="259"/>
        <v/>
      </c>
      <c r="U926">
        <f>IF(VLOOKUP(C926,'QA Table'!$Y$5:$Y$20,1,TRUE)=C926,1,0)</f>
        <v>0</v>
      </c>
      <c r="V926" t="str">
        <f t="shared" si="260"/>
        <v/>
      </c>
      <c r="W926" t="str">
        <f t="shared" si="261"/>
        <v/>
      </c>
      <c r="X926" t="str">
        <f t="shared" si="262"/>
        <v/>
      </c>
      <c r="Y926">
        <f t="shared" si="263"/>
        <v>0</v>
      </c>
      <c r="AA926" t="str">
        <f t="shared" si="264"/>
        <v/>
      </c>
    </row>
    <row r="927" spans="1:27" x14ac:dyDescent="0.2">
      <c r="A927" t="s">
        <v>1058</v>
      </c>
      <c r="B927" t="s">
        <v>2068</v>
      </c>
      <c r="C927" t="s">
        <v>2074</v>
      </c>
      <c r="D927" t="s">
        <v>8</v>
      </c>
      <c r="E927" t="s">
        <v>3</v>
      </c>
      <c r="F927" t="s">
        <v>2070</v>
      </c>
      <c r="G927" t="s">
        <v>1474</v>
      </c>
      <c r="H927" s="4">
        <v>1</v>
      </c>
      <c r="I927" s="4"/>
      <c r="J927" s="4"/>
      <c r="K927" s="4">
        <f t="shared" si="250"/>
        <v>1</v>
      </c>
      <c r="L927" s="4" t="str">
        <f t="shared" si="251"/>
        <v/>
      </c>
      <c r="M927" s="4" t="str">
        <f t="shared" si="252"/>
        <v/>
      </c>
      <c r="N927" s="4" t="str">
        <f t="shared" si="253"/>
        <v/>
      </c>
      <c r="O927" s="4" t="str">
        <f t="shared" si="254"/>
        <v/>
      </c>
      <c r="P927" s="4" t="str">
        <f t="shared" si="255"/>
        <v/>
      </c>
      <c r="Q927" s="4">
        <v>1</v>
      </c>
      <c r="R927" s="4" t="str">
        <f t="shared" si="257"/>
        <v/>
      </c>
      <c r="S927" s="4" t="str">
        <f t="shared" si="258"/>
        <v/>
      </c>
      <c r="T927" s="4" t="str">
        <f t="shared" si="259"/>
        <v/>
      </c>
      <c r="U927">
        <f>IF(VLOOKUP(C927,'QA Table'!$Y$5:$Y$20,1,TRUE)=C927,1,0)</f>
        <v>0</v>
      </c>
      <c r="V927" t="str">
        <f t="shared" si="260"/>
        <v/>
      </c>
      <c r="W927" t="str">
        <f t="shared" si="261"/>
        <v/>
      </c>
      <c r="X927">
        <f t="shared" si="262"/>
        <v>4</v>
      </c>
      <c r="Y927">
        <f t="shared" si="263"/>
        <v>0</v>
      </c>
      <c r="AA927">
        <f t="shared" si="264"/>
        <v>1</v>
      </c>
    </row>
    <row r="928" spans="1:27" x14ac:dyDescent="0.2">
      <c r="A928" t="s">
        <v>1058</v>
      </c>
      <c r="B928" t="s">
        <v>2068</v>
      </c>
      <c r="C928" t="s">
        <v>2075</v>
      </c>
      <c r="D928" t="s">
        <v>10</v>
      </c>
      <c r="E928" t="s">
        <v>3</v>
      </c>
      <c r="F928" t="s">
        <v>2070</v>
      </c>
      <c r="G928" t="s">
        <v>1474</v>
      </c>
      <c r="H928" s="4"/>
      <c r="I928" s="4"/>
      <c r="J928" s="4"/>
      <c r="K928" s="4" t="str">
        <f t="shared" si="250"/>
        <v/>
      </c>
      <c r="L928" s="4" t="str">
        <f t="shared" si="251"/>
        <v/>
      </c>
      <c r="M928" s="4" t="str">
        <f t="shared" si="252"/>
        <v/>
      </c>
      <c r="N928" s="4" t="str">
        <f t="shared" si="253"/>
        <v/>
      </c>
      <c r="O928" s="4" t="str">
        <f t="shared" si="254"/>
        <v/>
      </c>
      <c r="P928" s="4" t="str">
        <f t="shared" si="255"/>
        <v/>
      </c>
      <c r="Q928" s="4"/>
      <c r="R928" s="4" t="str">
        <f t="shared" si="257"/>
        <v/>
      </c>
      <c r="S928" s="4" t="str">
        <f t="shared" si="258"/>
        <v/>
      </c>
      <c r="T928" s="4">
        <f t="shared" si="259"/>
        <v>1</v>
      </c>
      <c r="U928">
        <f>IF(VLOOKUP(C928,'QA Table'!$Y$5:$Y$20,1,TRUE)=C928,1,0)</f>
        <v>0</v>
      </c>
      <c r="V928" t="str">
        <f t="shared" si="260"/>
        <v/>
      </c>
      <c r="W928" t="str">
        <f t="shared" si="261"/>
        <v/>
      </c>
      <c r="X928" t="str">
        <f t="shared" si="262"/>
        <v/>
      </c>
      <c r="Y928">
        <f t="shared" si="263"/>
        <v>0</v>
      </c>
      <c r="AA928" t="str">
        <f t="shared" si="264"/>
        <v/>
      </c>
    </row>
    <row r="929" spans="1:27" x14ac:dyDescent="0.2">
      <c r="A929" t="s">
        <v>1058</v>
      </c>
      <c r="B929" t="s">
        <v>2076</v>
      </c>
      <c r="C929" t="s">
        <v>2077</v>
      </c>
      <c r="D929" t="s">
        <v>2</v>
      </c>
      <c r="E929" t="s">
        <v>3</v>
      </c>
      <c r="F929" t="s">
        <v>2078</v>
      </c>
      <c r="G929" t="s">
        <v>1474</v>
      </c>
      <c r="H929" s="4"/>
      <c r="I929" s="4"/>
      <c r="J929" s="4">
        <v>1</v>
      </c>
      <c r="K929" s="4" t="str">
        <f t="shared" si="250"/>
        <v/>
      </c>
      <c r="L929" s="4" t="str">
        <f t="shared" si="251"/>
        <v/>
      </c>
      <c r="M929" s="4" t="str">
        <f t="shared" si="252"/>
        <v/>
      </c>
      <c r="N929" s="4" t="str">
        <f t="shared" si="253"/>
        <v/>
      </c>
      <c r="O929" s="4" t="str">
        <f t="shared" si="254"/>
        <v/>
      </c>
      <c r="P929" s="4" t="str">
        <f t="shared" si="255"/>
        <v/>
      </c>
      <c r="Q929" s="4" t="str">
        <f t="shared" si="256"/>
        <v/>
      </c>
      <c r="R929" s="4" t="str">
        <f t="shared" si="257"/>
        <v/>
      </c>
      <c r="S929" s="4" t="str">
        <f t="shared" si="258"/>
        <v/>
      </c>
      <c r="T929" s="4" t="str">
        <f t="shared" si="259"/>
        <v/>
      </c>
      <c r="U929">
        <f>IF(VLOOKUP(C929,'QA Table'!$Y$5:$Y$20,1,TRUE)=C929,1,0)</f>
        <v>0</v>
      </c>
      <c r="V929" t="str">
        <f t="shared" si="260"/>
        <v/>
      </c>
      <c r="W929" t="str">
        <f t="shared" si="261"/>
        <v/>
      </c>
      <c r="X929" t="str">
        <f t="shared" si="262"/>
        <v/>
      </c>
      <c r="Y929">
        <f t="shared" si="263"/>
        <v>0</v>
      </c>
      <c r="AA929" t="str">
        <f t="shared" si="264"/>
        <v/>
      </c>
    </row>
    <row r="930" spans="1:27" x14ac:dyDescent="0.2">
      <c r="A930" t="s">
        <v>1058</v>
      </c>
      <c r="B930" t="s">
        <v>2076</v>
      </c>
      <c r="C930" t="s">
        <v>2079</v>
      </c>
      <c r="D930" t="s">
        <v>1050</v>
      </c>
      <c r="E930" t="s">
        <v>3</v>
      </c>
      <c r="F930" t="s">
        <v>2078</v>
      </c>
      <c r="G930" t="s">
        <v>1474</v>
      </c>
      <c r="H930" s="4"/>
      <c r="I930" s="4"/>
      <c r="J930" s="4"/>
      <c r="K930" s="4" t="str">
        <f t="shared" si="250"/>
        <v/>
      </c>
      <c r="L930" s="4" t="str">
        <f t="shared" si="251"/>
        <v/>
      </c>
      <c r="M930" s="4" t="str">
        <f t="shared" si="252"/>
        <v/>
      </c>
      <c r="N930" s="4" t="str">
        <f t="shared" si="253"/>
        <v/>
      </c>
      <c r="O930" s="4" t="str">
        <f t="shared" si="254"/>
        <v/>
      </c>
      <c r="P930" s="4" t="str">
        <f t="shared" si="255"/>
        <v/>
      </c>
      <c r="Q930" s="4" t="str">
        <f t="shared" si="256"/>
        <v/>
      </c>
      <c r="R930" s="4" t="str">
        <f t="shared" si="257"/>
        <v/>
      </c>
      <c r="S930" s="4" t="str">
        <f t="shared" si="258"/>
        <v/>
      </c>
      <c r="T930" s="4" t="str">
        <f t="shared" si="259"/>
        <v/>
      </c>
      <c r="U930">
        <f>IF(VLOOKUP(C930,'QA Table'!$Y$5:$Y$20,1,TRUE)=C930,1,0)</f>
        <v>0</v>
      </c>
      <c r="V930" t="str">
        <f t="shared" si="260"/>
        <v/>
      </c>
      <c r="W930" t="str">
        <f t="shared" si="261"/>
        <v/>
      </c>
      <c r="X930" t="str">
        <f t="shared" si="262"/>
        <v/>
      </c>
      <c r="Y930">
        <f t="shared" si="263"/>
        <v>0</v>
      </c>
      <c r="AA930" t="str">
        <f t="shared" si="264"/>
        <v/>
      </c>
    </row>
    <row r="931" spans="1:27" x14ac:dyDescent="0.2">
      <c r="A931" t="s">
        <v>1058</v>
      </c>
      <c r="B931" t="s">
        <v>2076</v>
      </c>
      <c r="C931" t="s">
        <v>2080</v>
      </c>
      <c r="D931" t="s">
        <v>4</v>
      </c>
      <c r="E931" t="s">
        <v>3</v>
      </c>
      <c r="F931" t="s">
        <v>2078</v>
      </c>
      <c r="G931" t="s">
        <v>1474</v>
      </c>
      <c r="H931" s="4"/>
      <c r="I931" s="4"/>
      <c r="J931" s="4"/>
      <c r="K931" s="4" t="str">
        <f t="shared" si="250"/>
        <v/>
      </c>
      <c r="L931" s="4" t="str">
        <f t="shared" si="251"/>
        <v/>
      </c>
      <c r="M931" s="4" t="str">
        <f t="shared" si="252"/>
        <v/>
      </c>
      <c r="N931" s="4" t="str">
        <f t="shared" si="253"/>
        <v/>
      </c>
      <c r="O931" s="4" t="str">
        <f t="shared" si="254"/>
        <v/>
      </c>
      <c r="P931" s="4" t="str">
        <f t="shared" si="255"/>
        <v/>
      </c>
      <c r="Q931" s="4" t="str">
        <f t="shared" si="256"/>
        <v/>
      </c>
      <c r="R931" s="4" t="str">
        <f t="shared" si="257"/>
        <v/>
      </c>
      <c r="S931" s="4" t="str">
        <f t="shared" si="258"/>
        <v/>
      </c>
      <c r="T931" s="4" t="str">
        <f t="shared" si="259"/>
        <v/>
      </c>
      <c r="U931">
        <f>IF(VLOOKUP(C931,'QA Table'!$Y$5:$Y$20,1,TRUE)=C931,1,0)</f>
        <v>0</v>
      </c>
      <c r="V931" t="str">
        <f t="shared" si="260"/>
        <v/>
      </c>
      <c r="W931" t="str">
        <f t="shared" si="261"/>
        <v/>
      </c>
      <c r="X931" t="str">
        <f t="shared" si="262"/>
        <v/>
      </c>
      <c r="Y931">
        <f t="shared" si="263"/>
        <v>0</v>
      </c>
      <c r="AA931" t="str">
        <f t="shared" si="264"/>
        <v/>
      </c>
    </row>
    <row r="932" spans="1:27" x14ac:dyDescent="0.2">
      <c r="A932" t="s">
        <v>1058</v>
      </c>
      <c r="B932" t="s">
        <v>2076</v>
      </c>
      <c r="C932" t="s">
        <v>2081</v>
      </c>
      <c r="D932" t="s">
        <v>1051</v>
      </c>
      <c r="E932" t="s">
        <v>3</v>
      </c>
      <c r="F932" t="s">
        <v>2078</v>
      </c>
      <c r="G932" t="s">
        <v>1474</v>
      </c>
      <c r="H932" s="4"/>
      <c r="I932" s="4"/>
      <c r="J932" s="4"/>
      <c r="K932" s="4" t="str">
        <f t="shared" si="250"/>
        <v/>
      </c>
      <c r="L932" s="4" t="str">
        <f t="shared" si="251"/>
        <v/>
      </c>
      <c r="M932" s="4" t="str">
        <f t="shared" si="252"/>
        <v/>
      </c>
      <c r="N932" s="4" t="str">
        <f t="shared" si="253"/>
        <v/>
      </c>
      <c r="O932" s="4" t="str">
        <f t="shared" si="254"/>
        <v/>
      </c>
      <c r="P932" s="4" t="str">
        <f t="shared" si="255"/>
        <v/>
      </c>
      <c r="Q932" s="4" t="str">
        <f t="shared" si="256"/>
        <v/>
      </c>
      <c r="R932" s="4" t="str">
        <f t="shared" si="257"/>
        <v/>
      </c>
      <c r="S932" s="4" t="str">
        <f t="shared" si="258"/>
        <v/>
      </c>
      <c r="T932" s="4" t="str">
        <f t="shared" si="259"/>
        <v/>
      </c>
      <c r="U932">
        <f>IF(VLOOKUP(C932,'QA Table'!$Y$5:$Y$20,1,TRUE)=C932,1,0)</f>
        <v>0</v>
      </c>
      <c r="V932" t="str">
        <f t="shared" si="260"/>
        <v/>
      </c>
      <c r="W932" t="str">
        <f t="shared" si="261"/>
        <v/>
      </c>
      <c r="X932" t="str">
        <f t="shared" si="262"/>
        <v/>
      </c>
      <c r="Y932">
        <f t="shared" si="263"/>
        <v>0</v>
      </c>
      <c r="AA932" t="str">
        <f t="shared" si="264"/>
        <v/>
      </c>
    </row>
    <row r="933" spans="1:27" x14ac:dyDescent="0.2">
      <c r="A933" t="s">
        <v>1058</v>
      </c>
      <c r="B933" t="s">
        <v>2076</v>
      </c>
      <c r="C933" t="s">
        <v>2082</v>
      </c>
      <c r="D933" t="s">
        <v>8</v>
      </c>
      <c r="E933" t="s">
        <v>3</v>
      </c>
      <c r="F933" t="s">
        <v>2078</v>
      </c>
      <c r="G933" t="s">
        <v>1474</v>
      </c>
      <c r="H933" s="4">
        <v>1</v>
      </c>
      <c r="I933" s="4"/>
      <c r="J933" s="4"/>
      <c r="K933" s="4">
        <f t="shared" si="250"/>
        <v>1</v>
      </c>
      <c r="L933" s="4" t="str">
        <f t="shared" si="251"/>
        <v/>
      </c>
      <c r="M933" s="4" t="str">
        <f t="shared" si="252"/>
        <v/>
      </c>
      <c r="N933" s="4" t="str">
        <f t="shared" si="253"/>
        <v/>
      </c>
      <c r="O933" s="4" t="str">
        <f t="shared" si="254"/>
        <v/>
      </c>
      <c r="P933" s="4" t="str">
        <f t="shared" si="255"/>
        <v/>
      </c>
      <c r="Q933" s="4">
        <v>1</v>
      </c>
      <c r="R933" s="4" t="str">
        <f t="shared" si="257"/>
        <v/>
      </c>
      <c r="S933" s="4" t="str">
        <f t="shared" si="258"/>
        <v/>
      </c>
      <c r="T933" s="4" t="str">
        <f t="shared" si="259"/>
        <v/>
      </c>
      <c r="U933">
        <f>IF(VLOOKUP(C933,'QA Table'!$Y$5:$Y$20,1,TRUE)=C933,1,0)</f>
        <v>0</v>
      </c>
      <c r="V933" t="str">
        <f t="shared" si="260"/>
        <v/>
      </c>
      <c r="W933" t="str">
        <f t="shared" si="261"/>
        <v/>
      </c>
      <c r="X933">
        <f t="shared" si="262"/>
        <v>4</v>
      </c>
      <c r="Y933">
        <f t="shared" si="263"/>
        <v>0</v>
      </c>
      <c r="AA933">
        <f t="shared" si="264"/>
        <v>1</v>
      </c>
    </row>
    <row r="934" spans="1:27" x14ac:dyDescent="0.2">
      <c r="A934" t="s">
        <v>1058</v>
      </c>
      <c r="B934" t="s">
        <v>2076</v>
      </c>
      <c r="C934" t="s">
        <v>2083</v>
      </c>
      <c r="D934" t="s">
        <v>10</v>
      </c>
      <c r="E934" t="s">
        <v>3</v>
      </c>
      <c r="F934" t="s">
        <v>2078</v>
      </c>
      <c r="G934" t="s">
        <v>1474</v>
      </c>
      <c r="H934" s="4"/>
      <c r="I934" s="4"/>
      <c r="J934" s="4"/>
      <c r="K934" s="4" t="str">
        <f t="shared" si="250"/>
        <v/>
      </c>
      <c r="L934" s="4" t="str">
        <f t="shared" si="251"/>
        <v/>
      </c>
      <c r="M934" s="4" t="str">
        <f t="shared" si="252"/>
        <v/>
      </c>
      <c r="N934" s="4" t="str">
        <f t="shared" si="253"/>
        <v/>
      </c>
      <c r="O934" s="4" t="str">
        <f t="shared" si="254"/>
        <v/>
      </c>
      <c r="P934" s="4" t="str">
        <f t="shared" si="255"/>
        <v/>
      </c>
      <c r="Q934" s="4"/>
      <c r="R934" s="4" t="str">
        <f t="shared" si="257"/>
        <v/>
      </c>
      <c r="S934" s="4" t="str">
        <f t="shared" si="258"/>
        <v/>
      </c>
      <c r="T934" s="4">
        <f t="shared" si="259"/>
        <v>1</v>
      </c>
      <c r="U934">
        <f>IF(VLOOKUP(C934,'QA Table'!$Y$5:$Y$20,1,TRUE)=C934,1,0)</f>
        <v>0</v>
      </c>
      <c r="V934" t="str">
        <f t="shared" si="260"/>
        <v/>
      </c>
      <c r="W934" t="str">
        <f t="shared" si="261"/>
        <v/>
      </c>
      <c r="X934" t="str">
        <f t="shared" si="262"/>
        <v/>
      </c>
      <c r="Y934">
        <f t="shared" si="263"/>
        <v>0</v>
      </c>
      <c r="AA934" t="str">
        <f t="shared" si="264"/>
        <v/>
      </c>
    </row>
    <row r="935" spans="1:27" x14ac:dyDescent="0.2">
      <c r="A935" t="s">
        <v>1058</v>
      </c>
      <c r="B935" t="s">
        <v>2084</v>
      </c>
      <c r="C935" t="s">
        <v>2085</v>
      </c>
      <c r="D935" t="s">
        <v>2</v>
      </c>
      <c r="E935" t="s">
        <v>3</v>
      </c>
      <c r="F935" t="s">
        <v>2086</v>
      </c>
      <c r="G935" t="s">
        <v>1474</v>
      </c>
      <c r="H935" s="4"/>
      <c r="I935" s="4"/>
      <c r="J935" s="4">
        <v>1</v>
      </c>
      <c r="K935" s="4" t="str">
        <f t="shared" si="250"/>
        <v/>
      </c>
      <c r="L935" s="4" t="str">
        <f t="shared" si="251"/>
        <v/>
      </c>
      <c r="M935" s="4" t="str">
        <f t="shared" si="252"/>
        <v/>
      </c>
      <c r="N935" s="4" t="str">
        <f t="shared" si="253"/>
        <v/>
      </c>
      <c r="O935" s="4" t="str">
        <f t="shared" si="254"/>
        <v/>
      </c>
      <c r="P935" s="4" t="str">
        <f t="shared" si="255"/>
        <v/>
      </c>
      <c r="Q935" s="4" t="str">
        <f t="shared" si="256"/>
        <v/>
      </c>
      <c r="R935" s="4" t="str">
        <f t="shared" si="257"/>
        <v/>
      </c>
      <c r="S935" s="4" t="str">
        <f t="shared" si="258"/>
        <v/>
      </c>
      <c r="T935" s="4" t="str">
        <f t="shared" si="259"/>
        <v/>
      </c>
      <c r="U935">
        <f>IF(VLOOKUP(C935,'QA Table'!$Y$5:$Y$20,1,TRUE)=C935,1,0)</f>
        <v>0</v>
      </c>
      <c r="V935" t="str">
        <f t="shared" si="260"/>
        <v/>
      </c>
      <c r="W935" t="str">
        <f t="shared" si="261"/>
        <v/>
      </c>
      <c r="X935" t="str">
        <f t="shared" si="262"/>
        <v/>
      </c>
      <c r="Y935">
        <f t="shared" si="263"/>
        <v>0</v>
      </c>
      <c r="AA935" t="str">
        <f t="shared" si="264"/>
        <v/>
      </c>
    </row>
    <row r="936" spans="1:27" x14ac:dyDescent="0.2">
      <c r="A936" t="s">
        <v>1058</v>
      </c>
      <c r="B936" t="s">
        <v>2084</v>
      </c>
      <c r="C936" t="s">
        <v>2087</v>
      </c>
      <c r="D936" t="s">
        <v>1050</v>
      </c>
      <c r="E936" t="s">
        <v>3</v>
      </c>
      <c r="F936" t="s">
        <v>2086</v>
      </c>
      <c r="G936" t="s">
        <v>1474</v>
      </c>
      <c r="H936" s="4"/>
      <c r="I936" s="4"/>
      <c r="J936" s="4"/>
      <c r="K936" s="4" t="str">
        <f t="shared" si="250"/>
        <v/>
      </c>
      <c r="L936" s="4" t="str">
        <f t="shared" si="251"/>
        <v/>
      </c>
      <c r="M936" s="4" t="str">
        <f t="shared" si="252"/>
        <v/>
      </c>
      <c r="N936" s="4" t="str">
        <f t="shared" si="253"/>
        <v/>
      </c>
      <c r="O936" s="4" t="str">
        <f t="shared" si="254"/>
        <v/>
      </c>
      <c r="P936" s="4" t="str">
        <f t="shared" si="255"/>
        <v/>
      </c>
      <c r="Q936" s="4" t="str">
        <f t="shared" si="256"/>
        <v/>
      </c>
      <c r="R936" s="4" t="str">
        <f t="shared" si="257"/>
        <v/>
      </c>
      <c r="S936" s="4" t="str">
        <f t="shared" si="258"/>
        <v/>
      </c>
      <c r="T936" s="4" t="str">
        <f t="shared" si="259"/>
        <v/>
      </c>
      <c r="U936">
        <f>IF(VLOOKUP(C936,'QA Table'!$Y$5:$Y$20,1,TRUE)=C936,1,0)</f>
        <v>0</v>
      </c>
      <c r="V936" t="str">
        <f t="shared" si="260"/>
        <v/>
      </c>
      <c r="W936" t="str">
        <f t="shared" si="261"/>
        <v/>
      </c>
      <c r="X936" t="str">
        <f t="shared" si="262"/>
        <v/>
      </c>
      <c r="Y936">
        <f t="shared" si="263"/>
        <v>0</v>
      </c>
      <c r="AA936" t="str">
        <f t="shared" si="264"/>
        <v/>
      </c>
    </row>
    <row r="937" spans="1:27" x14ac:dyDescent="0.2">
      <c r="A937" t="s">
        <v>1058</v>
      </c>
      <c r="B937" t="s">
        <v>2084</v>
      </c>
      <c r="C937" t="s">
        <v>2088</v>
      </c>
      <c r="D937" t="s">
        <v>4</v>
      </c>
      <c r="E937" t="s">
        <v>3</v>
      </c>
      <c r="F937" t="s">
        <v>2086</v>
      </c>
      <c r="G937" t="s">
        <v>1474</v>
      </c>
      <c r="H937" s="4"/>
      <c r="I937" s="4"/>
      <c r="J937" s="4"/>
      <c r="K937" s="4" t="str">
        <f t="shared" si="250"/>
        <v/>
      </c>
      <c r="L937" s="4" t="str">
        <f t="shared" si="251"/>
        <v/>
      </c>
      <c r="M937" s="4" t="str">
        <f t="shared" si="252"/>
        <v/>
      </c>
      <c r="N937" s="4" t="str">
        <f t="shared" si="253"/>
        <v/>
      </c>
      <c r="O937" s="4" t="str">
        <f t="shared" si="254"/>
        <v/>
      </c>
      <c r="P937" s="4" t="str">
        <f t="shared" si="255"/>
        <v/>
      </c>
      <c r="Q937" s="4" t="str">
        <f t="shared" si="256"/>
        <v/>
      </c>
      <c r="R937" s="4" t="str">
        <f t="shared" si="257"/>
        <v/>
      </c>
      <c r="S937" s="4" t="str">
        <f t="shared" si="258"/>
        <v/>
      </c>
      <c r="T937" s="4" t="str">
        <f t="shared" si="259"/>
        <v/>
      </c>
      <c r="U937">
        <f>IF(VLOOKUP(C937,'QA Table'!$Y$5:$Y$20,1,TRUE)=C937,1,0)</f>
        <v>0</v>
      </c>
      <c r="V937" t="str">
        <f t="shared" si="260"/>
        <v/>
      </c>
      <c r="W937" t="str">
        <f t="shared" si="261"/>
        <v/>
      </c>
      <c r="X937" t="str">
        <f t="shared" si="262"/>
        <v/>
      </c>
      <c r="Y937">
        <f t="shared" si="263"/>
        <v>0</v>
      </c>
      <c r="AA937" t="str">
        <f t="shared" si="264"/>
        <v/>
      </c>
    </row>
    <row r="938" spans="1:27" x14ac:dyDescent="0.2">
      <c r="A938" t="s">
        <v>1058</v>
      </c>
      <c r="B938" t="s">
        <v>2084</v>
      </c>
      <c r="C938" t="s">
        <v>2089</v>
      </c>
      <c r="D938" t="s">
        <v>1051</v>
      </c>
      <c r="E938" t="s">
        <v>3</v>
      </c>
      <c r="F938" t="s">
        <v>2086</v>
      </c>
      <c r="G938" t="s">
        <v>1474</v>
      </c>
      <c r="H938" s="4"/>
      <c r="I938" s="4"/>
      <c r="J938" s="4"/>
      <c r="K938" s="4" t="str">
        <f t="shared" si="250"/>
        <v/>
      </c>
      <c r="L938" s="4" t="str">
        <f t="shared" si="251"/>
        <v/>
      </c>
      <c r="M938" s="4" t="str">
        <f t="shared" si="252"/>
        <v/>
      </c>
      <c r="N938" s="4" t="str">
        <f t="shared" si="253"/>
        <v/>
      </c>
      <c r="O938" s="4" t="str">
        <f t="shared" si="254"/>
        <v/>
      </c>
      <c r="P938" s="4" t="str">
        <f t="shared" si="255"/>
        <v/>
      </c>
      <c r="Q938" s="4" t="str">
        <f t="shared" si="256"/>
        <v/>
      </c>
      <c r="R938" s="4" t="str">
        <f t="shared" si="257"/>
        <v/>
      </c>
      <c r="S938" s="4" t="str">
        <f t="shared" si="258"/>
        <v/>
      </c>
      <c r="T938" s="4" t="str">
        <f t="shared" si="259"/>
        <v/>
      </c>
      <c r="U938">
        <f>IF(VLOOKUP(C938,'QA Table'!$Y$5:$Y$20,1,TRUE)=C938,1,0)</f>
        <v>0</v>
      </c>
      <c r="V938" t="str">
        <f t="shared" si="260"/>
        <v/>
      </c>
      <c r="W938" t="str">
        <f t="shared" si="261"/>
        <v/>
      </c>
      <c r="X938" t="str">
        <f t="shared" si="262"/>
        <v/>
      </c>
      <c r="Y938">
        <f t="shared" si="263"/>
        <v>0</v>
      </c>
      <c r="AA938" t="str">
        <f t="shared" si="264"/>
        <v/>
      </c>
    </row>
    <row r="939" spans="1:27" x14ac:dyDescent="0.2">
      <c r="A939" t="s">
        <v>1058</v>
      </c>
      <c r="B939" t="s">
        <v>2084</v>
      </c>
      <c r="C939" t="s">
        <v>2090</v>
      </c>
      <c r="D939" t="s">
        <v>8</v>
      </c>
      <c r="E939" t="s">
        <v>3</v>
      </c>
      <c r="F939" t="s">
        <v>2086</v>
      </c>
      <c r="G939" t="s">
        <v>1474</v>
      </c>
      <c r="H939" s="4">
        <v>1</v>
      </c>
      <c r="I939" s="4"/>
      <c r="J939" s="4"/>
      <c r="K939" s="4">
        <f t="shared" si="250"/>
        <v>1</v>
      </c>
      <c r="L939" s="4" t="str">
        <f t="shared" si="251"/>
        <v/>
      </c>
      <c r="M939" s="4" t="str">
        <f t="shared" si="252"/>
        <v/>
      </c>
      <c r="N939" s="4" t="str">
        <f t="shared" si="253"/>
        <v/>
      </c>
      <c r="O939" s="4" t="str">
        <f t="shared" si="254"/>
        <v/>
      </c>
      <c r="P939" s="4" t="str">
        <f t="shared" si="255"/>
        <v/>
      </c>
      <c r="Q939" s="4">
        <v>1</v>
      </c>
      <c r="R939" s="4" t="str">
        <f t="shared" si="257"/>
        <v/>
      </c>
      <c r="S939" s="4" t="str">
        <f t="shared" si="258"/>
        <v/>
      </c>
      <c r="T939" s="4" t="str">
        <f t="shared" si="259"/>
        <v/>
      </c>
      <c r="U939">
        <f>IF(VLOOKUP(C939,'QA Table'!$Y$5:$Y$20,1,TRUE)=C939,1,0)</f>
        <v>0</v>
      </c>
      <c r="V939" t="str">
        <f t="shared" si="260"/>
        <v/>
      </c>
      <c r="W939" t="str">
        <f t="shared" si="261"/>
        <v/>
      </c>
      <c r="X939">
        <f t="shared" si="262"/>
        <v>4</v>
      </c>
      <c r="Y939">
        <f t="shared" si="263"/>
        <v>0</v>
      </c>
      <c r="AA939">
        <f t="shared" si="264"/>
        <v>1</v>
      </c>
    </row>
    <row r="940" spans="1:27" x14ac:dyDescent="0.2">
      <c r="A940" t="s">
        <v>1058</v>
      </c>
      <c r="B940" t="s">
        <v>2084</v>
      </c>
      <c r="C940" t="s">
        <v>2091</v>
      </c>
      <c r="D940" t="s">
        <v>10</v>
      </c>
      <c r="E940" t="s">
        <v>3</v>
      </c>
      <c r="F940" t="s">
        <v>2086</v>
      </c>
      <c r="G940" t="s">
        <v>1474</v>
      </c>
      <c r="H940" s="4"/>
      <c r="I940" s="4"/>
      <c r="J940" s="4"/>
      <c r="K940" s="4" t="str">
        <f t="shared" si="250"/>
        <v/>
      </c>
      <c r="L940" s="4" t="str">
        <f t="shared" si="251"/>
        <v/>
      </c>
      <c r="M940" s="4" t="str">
        <f t="shared" si="252"/>
        <v/>
      </c>
      <c r="N940" s="4" t="str">
        <f t="shared" si="253"/>
        <v/>
      </c>
      <c r="O940" s="4" t="str">
        <f t="shared" si="254"/>
        <v/>
      </c>
      <c r="P940" s="4" t="str">
        <f t="shared" si="255"/>
        <v/>
      </c>
      <c r="Q940" s="4"/>
      <c r="R940" s="4" t="str">
        <f t="shared" si="257"/>
        <v/>
      </c>
      <c r="S940" s="4" t="str">
        <f t="shared" si="258"/>
        <v/>
      </c>
      <c r="T940" s="4">
        <f t="shared" si="259"/>
        <v>1</v>
      </c>
      <c r="U940">
        <f>IF(VLOOKUP(C940,'QA Table'!$Y$5:$Y$20,1,TRUE)=C940,1,0)</f>
        <v>0</v>
      </c>
      <c r="V940" t="str">
        <f t="shared" si="260"/>
        <v/>
      </c>
      <c r="W940" t="str">
        <f t="shared" si="261"/>
        <v/>
      </c>
      <c r="X940" t="str">
        <f t="shared" si="262"/>
        <v/>
      </c>
      <c r="Y940">
        <f t="shared" si="263"/>
        <v>0</v>
      </c>
      <c r="AA940" t="str">
        <f t="shared" si="264"/>
        <v/>
      </c>
    </row>
    <row r="941" spans="1:27" x14ac:dyDescent="0.2">
      <c r="A941" t="s">
        <v>1058</v>
      </c>
      <c r="B941" t="s">
        <v>2092</v>
      </c>
      <c r="C941" t="s">
        <v>2093</v>
      </c>
      <c r="D941" t="s">
        <v>2</v>
      </c>
      <c r="E941" t="s">
        <v>3</v>
      </c>
      <c r="F941" t="s">
        <v>2094</v>
      </c>
      <c r="G941" t="s">
        <v>1474</v>
      </c>
      <c r="H941" s="4"/>
      <c r="I941" s="4"/>
      <c r="J941" s="4">
        <v>1</v>
      </c>
      <c r="K941" s="4" t="str">
        <f t="shared" si="250"/>
        <v/>
      </c>
      <c r="L941" s="4" t="str">
        <f t="shared" si="251"/>
        <v/>
      </c>
      <c r="M941" s="4" t="str">
        <f t="shared" si="252"/>
        <v/>
      </c>
      <c r="N941" s="4" t="str">
        <f t="shared" si="253"/>
        <v/>
      </c>
      <c r="O941" s="4" t="str">
        <f t="shared" si="254"/>
        <v/>
      </c>
      <c r="P941" s="4" t="str">
        <f t="shared" si="255"/>
        <v/>
      </c>
      <c r="Q941" s="4" t="str">
        <f t="shared" si="256"/>
        <v/>
      </c>
      <c r="R941" s="4" t="str">
        <f t="shared" si="257"/>
        <v/>
      </c>
      <c r="S941" s="4" t="str">
        <f t="shared" si="258"/>
        <v/>
      </c>
      <c r="T941" s="4" t="str">
        <f t="shared" si="259"/>
        <v/>
      </c>
      <c r="U941">
        <f>IF(VLOOKUP(C941,'QA Table'!$Y$5:$Y$20,1,TRUE)=C941,1,0)</f>
        <v>0</v>
      </c>
      <c r="V941" t="str">
        <f t="shared" si="260"/>
        <v/>
      </c>
      <c r="W941" t="str">
        <f t="shared" si="261"/>
        <v/>
      </c>
      <c r="X941" t="str">
        <f t="shared" si="262"/>
        <v/>
      </c>
      <c r="Y941">
        <f t="shared" si="263"/>
        <v>0</v>
      </c>
      <c r="AA941" t="str">
        <f t="shared" si="264"/>
        <v/>
      </c>
    </row>
    <row r="942" spans="1:27" x14ac:dyDescent="0.2">
      <c r="A942" t="s">
        <v>1058</v>
      </c>
      <c r="B942" t="s">
        <v>2092</v>
      </c>
      <c r="C942" t="s">
        <v>2095</v>
      </c>
      <c r="D942" t="s">
        <v>1050</v>
      </c>
      <c r="E942" t="s">
        <v>3</v>
      </c>
      <c r="F942" t="s">
        <v>2094</v>
      </c>
      <c r="G942" t="s">
        <v>1474</v>
      </c>
      <c r="H942" s="4"/>
      <c r="I942" s="4"/>
      <c r="J942" s="4"/>
      <c r="K942" s="4" t="str">
        <f t="shared" si="250"/>
        <v/>
      </c>
      <c r="L942" s="4" t="str">
        <f t="shared" si="251"/>
        <v/>
      </c>
      <c r="M942" s="4" t="str">
        <f t="shared" si="252"/>
        <v/>
      </c>
      <c r="N942" s="4" t="str">
        <f t="shared" si="253"/>
        <v/>
      </c>
      <c r="O942" s="4" t="str">
        <f t="shared" si="254"/>
        <v/>
      </c>
      <c r="P942" s="4" t="str">
        <f t="shared" si="255"/>
        <v/>
      </c>
      <c r="Q942" s="4" t="str">
        <f t="shared" si="256"/>
        <v/>
      </c>
      <c r="R942" s="4" t="str">
        <f t="shared" si="257"/>
        <v/>
      </c>
      <c r="S942" s="4" t="str">
        <f t="shared" si="258"/>
        <v/>
      </c>
      <c r="T942" s="4" t="str">
        <f t="shared" si="259"/>
        <v/>
      </c>
      <c r="U942">
        <f>IF(VLOOKUP(C942,'QA Table'!$Y$5:$Y$20,1,TRUE)=C942,1,0)</f>
        <v>0</v>
      </c>
      <c r="V942" t="str">
        <f t="shared" si="260"/>
        <v/>
      </c>
      <c r="W942" t="str">
        <f t="shared" si="261"/>
        <v/>
      </c>
      <c r="X942" t="str">
        <f t="shared" si="262"/>
        <v/>
      </c>
      <c r="Y942">
        <f t="shared" si="263"/>
        <v>0</v>
      </c>
      <c r="AA942" t="str">
        <f t="shared" si="264"/>
        <v/>
      </c>
    </row>
    <row r="943" spans="1:27" x14ac:dyDescent="0.2">
      <c r="A943" t="s">
        <v>1058</v>
      </c>
      <c r="B943" t="s">
        <v>2092</v>
      </c>
      <c r="C943" t="s">
        <v>2096</v>
      </c>
      <c r="D943" t="s">
        <v>4</v>
      </c>
      <c r="E943" t="s">
        <v>3</v>
      </c>
      <c r="F943" t="s">
        <v>2094</v>
      </c>
      <c r="G943" t="s">
        <v>1474</v>
      </c>
      <c r="H943" s="4"/>
      <c r="I943" s="4"/>
      <c r="J943" s="4"/>
      <c r="K943" s="4" t="str">
        <f t="shared" si="250"/>
        <v/>
      </c>
      <c r="L943" s="4" t="str">
        <f t="shared" si="251"/>
        <v/>
      </c>
      <c r="M943" s="4" t="str">
        <f t="shared" si="252"/>
        <v/>
      </c>
      <c r="N943" s="4" t="str">
        <f t="shared" si="253"/>
        <v/>
      </c>
      <c r="O943" s="4" t="str">
        <f t="shared" si="254"/>
        <v/>
      </c>
      <c r="P943" s="4" t="str">
        <f t="shared" si="255"/>
        <v/>
      </c>
      <c r="Q943" s="4" t="str">
        <f t="shared" si="256"/>
        <v/>
      </c>
      <c r="R943" s="4" t="str">
        <f t="shared" si="257"/>
        <v/>
      </c>
      <c r="S943" s="4" t="str">
        <f t="shared" si="258"/>
        <v/>
      </c>
      <c r="T943" s="4" t="str">
        <f t="shared" si="259"/>
        <v/>
      </c>
      <c r="U943">
        <f>IF(VLOOKUP(C943,'QA Table'!$Y$5:$Y$20,1,TRUE)=C943,1,0)</f>
        <v>0</v>
      </c>
      <c r="V943" t="str">
        <f t="shared" si="260"/>
        <v/>
      </c>
      <c r="W943" t="str">
        <f t="shared" si="261"/>
        <v/>
      </c>
      <c r="X943" t="str">
        <f t="shared" si="262"/>
        <v/>
      </c>
      <c r="Y943">
        <f t="shared" si="263"/>
        <v>0</v>
      </c>
      <c r="AA943" t="str">
        <f t="shared" si="264"/>
        <v/>
      </c>
    </row>
    <row r="944" spans="1:27" x14ac:dyDescent="0.2">
      <c r="A944" t="s">
        <v>1058</v>
      </c>
      <c r="B944" t="s">
        <v>2092</v>
      </c>
      <c r="C944" t="s">
        <v>2097</v>
      </c>
      <c r="D944" t="s">
        <v>1051</v>
      </c>
      <c r="E944" t="s">
        <v>3</v>
      </c>
      <c r="F944" t="s">
        <v>2094</v>
      </c>
      <c r="G944" t="s">
        <v>1474</v>
      </c>
      <c r="H944" s="4"/>
      <c r="I944" s="4"/>
      <c r="J944" s="4"/>
      <c r="K944" s="4" t="str">
        <f t="shared" si="250"/>
        <v/>
      </c>
      <c r="L944" s="4" t="str">
        <f t="shared" si="251"/>
        <v/>
      </c>
      <c r="M944" s="4" t="str">
        <f t="shared" si="252"/>
        <v/>
      </c>
      <c r="N944" s="4" t="str">
        <f t="shared" si="253"/>
        <v/>
      </c>
      <c r="O944" s="4" t="str">
        <f t="shared" si="254"/>
        <v/>
      </c>
      <c r="P944" s="4" t="str">
        <f t="shared" si="255"/>
        <v/>
      </c>
      <c r="Q944" s="4" t="str">
        <f t="shared" si="256"/>
        <v/>
      </c>
      <c r="R944" s="4" t="str">
        <f t="shared" si="257"/>
        <v/>
      </c>
      <c r="S944" s="4" t="str">
        <f t="shared" si="258"/>
        <v/>
      </c>
      <c r="T944" s="4" t="str">
        <f t="shared" si="259"/>
        <v/>
      </c>
      <c r="U944">
        <f>IF(VLOOKUP(C944,'QA Table'!$Y$5:$Y$20,1,TRUE)=C944,1,0)</f>
        <v>0</v>
      </c>
      <c r="V944" t="str">
        <f t="shared" si="260"/>
        <v/>
      </c>
      <c r="W944" t="str">
        <f t="shared" si="261"/>
        <v/>
      </c>
      <c r="X944" t="str">
        <f t="shared" si="262"/>
        <v/>
      </c>
      <c r="Y944">
        <f t="shared" si="263"/>
        <v>0</v>
      </c>
      <c r="AA944" t="str">
        <f t="shared" si="264"/>
        <v/>
      </c>
    </row>
    <row r="945" spans="1:27" x14ac:dyDescent="0.2">
      <c r="A945" t="s">
        <v>1058</v>
      </c>
      <c r="B945" t="s">
        <v>2092</v>
      </c>
      <c r="C945" t="s">
        <v>2098</v>
      </c>
      <c r="D945" t="s">
        <v>8</v>
      </c>
      <c r="E945" t="s">
        <v>3</v>
      </c>
      <c r="F945" t="s">
        <v>2094</v>
      </c>
      <c r="G945" t="s">
        <v>1474</v>
      </c>
      <c r="H945" s="4">
        <v>1</v>
      </c>
      <c r="I945" s="4"/>
      <c r="J945" s="4"/>
      <c r="K945" s="4">
        <f t="shared" si="250"/>
        <v>1</v>
      </c>
      <c r="L945" s="4" t="str">
        <f t="shared" si="251"/>
        <v/>
      </c>
      <c r="M945" s="4" t="str">
        <f t="shared" si="252"/>
        <v/>
      </c>
      <c r="N945" s="4" t="str">
        <f t="shared" si="253"/>
        <v/>
      </c>
      <c r="O945" s="4" t="str">
        <f t="shared" si="254"/>
        <v/>
      </c>
      <c r="P945" s="4" t="str">
        <f t="shared" si="255"/>
        <v/>
      </c>
      <c r="Q945" s="4">
        <f t="shared" si="256"/>
        <v>1</v>
      </c>
      <c r="R945" s="4" t="str">
        <f t="shared" si="257"/>
        <v/>
      </c>
      <c r="S945" s="4" t="str">
        <f t="shared" si="258"/>
        <v/>
      </c>
      <c r="T945" s="4" t="str">
        <f t="shared" si="259"/>
        <v/>
      </c>
      <c r="U945">
        <f>IF(VLOOKUP(C945,'QA Table'!$Y$5:$Y$20,1,TRUE)=C945,1,0)</f>
        <v>0</v>
      </c>
      <c r="V945" t="str">
        <f t="shared" si="260"/>
        <v/>
      </c>
      <c r="W945" t="str">
        <f t="shared" si="261"/>
        <v/>
      </c>
      <c r="X945">
        <f t="shared" si="262"/>
        <v>4</v>
      </c>
      <c r="Y945">
        <f t="shared" si="263"/>
        <v>0</v>
      </c>
      <c r="AA945">
        <f t="shared" si="264"/>
        <v>1</v>
      </c>
    </row>
    <row r="946" spans="1:27" x14ac:dyDescent="0.2">
      <c r="A946" t="s">
        <v>1058</v>
      </c>
      <c r="B946" t="s">
        <v>2092</v>
      </c>
      <c r="C946" t="s">
        <v>2099</v>
      </c>
      <c r="D946" t="s">
        <v>10</v>
      </c>
      <c r="E946" t="s">
        <v>3</v>
      </c>
      <c r="F946" t="s">
        <v>2094</v>
      </c>
      <c r="G946" t="s">
        <v>1474</v>
      </c>
      <c r="H946" s="4"/>
      <c r="I946" s="4"/>
      <c r="J946" s="4"/>
      <c r="K946" s="4" t="str">
        <f t="shared" si="250"/>
        <v/>
      </c>
      <c r="L946" s="4" t="str">
        <f t="shared" si="251"/>
        <v/>
      </c>
      <c r="M946" s="4" t="str">
        <f t="shared" si="252"/>
        <v/>
      </c>
      <c r="N946" s="4" t="str">
        <f t="shared" si="253"/>
        <v/>
      </c>
      <c r="O946" s="4" t="str">
        <f t="shared" si="254"/>
        <v/>
      </c>
      <c r="P946" s="4" t="str">
        <f t="shared" si="255"/>
        <v/>
      </c>
      <c r="Q946" s="4" t="str">
        <f t="shared" si="256"/>
        <v/>
      </c>
      <c r="R946" s="4" t="str">
        <f t="shared" si="257"/>
        <v/>
      </c>
      <c r="S946" s="4" t="str">
        <f t="shared" si="258"/>
        <v/>
      </c>
      <c r="T946" s="4">
        <f t="shared" si="259"/>
        <v>1</v>
      </c>
      <c r="U946">
        <f>IF(VLOOKUP(C946,'QA Table'!$Y$5:$Y$20,1,TRUE)=C946,1,0)</f>
        <v>0</v>
      </c>
      <c r="V946" t="str">
        <f t="shared" si="260"/>
        <v/>
      </c>
      <c r="W946" t="str">
        <f t="shared" si="261"/>
        <v/>
      </c>
      <c r="X946" t="str">
        <f t="shared" si="262"/>
        <v/>
      </c>
      <c r="Y946">
        <f t="shared" si="263"/>
        <v>0</v>
      </c>
      <c r="AA946" t="str">
        <f t="shared" si="264"/>
        <v/>
      </c>
    </row>
    <row r="947" spans="1:27" x14ac:dyDescent="0.2">
      <c r="A947" t="s">
        <v>1058</v>
      </c>
      <c r="B947" t="s">
        <v>2100</v>
      </c>
      <c r="C947" t="s">
        <v>2101</v>
      </c>
      <c r="D947" t="s">
        <v>2</v>
      </c>
      <c r="E947" t="s">
        <v>3</v>
      </c>
      <c r="F947" t="s">
        <v>2102</v>
      </c>
      <c r="G947" t="s">
        <v>1474</v>
      </c>
      <c r="H947" s="4"/>
      <c r="I947" s="4"/>
      <c r="J947" s="4">
        <v>1</v>
      </c>
      <c r="K947" s="4" t="str">
        <f t="shared" si="250"/>
        <v/>
      </c>
      <c r="L947" s="4" t="str">
        <f t="shared" si="251"/>
        <v/>
      </c>
      <c r="M947" s="4" t="str">
        <f t="shared" si="252"/>
        <v/>
      </c>
      <c r="N947" s="4" t="str">
        <f t="shared" si="253"/>
        <v/>
      </c>
      <c r="O947" s="4" t="str">
        <f t="shared" si="254"/>
        <v/>
      </c>
      <c r="P947" s="4" t="str">
        <f t="shared" si="255"/>
        <v/>
      </c>
      <c r="Q947" s="4" t="str">
        <f t="shared" si="256"/>
        <v/>
      </c>
      <c r="R947" s="4" t="str">
        <f t="shared" si="257"/>
        <v/>
      </c>
      <c r="S947" s="4" t="str">
        <f t="shared" si="258"/>
        <v/>
      </c>
      <c r="T947" s="4" t="str">
        <f t="shared" si="259"/>
        <v/>
      </c>
      <c r="U947">
        <f>IF(VLOOKUP(C947,'QA Table'!$Y$5:$Y$20,1,TRUE)=C947,1,0)</f>
        <v>0</v>
      </c>
      <c r="V947" t="str">
        <f t="shared" si="260"/>
        <v/>
      </c>
      <c r="W947" t="str">
        <f t="shared" si="261"/>
        <v/>
      </c>
      <c r="X947" t="str">
        <f t="shared" si="262"/>
        <v/>
      </c>
      <c r="Y947">
        <f t="shared" si="263"/>
        <v>0</v>
      </c>
      <c r="AA947" t="str">
        <f t="shared" si="264"/>
        <v/>
      </c>
    </row>
    <row r="948" spans="1:27" x14ac:dyDescent="0.2">
      <c r="A948" t="s">
        <v>1058</v>
      </c>
      <c r="B948" t="s">
        <v>2100</v>
      </c>
      <c r="C948" t="s">
        <v>2103</v>
      </c>
      <c r="D948" t="s">
        <v>1050</v>
      </c>
      <c r="E948" t="s">
        <v>3</v>
      </c>
      <c r="F948" t="s">
        <v>2102</v>
      </c>
      <c r="G948" t="s">
        <v>1474</v>
      </c>
      <c r="H948" s="4"/>
      <c r="I948" s="4"/>
      <c r="J948" s="4"/>
      <c r="K948" s="4" t="str">
        <f t="shared" si="250"/>
        <v/>
      </c>
      <c r="L948" s="4" t="str">
        <f t="shared" si="251"/>
        <v/>
      </c>
      <c r="M948" s="4" t="str">
        <f t="shared" si="252"/>
        <v/>
      </c>
      <c r="N948" s="4" t="str">
        <f t="shared" si="253"/>
        <v/>
      </c>
      <c r="O948" s="4" t="str">
        <f t="shared" si="254"/>
        <v/>
      </c>
      <c r="P948" s="4" t="str">
        <f t="shared" si="255"/>
        <v/>
      </c>
      <c r="Q948" s="4" t="str">
        <f t="shared" si="256"/>
        <v/>
      </c>
      <c r="R948" s="4" t="str">
        <f t="shared" si="257"/>
        <v/>
      </c>
      <c r="S948" s="4" t="str">
        <f t="shared" si="258"/>
        <v/>
      </c>
      <c r="T948" s="4" t="str">
        <f t="shared" si="259"/>
        <v/>
      </c>
      <c r="U948">
        <f>IF(VLOOKUP(C948,'QA Table'!$Y$5:$Y$20,1,TRUE)=C948,1,0)</f>
        <v>0</v>
      </c>
      <c r="V948" t="str">
        <f t="shared" si="260"/>
        <v/>
      </c>
      <c r="W948" t="str">
        <f t="shared" si="261"/>
        <v/>
      </c>
      <c r="X948" t="str">
        <f t="shared" si="262"/>
        <v/>
      </c>
      <c r="Y948">
        <f t="shared" si="263"/>
        <v>0</v>
      </c>
      <c r="AA948" t="str">
        <f t="shared" si="264"/>
        <v/>
      </c>
    </row>
    <row r="949" spans="1:27" x14ac:dyDescent="0.2">
      <c r="A949" t="s">
        <v>1058</v>
      </c>
      <c r="B949" t="s">
        <v>2100</v>
      </c>
      <c r="C949" t="s">
        <v>2104</v>
      </c>
      <c r="D949" t="s">
        <v>4</v>
      </c>
      <c r="E949" t="s">
        <v>3</v>
      </c>
      <c r="F949" t="s">
        <v>2102</v>
      </c>
      <c r="G949" t="s">
        <v>1474</v>
      </c>
      <c r="H949" s="4"/>
      <c r="I949" s="4"/>
      <c r="J949" s="4"/>
      <c r="K949" s="4" t="str">
        <f t="shared" si="250"/>
        <v/>
      </c>
      <c r="L949" s="4" t="str">
        <f t="shared" si="251"/>
        <v/>
      </c>
      <c r="M949" s="4" t="str">
        <f t="shared" si="252"/>
        <v/>
      </c>
      <c r="N949" s="4" t="str">
        <f t="shared" si="253"/>
        <v/>
      </c>
      <c r="O949" s="4" t="str">
        <f t="shared" si="254"/>
        <v/>
      </c>
      <c r="P949" s="4" t="str">
        <f t="shared" si="255"/>
        <v/>
      </c>
      <c r="Q949" s="4" t="str">
        <f t="shared" si="256"/>
        <v/>
      </c>
      <c r="R949" s="4" t="str">
        <f t="shared" si="257"/>
        <v/>
      </c>
      <c r="S949" s="4" t="str">
        <f t="shared" si="258"/>
        <v/>
      </c>
      <c r="T949" s="4" t="str">
        <f t="shared" si="259"/>
        <v/>
      </c>
      <c r="U949">
        <f>IF(VLOOKUP(C949,'QA Table'!$Y$5:$Y$20,1,TRUE)=C949,1,0)</f>
        <v>0</v>
      </c>
      <c r="V949" t="str">
        <f t="shared" si="260"/>
        <v/>
      </c>
      <c r="W949" t="str">
        <f t="shared" si="261"/>
        <v/>
      </c>
      <c r="X949" t="str">
        <f t="shared" si="262"/>
        <v/>
      </c>
      <c r="Y949">
        <f t="shared" si="263"/>
        <v>0</v>
      </c>
      <c r="AA949" t="str">
        <f t="shared" si="264"/>
        <v/>
      </c>
    </row>
    <row r="950" spans="1:27" x14ac:dyDescent="0.2">
      <c r="A950" t="s">
        <v>1058</v>
      </c>
      <c r="B950" t="s">
        <v>2100</v>
      </c>
      <c r="C950" t="s">
        <v>2105</v>
      </c>
      <c r="D950" t="s">
        <v>1051</v>
      </c>
      <c r="E950" t="s">
        <v>3</v>
      </c>
      <c r="F950" t="s">
        <v>2102</v>
      </c>
      <c r="G950" t="s">
        <v>1474</v>
      </c>
      <c r="H950" s="4"/>
      <c r="I950" s="4"/>
      <c r="J950" s="4"/>
      <c r="K950" s="4" t="str">
        <f t="shared" si="250"/>
        <v/>
      </c>
      <c r="L950" s="4" t="str">
        <f t="shared" si="251"/>
        <v/>
      </c>
      <c r="M950" s="4" t="str">
        <f t="shared" si="252"/>
        <v/>
      </c>
      <c r="N950" s="4" t="str">
        <f t="shared" si="253"/>
        <v/>
      </c>
      <c r="O950" s="4" t="str">
        <f t="shared" si="254"/>
        <v/>
      </c>
      <c r="P950" s="4" t="str">
        <f t="shared" si="255"/>
        <v/>
      </c>
      <c r="Q950" s="4" t="str">
        <f t="shared" si="256"/>
        <v/>
      </c>
      <c r="R950" s="4" t="str">
        <f t="shared" si="257"/>
        <v/>
      </c>
      <c r="S950" s="4" t="str">
        <f t="shared" si="258"/>
        <v/>
      </c>
      <c r="T950" s="4" t="str">
        <f t="shared" si="259"/>
        <v/>
      </c>
      <c r="U950">
        <f>IF(VLOOKUP(C950,'QA Table'!$Y$5:$Y$20,1,TRUE)=C950,1,0)</f>
        <v>0</v>
      </c>
      <c r="V950" t="str">
        <f t="shared" si="260"/>
        <v/>
      </c>
      <c r="W950" t="str">
        <f t="shared" si="261"/>
        <v/>
      </c>
      <c r="X950" t="str">
        <f t="shared" si="262"/>
        <v/>
      </c>
      <c r="Y950">
        <f t="shared" si="263"/>
        <v>0</v>
      </c>
      <c r="AA950" t="str">
        <f t="shared" si="264"/>
        <v/>
      </c>
    </row>
    <row r="951" spans="1:27" x14ac:dyDescent="0.2">
      <c r="A951" t="s">
        <v>1058</v>
      </c>
      <c r="B951" t="s">
        <v>2100</v>
      </c>
      <c r="C951" t="s">
        <v>2106</v>
      </c>
      <c r="D951" t="s">
        <v>8</v>
      </c>
      <c r="E951" t="s">
        <v>3</v>
      </c>
      <c r="F951" t="s">
        <v>2102</v>
      </c>
      <c r="G951" t="s">
        <v>1474</v>
      </c>
      <c r="H951" s="4">
        <v>1</v>
      </c>
      <c r="I951" s="4"/>
      <c r="J951" s="4"/>
      <c r="K951" s="4">
        <f t="shared" si="250"/>
        <v>1</v>
      </c>
      <c r="L951" s="4" t="str">
        <f t="shared" si="251"/>
        <v/>
      </c>
      <c r="M951" s="4" t="str">
        <f t="shared" si="252"/>
        <v/>
      </c>
      <c r="N951" s="4" t="str">
        <f t="shared" si="253"/>
        <v/>
      </c>
      <c r="O951" s="4" t="str">
        <f t="shared" si="254"/>
        <v/>
      </c>
      <c r="P951" s="4" t="str">
        <f t="shared" si="255"/>
        <v/>
      </c>
      <c r="Q951" s="4">
        <v>1</v>
      </c>
      <c r="R951" s="4" t="str">
        <f t="shared" si="257"/>
        <v/>
      </c>
      <c r="S951" s="4" t="str">
        <f t="shared" si="258"/>
        <v/>
      </c>
      <c r="T951" s="4" t="str">
        <f t="shared" si="259"/>
        <v/>
      </c>
      <c r="U951">
        <f>IF(VLOOKUP(C951,'QA Table'!$Y$5:$Y$20,1,TRUE)=C951,1,0)</f>
        <v>0</v>
      </c>
      <c r="V951" t="str">
        <f t="shared" si="260"/>
        <v/>
      </c>
      <c r="W951" t="str">
        <f t="shared" si="261"/>
        <v/>
      </c>
      <c r="X951">
        <f t="shared" si="262"/>
        <v>4</v>
      </c>
      <c r="Y951">
        <f t="shared" si="263"/>
        <v>0</v>
      </c>
      <c r="AA951">
        <f t="shared" si="264"/>
        <v>1</v>
      </c>
    </row>
    <row r="952" spans="1:27" x14ac:dyDescent="0.2">
      <c r="A952" t="s">
        <v>1058</v>
      </c>
      <c r="B952" t="s">
        <v>2100</v>
      </c>
      <c r="C952" t="s">
        <v>2107</v>
      </c>
      <c r="D952" t="s">
        <v>10</v>
      </c>
      <c r="E952" t="s">
        <v>3</v>
      </c>
      <c r="F952" t="s">
        <v>2102</v>
      </c>
      <c r="G952" t="s">
        <v>1474</v>
      </c>
      <c r="H952" s="4"/>
      <c r="I952" s="4"/>
      <c r="J952" s="4"/>
      <c r="K952" s="4" t="str">
        <f t="shared" si="250"/>
        <v/>
      </c>
      <c r="L952" s="4" t="str">
        <f t="shared" si="251"/>
        <v/>
      </c>
      <c r="M952" s="4" t="str">
        <f t="shared" si="252"/>
        <v/>
      </c>
      <c r="N952" s="4" t="str">
        <f t="shared" si="253"/>
        <v/>
      </c>
      <c r="O952" s="4" t="str">
        <f t="shared" si="254"/>
        <v/>
      </c>
      <c r="P952" s="4" t="str">
        <f t="shared" si="255"/>
        <v/>
      </c>
      <c r="Q952" s="4"/>
      <c r="R952" s="4" t="str">
        <f t="shared" si="257"/>
        <v/>
      </c>
      <c r="S952" s="4" t="str">
        <f t="shared" si="258"/>
        <v/>
      </c>
      <c r="T952" s="4">
        <f t="shared" si="259"/>
        <v>1</v>
      </c>
      <c r="U952">
        <f>IF(VLOOKUP(C952,'QA Table'!$Y$5:$Y$20,1,TRUE)=C952,1,0)</f>
        <v>0</v>
      </c>
      <c r="V952" t="str">
        <f t="shared" si="260"/>
        <v/>
      </c>
      <c r="W952" t="str">
        <f t="shared" si="261"/>
        <v/>
      </c>
      <c r="X952" t="str">
        <f t="shared" si="262"/>
        <v/>
      </c>
      <c r="Y952">
        <f t="shared" si="263"/>
        <v>0</v>
      </c>
      <c r="AA952" t="str">
        <f t="shared" si="264"/>
        <v/>
      </c>
    </row>
    <row r="953" spans="1:27" x14ac:dyDescent="0.2">
      <c r="A953" t="s">
        <v>1058</v>
      </c>
      <c r="B953" t="s">
        <v>2108</v>
      </c>
      <c r="C953" t="s">
        <v>2109</v>
      </c>
      <c r="D953" t="s">
        <v>2</v>
      </c>
      <c r="E953" t="s">
        <v>3</v>
      </c>
      <c r="F953" t="s">
        <v>2110</v>
      </c>
      <c r="G953" t="s">
        <v>1474</v>
      </c>
      <c r="H953" s="4"/>
      <c r="I953" s="4"/>
      <c r="J953" s="4">
        <v>1</v>
      </c>
      <c r="K953" s="4" t="str">
        <f t="shared" si="250"/>
        <v/>
      </c>
      <c r="L953" s="4" t="str">
        <f t="shared" si="251"/>
        <v/>
      </c>
      <c r="M953" s="4" t="str">
        <f t="shared" si="252"/>
        <v/>
      </c>
      <c r="N953" s="4" t="str">
        <f t="shared" si="253"/>
        <v/>
      </c>
      <c r="O953" s="4" t="str">
        <f t="shared" si="254"/>
        <v/>
      </c>
      <c r="P953" s="4" t="str">
        <f t="shared" si="255"/>
        <v/>
      </c>
      <c r="Q953" s="4" t="str">
        <f t="shared" si="256"/>
        <v/>
      </c>
      <c r="R953" s="4" t="str">
        <f t="shared" si="257"/>
        <v/>
      </c>
      <c r="S953" s="4" t="str">
        <f t="shared" si="258"/>
        <v/>
      </c>
      <c r="T953" s="4" t="str">
        <f t="shared" si="259"/>
        <v/>
      </c>
      <c r="U953">
        <f>IF(VLOOKUP(C953,'QA Table'!$Y$5:$Y$20,1,TRUE)=C953,1,0)</f>
        <v>0</v>
      </c>
      <c r="V953" t="str">
        <f t="shared" si="260"/>
        <v/>
      </c>
      <c r="W953" t="str">
        <f t="shared" si="261"/>
        <v/>
      </c>
      <c r="X953" t="str">
        <f t="shared" si="262"/>
        <v/>
      </c>
      <c r="Y953">
        <f t="shared" si="263"/>
        <v>0</v>
      </c>
      <c r="AA953" t="str">
        <f t="shared" si="264"/>
        <v/>
      </c>
    </row>
    <row r="954" spans="1:27" x14ac:dyDescent="0.2">
      <c r="A954" t="s">
        <v>1058</v>
      </c>
      <c r="B954" t="s">
        <v>2108</v>
      </c>
      <c r="C954" t="s">
        <v>2111</v>
      </c>
      <c r="D954" t="s">
        <v>1050</v>
      </c>
      <c r="E954" t="s">
        <v>3</v>
      </c>
      <c r="F954" t="s">
        <v>2110</v>
      </c>
      <c r="G954" t="s">
        <v>1474</v>
      </c>
      <c r="H954" s="4"/>
      <c r="I954" s="4"/>
      <c r="J954" s="4"/>
      <c r="K954" s="4" t="str">
        <f t="shared" si="250"/>
        <v/>
      </c>
      <c r="L954" s="4" t="str">
        <f t="shared" si="251"/>
        <v/>
      </c>
      <c r="M954" s="4" t="str">
        <f t="shared" si="252"/>
        <v/>
      </c>
      <c r="N954" s="4" t="str">
        <f t="shared" si="253"/>
        <v/>
      </c>
      <c r="O954" s="4" t="str">
        <f t="shared" si="254"/>
        <v/>
      </c>
      <c r="P954" s="4" t="str">
        <f t="shared" si="255"/>
        <v/>
      </c>
      <c r="Q954" s="4" t="str">
        <f t="shared" si="256"/>
        <v/>
      </c>
      <c r="R954" s="4" t="str">
        <f t="shared" si="257"/>
        <v/>
      </c>
      <c r="S954" s="4" t="str">
        <f t="shared" si="258"/>
        <v/>
      </c>
      <c r="T954" s="4" t="str">
        <f t="shared" si="259"/>
        <v/>
      </c>
      <c r="U954">
        <f>IF(VLOOKUP(C954,'QA Table'!$Y$5:$Y$20,1,TRUE)=C954,1,0)</f>
        <v>0</v>
      </c>
      <c r="V954" t="str">
        <f t="shared" si="260"/>
        <v/>
      </c>
      <c r="W954" t="str">
        <f t="shared" si="261"/>
        <v/>
      </c>
      <c r="X954" t="str">
        <f t="shared" si="262"/>
        <v/>
      </c>
      <c r="Y954">
        <f t="shared" si="263"/>
        <v>0</v>
      </c>
      <c r="AA954" t="str">
        <f t="shared" si="264"/>
        <v/>
      </c>
    </row>
    <row r="955" spans="1:27" x14ac:dyDescent="0.2">
      <c r="A955" t="s">
        <v>1058</v>
      </c>
      <c r="B955" t="s">
        <v>2108</v>
      </c>
      <c r="C955" t="s">
        <v>2112</v>
      </c>
      <c r="D955" t="s">
        <v>4</v>
      </c>
      <c r="E955" t="s">
        <v>3</v>
      </c>
      <c r="F955" t="s">
        <v>2110</v>
      </c>
      <c r="G955" t="s">
        <v>1474</v>
      </c>
      <c r="H955" s="4"/>
      <c r="I955" s="4"/>
      <c r="J955" s="4"/>
      <c r="K955" s="4" t="str">
        <f t="shared" si="250"/>
        <v/>
      </c>
      <c r="L955" s="4" t="str">
        <f t="shared" si="251"/>
        <v/>
      </c>
      <c r="M955" s="4" t="str">
        <f t="shared" si="252"/>
        <v/>
      </c>
      <c r="N955" s="4" t="str">
        <f t="shared" si="253"/>
        <v/>
      </c>
      <c r="O955" s="4" t="str">
        <f t="shared" si="254"/>
        <v/>
      </c>
      <c r="P955" s="4" t="str">
        <f t="shared" si="255"/>
        <v/>
      </c>
      <c r="Q955" s="4" t="str">
        <f t="shared" si="256"/>
        <v/>
      </c>
      <c r="R955" s="4" t="str">
        <f t="shared" si="257"/>
        <v/>
      </c>
      <c r="S955" s="4" t="str">
        <f t="shared" si="258"/>
        <v/>
      </c>
      <c r="T955" s="4" t="str">
        <f t="shared" si="259"/>
        <v/>
      </c>
      <c r="U955">
        <f>IF(VLOOKUP(C955,'QA Table'!$Y$5:$Y$20,1,TRUE)=C955,1,0)</f>
        <v>0</v>
      </c>
      <c r="V955" t="str">
        <f t="shared" si="260"/>
        <v/>
      </c>
      <c r="W955" t="str">
        <f t="shared" si="261"/>
        <v/>
      </c>
      <c r="X955" t="str">
        <f t="shared" si="262"/>
        <v/>
      </c>
      <c r="Y955">
        <f t="shared" si="263"/>
        <v>0</v>
      </c>
      <c r="AA955" t="str">
        <f t="shared" si="264"/>
        <v/>
      </c>
    </row>
    <row r="956" spans="1:27" x14ac:dyDescent="0.2">
      <c r="A956" t="s">
        <v>1058</v>
      </c>
      <c r="B956" t="s">
        <v>2108</v>
      </c>
      <c r="C956" t="s">
        <v>2113</v>
      </c>
      <c r="D956" t="s">
        <v>1051</v>
      </c>
      <c r="E956" t="s">
        <v>3</v>
      </c>
      <c r="F956" t="s">
        <v>2110</v>
      </c>
      <c r="G956" t="s">
        <v>1474</v>
      </c>
      <c r="H956" s="4"/>
      <c r="I956" s="4"/>
      <c r="J956" s="4"/>
      <c r="K956" s="4" t="str">
        <f t="shared" si="250"/>
        <v/>
      </c>
      <c r="L956" s="4" t="str">
        <f t="shared" si="251"/>
        <v/>
      </c>
      <c r="M956" s="4" t="str">
        <f t="shared" si="252"/>
        <v/>
      </c>
      <c r="N956" s="4" t="str">
        <f t="shared" si="253"/>
        <v/>
      </c>
      <c r="O956" s="4" t="str">
        <f t="shared" si="254"/>
        <v/>
      </c>
      <c r="P956" s="4" t="str">
        <f t="shared" si="255"/>
        <v/>
      </c>
      <c r="Q956" s="4" t="str">
        <f t="shared" si="256"/>
        <v/>
      </c>
      <c r="R956" s="4" t="str">
        <f t="shared" si="257"/>
        <v/>
      </c>
      <c r="S956" s="4" t="str">
        <f t="shared" si="258"/>
        <v/>
      </c>
      <c r="T956" s="4" t="str">
        <f t="shared" si="259"/>
        <v/>
      </c>
      <c r="U956">
        <f>IF(VLOOKUP(C956,'QA Table'!$Y$5:$Y$20,1,TRUE)=C956,1,0)</f>
        <v>0</v>
      </c>
      <c r="V956" t="str">
        <f t="shared" si="260"/>
        <v/>
      </c>
      <c r="W956" t="str">
        <f t="shared" si="261"/>
        <v/>
      </c>
      <c r="X956" t="str">
        <f t="shared" si="262"/>
        <v/>
      </c>
      <c r="Y956">
        <f t="shared" si="263"/>
        <v>0</v>
      </c>
      <c r="AA956" t="str">
        <f t="shared" si="264"/>
        <v/>
      </c>
    </row>
    <row r="957" spans="1:27" x14ac:dyDescent="0.2">
      <c r="A957" t="s">
        <v>1058</v>
      </c>
      <c r="B957" t="s">
        <v>2108</v>
      </c>
      <c r="C957" t="s">
        <v>2114</v>
      </c>
      <c r="D957" t="s">
        <v>8</v>
      </c>
      <c r="E957" t="s">
        <v>3</v>
      </c>
      <c r="F957" t="s">
        <v>2110</v>
      </c>
      <c r="G957" t="s">
        <v>1474</v>
      </c>
      <c r="H957" s="4">
        <v>1</v>
      </c>
      <c r="I957" s="4"/>
      <c r="J957" s="4"/>
      <c r="K957" s="4">
        <f t="shared" si="250"/>
        <v>1</v>
      </c>
      <c r="L957" s="4" t="str">
        <f t="shared" si="251"/>
        <v/>
      </c>
      <c r="M957" s="4" t="str">
        <f t="shared" si="252"/>
        <v/>
      </c>
      <c r="N957" s="4" t="str">
        <f t="shared" si="253"/>
        <v/>
      </c>
      <c r="O957" s="4" t="str">
        <f t="shared" si="254"/>
        <v/>
      </c>
      <c r="P957" s="4" t="str">
        <f t="shared" si="255"/>
        <v/>
      </c>
      <c r="Q957" s="4">
        <v>1</v>
      </c>
      <c r="R957" s="4" t="str">
        <f t="shared" si="257"/>
        <v/>
      </c>
      <c r="S957" s="4" t="str">
        <f t="shared" si="258"/>
        <v/>
      </c>
      <c r="T957" s="4" t="str">
        <f t="shared" si="259"/>
        <v/>
      </c>
      <c r="U957">
        <f>IF(VLOOKUP(C957,'QA Table'!$Y$5:$Y$20,1,TRUE)=C957,1,0)</f>
        <v>0</v>
      </c>
      <c r="V957" t="str">
        <f t="shared" si="260"/>
        <v/>
      </c>
      <c r="W957" t="str">
        <f t="shared" si="261"/>
        <v/>
      </c>
      <c r="X957">
        <f t="shared" si="262"/>
        <v>4</v>
      </c>
      <c r="Y957">
        <f t="shared" si="263"/>
        <v>0</v>
      </c>
      <c r="AA957">
        <f t="shared" si="264"/>
        <v>1</v>
      </c>
    </row>
    <row r="958" spans="1:27" x14ac:dyDescent="0.2">
      <c r="A958" t="s">
        <v>1058</v>
      </c>
      <c r="B958" t="s">
        <v>2108</v>
      </c>
      <c r="C958" t="s">
        <v>2115</v>
      </c>
      <c r="D958" t="s">
        <v>10</v>
      </c>
      <c r="E958" t="s">
        <v>3</v>
      </c>
      <c r="F958" t="s">
        <v>2110</v>
      </c>
      <c r="G958" t="s">
        <v>1474</v>
      </c>
      <c r="H958" s="4"/>
      <c r="I958" s="4"/>
      <c r="J958" s="4"/>
      <c r="K958" s="4" t="str">
        <f t="shared" si="250"/>
        <v/>
      </c>
      <c r="L958" s="4" t="str">
        <f t="shared" si="251"/>
        <v/>
      </c>
      <c r="M958" s="4" t="str">
        <f t="shared" si="252"/>
        <v/>
      </c>
      <c r="N958" s="4" t="str">
        <f t="shared" si="253"/>
        <v/>
      </c>
      <c r="O958" s="4" t="str">
        <f t="shared" si="254"/>
        <v/>
      </c>
      <c r="P958" s="4" t="str">
        <f t="shared" si="255"/>
        <v/>
      </c>
      <c r="Q958" s="4"/>
      <c r="R958" s="4" t="str">
        <f t="shared" si="257"/>
        <v/>
      </c>
      <c r="S958" s="4" t="str">
        <f t="shared" si="258"/>
        <v/>
      </c>
      <c r="T958" s="4">
        <f t="shared" si="259"/>
        <v>1</v>
      </c>
      <c r="U958">
        <f>IF(VLOOKUP(C958,'QA Table'!$Y$5:$Y$20,1,TRUE)=C958,1,0)</f>
        <v>0</v>
      </c>
      <c r="V958" t="str">
        <f t="shared" si="260"/>
        <v/>
      </c>
      <c r="W958" t="str">
        <f t="shared" si="261"/>
        <v/>
      </c>
      <c r="X958" t="str">
        <f t="shared" si="262"/>
        <v/>
      </c>
      <c r="Y958">
        <f t="shared" si="263"/>
        <v>0</v>
      </c>
      <c r="AA958" t="str">
        <f t="shared" si="264"/>
        <v/>
      </c>
    </row>
    <row r="959" spans="1:27" x14ac:dyDescent="0.2">
      <c r="A959" t="s">
        <v>1058</v>
      </c>
      <c r="B959" t="s">
        <v>2116</v>
      </c>
      <c r="C959" t="s">
        <v>2117</v>
      </c>
      <c r="D959" t="s">
        <v>2</v>
      </c>
      <c r="E959" t="s">
        <v>3</v>
      </c>
      <c r="F959" t="s">
        <v>2118</v>
      </c>
      <c r="G959" t="s">
        <v>1474</v>
      </c>
      <c r="H959" s="4"/>
      <c r="I959" s="4"/>
      <c r="J959" s="4">
        <v>1</v>
      </c>
      <c r="K959" s="4" t="str">
        <f t="shared" si="250"/>
        <v/>
      </c>
      <c r="L959" s="4" t="str">
        <f t="shared" si="251"/>
        <v/>
      </c>
      <c r="M959" s="4" t="str">
        <f t="shared" si="252"/>
        <v/>
      </c>
      <c r="N959" s="4" t="str">
        <f t="shared" si="253"/>
        <v/>
      </c>
      <c r="O959" s="4" t="str">
        <f t="shared" si="254"/>
        <v/>
      </c>
      <c r="P959" s="4" t="str">
        <f t="shared" si="255"/>
        <v/>
      </c>
      <c r="Q959" s="4" t="str">
        <f t="shared" si="256"/>
        <v/>
      </c>
      <c r="R959" s="4" t="str">
        <f t="shared" si="257"/>
        <v/>
      </c>
      <c r="S959" s="4" t="str">
        <f t="shared" si="258"/>
        <v/>
      </c>
      <c r="T959" s="4" t="str">
        <f t="shared" si="259"/>
        <v/>
      </c>
      <c r="U959">
        <f>IF(VLOOKUP(C959,'QA Table'!$Y$5:$Y$20,1,TRUE)=C959,1,0)</f>
        <v>0</v>
      </c>
      <c r="V959" t="str">
        <f t="shared" si="260"/>
        <v/>
      </c>
      <c r="W959" t="str">
        <f t="shared" si="261"/>
        <v/>
      </c>
      <c r="X959" t="str">
        <f t="shared" si="262"/>
        <v/>
      </c>
      <c r="Y959">
        <f t="shared" si="263"/>
        <v>0</v>
      </c>
      <c r="AA959" t="str">
        <f t="shared" si="264"/>
        <v/>
      </c>
    </row>
    <row r="960" spans="1:27" x14ac:dyDescent="0.2">
      <c r="A960" t="s">
        <v>1058</v>
      </c>
      <c r="B960" t="s">
        <v>2116</v>
      </c>
      <c r="C960" t="s">
        <v>2119</v>
      </c>
      <c r="D960" t="s">
        <v>1050</v>
      </c>
      <c r="E960" t="s">
        <v>3</v>
      </c>
      <c r="F960" t="s">
        <v>2118</v>
      </c>
      <c r="G960" t="s">
        <v>1474</v>
      </c>
      <c r="H960" s="4"/>
      <c r="I960" s="4"/>
      <c r="J960" s="4"/>
      <c r="K960" s="4" t="str">
        <f t="shared" si="250"/>
        <v/>
      </c>
      <c r="L960" s="4" t="str">
        <f t="shared" si="251"/>
        <v/>
      </c>
      <c r="M960" s="4" t="str">
        <f t="shared" si="252"/>
        <v/>
      </c>
      <c r="N960" s="4" t="str">
        <f t="shared" si="253"/>
        <v/>
      </c>
      <c r="O960" s="4" t="str">
        <f t="shared" si="254"/>
        <v/>
      </c>
      <c r="P960" s="4" t="str">
        <f t="shared" si="255"/>
        <v/>
      </c>
      <c r="Q960" s="4" t="str">
        <f t="shared" si="256"/>
        <v/>
      </c>
      <c r="R960" s="4" t="str">
        <f t="shared" si="257"/>
        <v/>
      </c>
      <c r="S960" s="4" t="str">
        <f t="shared" si="258"/>
        <v/>
      </c>
      <c r="T960" s="4" t="str">
        <f t="shared" si="259"/>
        <v/>
      </c>
      <c r="U960">
        <f>IF(VLOOKUP(C960,'QA Table'!$Y$5:$Y$20,1,TRUE)=C960,1,0)</f>
        <v>0</v>
      </c>
      <c r="V960" t="str">
        <f t="shared" si="260"/>
        <v/>
      </c>
      <c r="W960" t="str">
        <f t="shared" si="261"/>
        <v/>
      </c>
      <c r="X960" t="str">
        <f t="shared" si="262"/>
        <v/>
      </c>
      <c r="Y960">
        <f t="shared" si="263"/>
        <v>0</v>
      </c>
      <c r="AA960" t="str">
        <f t="shared" si="264"/>
        <v/>
      </c>
    </row>
    <row r="961" spans="1:27" x14ac:dyDescent="0.2">
      <c r="A961" t="s">
        <v>1058</v>
      </c>
      <c r="B961" t="s">
        <v>2116</v>
      </c>
      <c r="C961" t="s">
        <v>2120</v>
      </c>
      <c r="D961" t="s">
        <v>4</v>
      </c>
      <c r="E961" t="s">
        <v>3</v>
      </c>
      <c r="F961" t="s">
        <v>2118</v>
      </c>
      <c r="G961" t="s">
        <v>1474</v>
      </c>
      <c r="H961" s="4"/>
      <c r="I961" s="4"/>
      <c r="J961" s="4"/>
      <c r="K961" s="4" t="str">
        <f t="shared" si="250"/>
        <v/>
      </c>
      <c r="L961" s="4" t="str">
        <f t="shared" si="251"/>
        <v/>
      </c>
      <c r="M961" s="4" t="str">
        <f t="shared" si="252"/>
        <v/>
      </c>
      <c r="N961" s="4" t="str">
        <f t="shared" si="253"/>
        <v/>
      </c>
      <c r="O961" s="4" t="str">
        <f t="shared" si="254"/>
        <v/>
      </c>
      <c r="P961" s="4" t="str">
        <f t="shared" si="255"/>
        <v/>
      </c>
      <c r="Q961" s="4" t="str">
        <f t="shared" si="256"/>
        <v/>
      </c>
      <c r="R961" s="4" t="str">
        <f t="shared" si="257"/>
        <v/>
      </c>
      <c r="S961" s="4" t="str">
        <f t="shared" si="258"/>
        <v/>
      </c>
      <c r="T961" s="4" t="str">
        <f t="shared" si="259"/>
        <v/>
      </c>
      <c r="U961">
        <f>IF(VLOOKUP(C961,'QA Table'!$Y$5:$Y$20,1,TRUE)=C961,1,0)</f>
        <v>0</v>
      </c>
      <c r="V961" t="str">
        <f t="shared" si="260"/>
        <v/>
      </c>
      <c r="W961" t="str">
        <f t="shared" si="261"/>
        <v/>
      </c>
      <c r="X961" t="str">
        <f t="shared" si="262"/>
        <v/>
      </c>
      <c r="Y961">
        <f t="shared" si="263"/>
        <v>0</v>
      </c>
      <c r="AA961" t="str">
        <f t="shared" si="264"/>
        <v/>
      </c>
    </row>
    <row r="962" spans="1:27" x14ac:dyDescent="0.2">
      <c r="A962" t="s">
        <v>1058</v>
      </c>
      <c r="B962" t="s">
        <v>2116</v>
      </c>
      <c r="C962" t="s">
        <v>2121</v>
      </c>
      <c r="D962" t="s">
        <v>1051</v>
      </c>
      <c r="E962" t="s">
        <v>3</v>
      </c>
      <c r="F962" t="s">
        <v>2118</v>
      </c>
      <c r="G962" t="s">
        <v>1474</v>
      </c>
      <c r="H962" s="4"/>
      <c r="I962" s="4"/>
      <c r="J962" s="4"/>
      <c r="K962" s="4" t="str">
        <f t="shared" si="250"/>
        <v/>
      </c>
      <c r="L962" s="4" t="str">
        <f t="shared" si="251"/>
        <v/>
      </c>
      <c r="M962" s="4" t="str">
        <f t="shared" si="252"/>
        <v/>
      </c>
      <c r="N962" s="4" t="str">
        <f t="shared" si="253"/>
        <v/>
      </c>
      <c r="O962" s="4" t="str">
        <f t="shared" si="254"/>
        <v/>
      </c>
      <c r="P962" s="4" t="str">
        <f t="shared" si="255"/>
        <v/>
      </c>
      <c r="Q962" s="4" t="str">
        <f t="shared" si="256"/>
        <v/>
      </c>
      <c r="R962" s="4" t="str">
        <f t="shared" si="257"/>
        <v/>
      </c>
      <c r="S962" s="4" t="str">
        <f t="shared" si="258"/>
        <v/>
      </c>
      <c r="T962" s="4" t="str">
        <f t="shared" si="259"/>
        <v/>
      </c>
      <c r="U962">
        <f>IF(VLOOKUP(C962,'QA Table'!$Y$5:$Y$20,1,TRUE)=C962,1,0)</f>
        <v>0</v>
      </c>
      <c r="V962" t="str">
        <f t="shared" si="260"/>
        <v/>
      </c>
      <c r="W962" t="str">
        <f t="shared" si="261"/>
        <v/>
      </c>
      <c r="X962" t="str">
        <f t="shared" si="262"/>
        <v/>
      </c>
      <c r="Y962">
        <f t="shared" si="263"/>
        <v>0</v>
      </c>
      <c r="AA962" t="str">
        <f t="shared" si="264"/>
        <v/>
      </c>
    </row>
    <row r="963" spans="1:27" x14ac:dyDescent="0.2">
      <c r="A963" t="s">
        <v>1058</v>
      </c>
      <c r="B963" t="s">
        <v>2116</v>
      </c>
      <c r="C963" t="s">
        <v>2122</v>
      </c>
      <c r="D963" t="s">
        <v>8</v>
      </c>
      <c r="E963" t="s">
        <v>3</v>
      </c>
      <c r="F963" t="s">
        <v>2118</v>
      </c>
      <c r="G963" t="s">
        <v>1474</v>
      </c>
      <c r="H963" s="4">
        <v>1</v>
      </c>
      <c r="I963" s="4"/>
      <c r="J963" s="4"/>
      <c r="K963" s="4">
        <f t="shared" si="250"/>
        <v>1</v>
      </c>
      <c r="L963" s="4" t="str">
        <f t="shared" si="251"/>
        <v/>
      </c>
      <c r="M963" s="4" t="str">
        <f t="shared" si="252"/>
        <v/>
      </c>
      <c r="N963" s="4" t="str">
        <f t="shared" si="253"/>
        <v/>
      </c>
      <c r="O963" s="4" t="str">
        <f t="shared" si="254"/>
        <v/>
      </c>
      <c r="P963" s="4" t="str">
        <f t="shared" si="255"/>
        <v/>
      </c>
      <c r="Q963" s="4">
        <v>1</v>
      </c>
      <c r="R963" s="4" t="str">
        <f t="shared" si="257"/>
        <v/>
      </c>
      <c r="S963" s="4" t="str">
        <f t="shared" si="258"/>
        <v/>
      </c>
      <c r="T963" s="4" t="str">
        <f t="shared" si="259"/>
        <v/>
      </c>
      <c r="U963">
        <f>IF(VLOOKUP(C963,'QA Table'!$Y$5:$Y$20,1,TRUE)=C963,1,0)</f>
        <v>0</v>
      </c>
      <c r="V963" t="str">
        <f t="shared" si="260"/>
        <v/>
      </c>
      <c r="W963" t="str">
        <f t="shared" si="261"/>
        <v/>
      </c>
      <c r="X963">
        <f t="shared" si="262"/>
        <v>4</v>
      </c>
      <c r="Y963">
        <f t="shared" si="263"/>
        <v>0</v>
      </c>
      <c r="AA963">
        <f t="shared" si="264"/>
        <v>1</v>
      </c>
    </row>
    <row r="964" spans="1:27" x14ac:dyDescent="0.2">
      <c r="A964" t="s">
        <v>1058</v>
      </c>
      <c r="B964" t="s">
        <v>2116</v>
      </c>
      <c r="C964" t="s">
        <v>2123</v>
      </c>
      <c r="D964" t="s">
        <v>10</v>
      </c>
      <c r="E964" t="s">
        <v>3</v>
      </c>
      <c r="F964" t="s">
        <v>2118</v>
      </c>
      <c r="G964" t="s">
        <v>1474</v>
      </c>
      <c r="H964" s="4"/>
      <c r="I964" s="4"/>
      <c r="J964" s="4"/>
      <c r="K964" s="4" t="str">
        <f t="shared" si="250"/>
        <v/>
      </c>
      <c r="L964" s="4" t="str">
        <f t="shared" si="251"/>
        <v/>
      </c>
      <c r="M964" s="4" t="str">
        <f t="shared" si="252"/>
        <v/>
      </c>
      <c r="N964" s="4" t="str">
        <f t="shared" si="253"/>
        <v/>
      </c>
      <c r="O964" s="4" t="str">
        <f t="shared" si="254"/>
        <v/>
      </c>
      <c r="P964" s="4" t="str">
        <f t="shared" si="255"/>
        <v/>
      </c>
      <c r="Q964" s="4"/>
      <c r="R964" s="4" t="str">
        <f t="shared" si="257"/>
        <v/>
      </c>
      <c r="S964" s="4" t="str">
        <f t="shared" si="258"/>
        <v/>
      </c>
      <c r="T964" s="4">
        <f t="shared" si="259"/>
        <v>1</v>
      </c>
      <c r="U964">
        <f>IF(VLOOKUP(C964,'QA Table'!$Y$5:$Y$20,1,TRUE)=C964,1,0)</f>
        <v>0</v>
      </c>
      <c r="V964" t="str">
        <f t="shared" si="260"/>
        <v/>
      </c>
      <c r="W964" t="str">
        <f t="shared" si="261"/>
        <v/>
      </c>
      <c r="X964" t="str">
        <f t="shared" si="262"/>
        <v/>
      </c>
      <c r="Y964">
        <f t="shared" si="263"/>
        <v>0</v>
      </c>
      <c r="AA964" t="str">
        <f t="shared" si="264"/>
        <v/>
      </c>
    </row>
    <row r="965" spans="1:27" x14ac:dyDescent="0.2">
      <c r="A965" t="s">
        <v>1058</v>
      </c>
      <c r="B965" t="s">
        <v>2124</v>
      </c>
      <c r="C965" t="s">
        <v>2182</v>
      </c>
      <c r="D965" t="s">
        <v>2</v>
      </c>
      <c r="E965" t="s">
        <v>3</v>
      </c>
      <c r="F965" t="s">
        <v>2125</v>
      </c>
      <c r="G965" t="s">
        <v>1474</v>
      </c>
      <c r="H965" s="4"/>
      <c r="I965" s="4"/>
      <c r="J965" s="4">
        <v>1</v>
      </c>
      <c r="K965" s="4" t="str">
        <f t="shared" si="250"/>
        <v/>
      </c>
      <c r="L965" s="4" t="str">
        <f t="shared" si="251"/>
        <v/>
      </c>
      <c r="M965" s="4" t="str">
        <f t="shared" si="252"/>
        <v/>
      </c>
      <c r="N965" s="4" t="str">
        <f t="shared" si="253"/>
        <v/>
      </c>
      <c r="O965" s="4" t="str">
        <f t="shared" si="254"/>
        <v/>
      </c>
      <c r="P965" s="4" t="str">
        <f t="shared" si="255"/>
        <v/>
      </c>
      <c r="Q965" s="4" t="str">
        <f t="shared" si="256"/>
        <v/>
      </c>
      <c r="R965" s="4" t="str">
        <f t="shared" si="257"/>
        <v/>
      </c>
      <c r="S965" s="4" t="str">
        <f t="shared" si="258"/>
        <v/>
      </c>
      <c r="T965" s="4" t="str">
        <f t="shared" si="259"/>
        <v/>
      </c>
      <c r="U965">
        <f>IF(VLOOKUP(C965,'QA Table'!$Y$5:$Y$20,1,TRUE)=C965,1,0)</f>
        <v>0</v>
      </c>
      <c r="V965" t="str">
        <f t="shared" si="260"/>
        <v/>
      </c>
      <c r="W965" t="str">
        <f t="shared" si="261"/>
        <v/>
      </c>
      <c r="X965" t="str">
        <f t="shared" si="262"/>
        <v/>
      </c>
      <c r="Y965">
        <f t="shared" ref="Y965:Y976" si="265">IF(U965=1,1,IF(AND(E965="LD1",U964=1),1,IF(AND(E965="FD1",U963=1),1,0)))</f>
        <v>0</v>
      </c>
      <c r="AA965" t="str">
        <f t="shared" si="264"/>
        <v/>
      </c>
    </row>
    <row r="966" spans="1:27" x14ac:dyDescent="0.2">
      <c r="A966" t="s">
        <v>1058</v>
      </c>
      <c r="B966" t="s">
        <v>2124</v>
      </c>
      <c r="C966" t="s">
        <v>2171</v>
      </c>
      <c r="D966" t="s">
        <v>1050</v>
      </c>
      <c r="E966" t="s">
        <v>3</v>
      </c>
      <c r="F966" t="s">
        <v>2125</v>
      </c>
      <c r="G966" t="s">
        <v>1474</v>
      </c>
      <c r="H966" s="4"/>
      <c r="I966" s="4"/>
      <c r="J966" s="4"/>
      <c r="K966" s="4" t="str">
        <f t="shared" ref="K966:K976" si="266">IF(D966="INT",1,"")</f>
        <v/>
      </c>
      <c r="L966" s="4" t="str">
        <f t="shared" ref="L966:L976" si="267">IF(AND(LEFT(B966,1)="E",A966&lt;&gt;"E",RIGHT(B966,1)="M"),IF(AND(A966="w",D966="MID",E966="RFS"),1,IF(AND(A966="C",D966="5M",E966="RFS"),1,"")),IF(AND(RIGHT(B966,1)="M",D966="10M",E966="RFS"),1,""))</f>
        <v/>
      </c>
      <c r="M966" s="4" t="str">
        <f t="shared" ref="M966:M976" si="268">IF(L966=1,1,"")</f>
        <v/>
      </c>
      <c r="N966" s="4" t="str">
        <f t="shared" ref="N966:N976" si="269">IF(M966=1,1,"")</f>
        <v/>
      </c>
      <c r="O966" s="4" t="str">
        <f t="shared" ref="O966:O976" si="270">IF(N966=1,1,"")</f>
        <v/>
      </c>
      <c r="P966" s="4" t="str">
        <f t="shared" ref="P966:P976" si="271">IF(O966=1,1,"")</f>
        <v/>
      </c>
      <c r="Q966" s="4" t="str">
        <f t="shared" ref="Q966:Q974" si="272">IF(AND(OR(D966="INT",D966="DCL"),OR(LEFT(B966,2)="SU",LEFT(B966,2)="HU",LEFT(B966,2)="MI",LEFT(B966,2)="CS",LEFT(B966,2)="ON")),2,IF(AND(OR(D966="INT",D966="DCL"),LEFT(B966,2)="ER"),1,""))</f>
        <v/>
      </c>
      <c r="R966" s="4" t="str">
        <f t="shared" ref="R966:R976" si="273">IF(D966="benthos",1,"")</f>
        <v/>
      </c>
      <c r="S966" s="4" t="str">
        <f t="shared" ref="S966:S976" si="274">IF(D966="mysis",1,"")</f>
        <v/>
      </c>
      <c r="T966" s="4" t="str">
        <f t="shared" ref="T966:T976" si="275">IF(AND(OR(D966="d20",D966="d100"),LEFT(B966,2)="SU"),2,IF(OR(D966="D20",D966="d100"),1,""))</f>
        <v/>
      </c>
      <c r="U966">
        <f>IF(VLOOKUP(C966,'QA Table'!$Y$5:$Y$20,1,TRUE)=C966,1,0)</f>
        <v>0</v>
      </c>
      <c r="V966" t="str">
        <f t="shared" ref="V966:V976" si="276">IF(AND(D966="Sediment",RIGHT(C966,1)="8"),1,"")</f>
        <v/>
      </c>
      <c r="W966" t="str">
        <f t="shared" ref="W966:W976" si="277">IF(AND(D966="Sediment",RIGHT(C966,1)="9"),1,"")</f>
        <v/>
      </c>
      <c r="X966" t="str">
        <f t="shared" ref="X966:X976" si="278">IF(AND(H966=1,OR(LEFT(B966,1)="M",LEFT(B966,1)="E",LEFT(B966,1)="O",LEFT(B966,1)="C")),4,IF(AND(H966=1,OR(LEFT(B966,1)="H",LEFT(B966,1)="S")),3,""))</f>
        <v/>
      </c>
      <c r="Y966">
        <f t="shared" si="265"/>
        <v>0</v>
      </c>
      <c r="AA966" t="str">
        <f t="shared" ref="AA966:AA976" si="279">IF(X966&lt;&gt;"",1,"")</f>
        <v/>
      </c>
    </row>
    <row r="967" spans="1:27" x14ac:dyDescent="0.2">
      <c r="A967" t="s">
        <v>1058</v>
      </c>
      <c r="B967" t="s">
        <v>2124</v>
      </c>
      <c r="C967" t="s">
        <v>2172</v>
      </c>
      <c r="D967" t="s">
        <v>4</v>
      </c>
      <c r="E967" t="s">
        <v>3</v>
      </c>
      <c r="F967" t="s">
        <v>2125</v>
      </c>
      <c r="G967" t="s">
        <v>1474</v>
      </c>
      <c r="H967" s="4"/>
      <c r="I967" s="4"/>
      <c r="J967" s="4"/>
      <c r="K967" s="4" t="str">
        <f t="shared" si="266"/>
        <v/>
      </c>
      <c r="L967" s="4" t="str">
        <f t="shared" si="267"/>
        <v/>
      </c>
      <c r="M967" s="4" t="str">
        <f t="shared" si="268"/>
        <v/>
      </c>
      <c r="N967" s="4" t="str">
        <f t="shared" si="269"/>
        <v/>
      </c>
      <c r="O967" s="4" t="str">
        <f t="shared" si="270"/>
        <v/>
      </c>
      <c r="P967" s="4" t="str">
        <f t="shared" si="271"/>
        <v/>
      </c>
      <c r="Q967" s="4" t="str">
        <f t="shared" si="272"/>
        <v/>
      </c>
      <c r="R967" s="4" t="str">
        <f t="shared" si="273"/>
        <v/>
      </c>
      <c r="S967" s="4" t="str">
        <f t="shared" si="274"/>
        <v/>
      </c>
      <c r="T967" s="4" t="str">
        <f t="shared" si="275"/>
        <v/>
      </c>
      <c r="U967">
        <f>IF(VLOOKUP(C967,'QA Table'!$Y$5:$Y$20,1,TRUE)=C967,1,0)</f>
        <v>0</v>
      </c>
      <c r="V967" t="str">
        <f t="shared" si="276"/>
        <v/>
      </c>
      <c r="W967" t="str">
        <f t="shared" si="277"/>
        <v/>
      </c>
      <c r="X967" t="str">
        <f t="shared" si="278"/>
        <v/>
      </c>
      <c r="Y967">
        <f t="shared" si="265"/>
        <v>0</v>
      </c>
      <c r="AA967" t="str">
        <f t="shared" si="279"/>
        <v/>
      </c>
    </row>
    <row r="968" spans="1:27" x14ac:dyDescent="0.2">
      <c r="A968" t="s">
        <v>1058</v>
      </c>
      <c r="B968" t="s">
        <v>2124</v>
      </c>
      <c r="C968" t="s">
        <v>2173</v>
      </c>
      <c r="D968" t="s">
        <v>1051</v>
      </c>
      <c r="E968" t="s">
        <v>3</v>
      </c>
      <c r="F968" t="s">
        <v>2125</v>
      </c>
      <c r="G968" t="s">
        <v>1474</v>
      </c>
      <c r="H968" s="4"/>
      <c r="I968" s="4"/>
      <c r="J968" s="4"/>
      <c r="K968" s="4" t="str">
        <f t="shared" si="266"/>
        <v/>
      </c>
      <c r="L968" s="4" t="str">
        <f t="shared" si="267"/>
        <v/>
      </c>
      <c r="M968" s="4" t="str">
        <f t="shared" si="268"/>
        <v/>
      </c>
      <c r="N968" s="4" t="str">
        <f t="shared" si="269"/>
        <v/>
      </c>
      <c r="O968" s="4" t="str">
        <f t="shared" si="270"/>
        <v/>
      </c>
      <c r="P968" s="4" t="str">
        <f t="shared" si="271"/>
        <v/>
      </c>
      <c r="Q968" s="4" t="str">
        <f t="shared" si="272"/>
        <v/>
      </c>
      <c r="R968" s="4" t="str">
        <f t="shared" si="273"/>
        <v/>
      </c>
      <c r="S968" s="4" t="str">
        <f t="shared" si="274"/>
        <v/>
      </c>
      <c r="T968" s="4" t="str">
        <f t="shared" si="275"/>
        <v/>
      </c>
      <c r="U968">
        <f>IF(VLOOKUP(C968,'QA Table'!$Y$5:$Y$20,1,TRUE)=C968,1,0)</f>
        <v>0</v>
      </c>
      <c r="V968" t="str">
        <f t="shared" si="276"/>
        <v/>
      </c>
      <c r="W968" t="str">
        <f t="shared" si="277"/>
        <v/>
      </c>
      <c r="X968" t="str">
        <f t="shared" si="278"/>
        <v/>
      </c>
      <c r="Y968">
        <f t="shared" si="265"/>
        <v>0</v>
      </c>
      <c r="AA968" t="str">
        <f t="shared" si="279"/>
        <v/>
      </c>
    </row>
    <row r="969" spans="1:27" x14ac:dyDescent="0.2">
      <c r="A969" t="s">
        <v>1058</v>
      </c>
      <c r="B969" t="s">
        <v>2124</v>
      </c>
      <c r="C969" t="s">
        <v>2174</v>
      </c>
      <c r="D969" t="s">
        <v>8</v>
      </c>
      <c r="E969" t="s">
        <v>3</v>
      </c>
      <c r="F969" t="s">
        <v>2125</v>
      </c>
      <c r="G969" t="s">
        <v>1474</v>
      </c>
      <c r="H969" s="4">
        <v>1</v>
      </c>
      <c r="I969" s="4"/>
      <c r="J969" s="4"/>
      <c r="K969" s="4">
        <f t="shared" si="266"/>
        <v>1</v>
      </c>
      <c r="L969" s="4" t="str">
        <f t="shared" si="267"/>
        <v/>
      </c>
      <c r="M969" s="4" t="str">
        <f t="shared" si="268"/>
        <v/>
      </c>
      <c r="N969" s="4" t="str">
        <f t="shared" si="269"/>
        <v/>
      </c>
      <c r="O969" s="4" t="str">
        <f t="shared" si="270"/>
        <v/>
      </c>
      <c r="P969" s="4" t="str">
        <f t="shared" si="271"/>
        <v/>
      </c>
      <c r="Q969" s="4">
        <v>1</v>
      </c>
      <c r="R969" s="4" t="str">
        <f t="shared" si="273"/>
        <v/>
      </c>
      <c r="S969" s="4" t="str">
        <f t="shared" si="274"/>
        <v/>
      </c>
      <c r="T969" s="4" t="str">
        <f t="shared" si="275"/>
        <v/>
      </c>
      <c r="U969">
        <f>IF(VLOOKUP(C969,'QA Table'!$Y$5:$Y$20,1,TRUE)=C969,1,0)</f>
        <v>0</v>
      </c>
      <c r="V969" t="str">
        <f t="shared" si="276"/>
        <v/>
      </c>
      <c r="W969" t="str">
        <f t="shared" si="277"/>
        <v/>
      </c>
      <c r="X969">
        <f t="shared" si="278"/>
        <v>4</v>
      </c>
      <c r="Y969">
        <f t="shared" si="265"/>
        <v>0</v>
      </c>
      <c r="AA969">
        <f t="shared" si="279"/>
        <v>1</v>
      </c>
    </row>
    <row r="970" spans="1:27" x14ac:dyDescent="0.2">
      <c r="A970" t="s">
        <v>1058</v>
      </c>
      <c r="B970" t="s">
        <v>2124</v>
      </c>
      <c r="C970" t="s">
        <v>2175</v>
      </c>
      <c r="D970" t="s">
        <v>10</v>
      </c>
      <c r="E970" t="s">
        <v>3</v>
      </c>
      <c r="F970" t="s">
        <v>2125</v>
      </c>
      <c r="G970" t="s">
        <v>1474</v>
      </c>
      <c r="H970" s="4"/>
      <c r="I970" s="4"/>
      <c r="J970" s="4"/>
      <c r="K970" s="4" t="str">
        <f t="shared" si="266"/>
        <v/>
      </c>
      <c r="L970" s="4" t="str">
        <f t="shared" si="267"/>
        <v/>
      </c>
      <c r="M970" s="4" t="str">
        <f t="shared" si="268"/>
        <v/>
      </c>
      <c r="N970" s="4" t="str">
        <f t="shared" si="269"/>
        <v/>
      </c>
      <c r="O970" s="4" t="str">
        <f t="shared" si="270"/>
        <v/>
      </c>
      <c r="P970" s="4" t="str">
        <f t="shared" si="271"/>
        <v/>
      </c>
      <c r="Q970" s="4"/>
      <c r="R970" s="4" t="str">
        <f t="shared" si="273"/>
        <v/>
      </c>
      <c r="S970" s="4" t="str">
        <f t="shared" si="274"/>
        <v/>
      </c>
      <c r="T970" s="4">
        <f t="shared" si="275"/>
        <v>1</v>
      </c>
      <c r="U970">
        <f>IF(VLOOKUP(C970,'QA Table'!$Y$5:$Y$20,1,TRUE)=C970,1,0)</f>
        <v>0</v>
      </c>
      <c r="V970" t="str">
        <f t="shared" si="276"/>
        <v/>
      </c>
      <c r="W970" t="str">
        <f t="shared" si="277"/>
        <v/>
      </c>
      <c r="X970" t="str">
        <f t="shared" si="278"/>
        <v/>
      </c>
      <c r="Y970">
        <f t="shared" si="265"/>
        <v>0</v>
      </c>
      <c r="AA970" t="str">
        <f t="shared" si="279"/>
        <v/>
      </c>
    </row>
    <row r="971" spans="1:27" x14ac:dyDescent="0.2">
      <c r="A971" t="s">
        <v>1058</v>
      </c>
      <c r="B971" t="s">
        <v>2126</v>
      </c>
      <c r="C971" t="s">
        <v>2176</v>
      </c>
      <c r="D971" t="s">
        <v>2</v>
      </c>
      <c r="E971" t="s">
        <v>3</v>
      </c>
      <c r="F971" t="s">
        <v>2127</v>
      </c>
      <c r="G971" t="s">
        <v>1474</v>
      </c>
      <c r="H971" s="4"/>
      <c r="I971" s="4"/>
      <c r="J971" s="4">
        <v>1</v>
      </c>
      <c r="K971" s="4" t="str">
        <f t="shared" si="266"/>
        <v/>
      </c>
      <c r="L971" s="4" t="str">
        <f t="shared" si="267"/>
        <v/>
      </c>
      <c r="M971" s="4" t="str">
        <f t="shared" si="268"/>
        <v/>
      </c>
      <c r="N971" s="4" t="str">
        <f t="shared" si="269"/>
        <v/>
      </c>
      <c r="O971" s="4" t="str">
        <f t="shared" si="270"/>
        <v/>
      </c>
      <c r="P971" s="4" t="str">
        <f t="shared" si="271"/>
        <v/>
      </c>
      <c r="Q971" s="4" t="str">
        <f t="shared" si="272"/>
        <v/>
      </c>
      <c r="R971" s="4" t="str">
        <f t="shared" si="273"/>
        <v/>
      </c>
      <c r="S971" s="4" t="str">
        <f t="shared" si="274"/>
        <v/>
      </c>
      <c r="T971" s="4" t="str">
        <f t="shared" si="275"/>
        <v/>
      </c>
      <c r="U971">
        <f>IF(VLOOKUP(C971,'QA Table'!$Y$5:$Y$20,1,TRUE)=C971,1,0)</f>
        <v>0</v>
      </c>
      <c r="V971" t="str">
        <f t="shared" si="276"/>
        <v/>
      </c>
      <c r="W971" t="str">
        <f t="shared" si="277"/>
        <v/>
      </c>
      <c r="X971" t="str">
        <f t="shared" si="278"/>
        <v/>
      </c>
      <c r="Y971">
        <f t="shared" si="265"/>
        <v>0</v>
      </c>
      <c r="AA971" t="str">
        <f t="shared" si="279"/>
        <v/>
      </c>
    </row>
    <row r="972" spans="1:27" x14ac:dyDescent="0.2">
      <c r="A972" t="s">
        <v>1058</v>
      </c>
      <c r="B972" t="s">
        <v>2126</v>
      </c>
      <c r="C972" t="s">
        <v>2177</v>
      </c>
      <c r="D972" t="s">
        <v>1050</v>
      </c>
      <c r="E972" t="s">
        <v>3</v>
      </c>
      <c r="F972" t="s">
        <v>2127</v>
      </c>
      <c r="G972" t="s">
        <v>1474</v>
      </c>
      <c r="H972" s="4"/>
      <c r="I972" s="4"/>
      <c r="J972" s="4"/>
      <c r="K972" s="4" t="str">
        <f t="shared" si="266"/>
        <v/>
      </c>
      <c r="L972" s="4" t="str">
        <f t="shared" si="267"/>
        <v/>
      </c>
      <c r="M972" s="4" t="str">
        <f t="shared" si="268"/>
        <v/>
      </c>
      <c r="N972" s="4" t="str">
        <f t="shared" si="269"/>
        <v/>
      </c>
      <c r="O972" s="4" t="str">
        <f t="shared" si="270"/>
        <v/>
      </c>
      <c r="P972" s="4" t="str">
        <f t="shared" si="271"/>
        <v/>
      </c>
      <c r="Q972" s="4" t="str">
        <f t="shared" si="272"/>
        <v/>
      </c>
      <c r="R972" s="4" t="str">
        <f t="shared" si="273"/>
        <v/>
      </c>
      <c r="S972" s="4" t="str">
        <f t="shared" si="274"/>
        <v/>
      </c>
      <c r="T972" s="4" t="str">
        <f t="shared" si="275"/>
        <v/>
      </c>
      <c r="U972">
        <f>IF(VLOOKUP(C972,'QA Table'!$Y$5:$Y$20,1,TRUE)=C972,1,0)</f>
        <v>0</v>
      </c>
      <c r="V972" t="str">
        <f t="shared" si="276"/>
        <v/>
      </c>
      <c r="W972" t="str">
        <f t="shared" si="277"/>
        <v/>
      </c>
      <c r="X972" t="str">
        <f t="shared" si="278"/>
        <v/>
      </c>
      <c r="Y972">
        <f t="shared" si="265"/>
        <v>0</v>
      </c>
      <c r="AA972" t="str">
        <f t="shared" si="279"/>
        <v/>
      </c>
    </row>
    <row r="973" spans="1:27" x14ac:dyDescent="0.2">
      <c r="A973" t="s">
        <v>1058</v>
      </c>
      <c r="B973" t="s">
        <v>2126</v>
      </c>
      <c r="C973" t="s">
        <v>2178</v>
      </c>
      <c r="D973" t="s">
        <v>4</v>
      </c>
      <c r="E973" t="s">
        <v>3</v>
      </c>
      <c r="F973" t="s">
        <v>2127</v>
      </c>
      <c r="G973" t="s">
        <v>1474</v>
      </c>
      <c r="H973" s="4"/>
      <c r="I973" s="4"/>
      <c r="J973" s="4"/>
      <c r="K973" s="4" t="str">
        <f t="shared" si="266"/>
        <v/>
      </c>
      <c r="L973" s="4" t="str">
        <f t="shared" si="267"/>
        <v/>
      </c>
      <c r="M973" s="4" t="str">
        <f t="shared" si="268"/>
        <v/>
      </c>
      <c r="N973" s="4" t="str">
        <f t="shared" si="269"/>
        <v/>
      </c>
      <c r="O973" s="4" t="str">
        <f t="shared" si="270"/>
        <v/>
      </c>
      <c r="P973" s="4" t="str">
        <f t="shared" si="271"/>
        <v/>
      </c>
      <c r="Q973" s="4" t="str">
        <f t="shared" si="272"/>
        <v/>
      </c>
      <c r="R973" s="4" t="str">
        <f t="shared" si="273"/>
        <v/>
      </c>
      <c r="S973" s="4" t="str">
        <f t="shared" si="274"/>
        <v/>
      </c>
      <c r="T973" s="4" t="str">
        <f t="shared" si="275"/>
        <v/>
      </c>
      <c r="U973">
        <f>IF(VLOOKUP(C973,'QA Table'!$Y$5:$Y$20,1,TRUE)=C973,1,0)</f>
        <v>0</v>
      </c>
      <c r="V973" t="str">
        <f t="shared" si="276"/>
        <v/>
      </c>
      <c r="W973" t="str">
        <f t="shared" si="277"/>
        <v/>
      </c>
      <c r="X973" t="str">
        <f t="shared" si="278"/>
        <v/>
      </c>
      <c r="Y973">
        <f t="shared" si="265"/>
        <v>0</v>
      </c>
      <c r="AA973" t="str">
        <f t="shared" si="279"/>
        <v/>
      </c>
    </row>
    <row r="974" spans="1:27" x14ac:dyDescent="0.2">
      <c r="A974" t="s">
        <v>1058</v>
      </c>
      <c r="B974" t="s">
        <v>2126</v>
      </c>
      <c r="C974" t="s">
        <v>2179</v>
      </c>
      <c r="D974" t="s">
        <v>1051</v>
      </c>
      <c r="E974" t="s">
        <v>3</v>
      </c>
      <c r="F974" t="s">
        <v>2127</v>
      </c>
      <c r="G974" t="s">
        <v>1474</v>
      </c>
      <c r="H974" s="4"/>
      <c r="I974" s="4"/>
      <c r="J974" s="4"/>
      <c r="K974" s="4" t="str">
        <f t="shared" si="266"/>
        <v/>
      </c>
      <c r="L974" s="4" t="str">
        <f t="shared" si="267"/>
        <v/>
      </c>
      <c r="M974" s="4" t="str">
        <f t="shared" si="268"/>
        <v/>
      </c>
      <c r="N974" s="4" t="str">
        <f t="shared" si="269"/>
        <v/>
      </c>
      <c r="O974" s="4" t="str">
        <f t="shared" si="270"/>
        <v/>
      </c>
      <c r="P974" s="4" t="str">
        <f t="shared" si="271"/>
        <v/>
      </c>
      <c r="Q974" s="4" t="str">
        <f t="shared" si="272"/>
        <v/>
      </c>
      <c r="R974" s="4" t="str">
        <f t="shared" si="273"/>
        <v/>
      </c>
      <c r="S974" s="4" t="str">
        <f t="shared" si="274"/>
        <v/>
      </c>
      <c r="T974" s="4" t="str">
        <f t="shared" si="275"/>
        <v/>
      </c>
      <c r="U974">
        <f>IF(VLOOKUP(C974,'QA Table'!$Y$5:$Y$20,1,TRUE)=C974,1,0)</f>
        <v>0</v>
      </c>
      <c r="V974" t="str">
        <f t="shared" si="276"/>
        <v/>
      </c>
      <c r="W974" t="str">
        <f t="shared" si="277"/>
        <v/>
      </c>
      <c r="X974" t="str">
        <f t="shared" si="278"/>
        <v/>
      </c>
      <c r="Y974">
        <f t="shared" si="265"/>
        <v>0</v>
      </c>
      <c r="AA974" t="str">
        <f t="shared" si="279"/>
        <v/>
      </c>
    </row>
    <row r="975" spans="1:27" x14ac:dyDescent="0.2">
      <c r="A975" t="s">
        <v>1058</v>
      </c>
      <c r="B975" t="s">
        <v>2126</v>
      </c>
      <c r="C975" t="s">
        <v>2180</v>
      </c>
      <c r="D975" t="s">
        <v>8</v>
      </c>
      <c r="E975" t="s">
        <v>3</v>
      </c>
      <c r="F975" t="s">
        <v>2127</v>
      </c>
      <c r="G975" t="s">
        <v>1474</v>
      </c>
      <c r="H975" s="4">
        <v>1</v>
      </c>
      <c r="I975" s="4"/>
      <c r="J975" s="4"/>
      <c r="K975" s="4">
        <f t="shared" si="266"/>
        <v>1</v>
      </c>
      <c r="L975" s="4" t="str">
        <f t="shared" si="267"/>
        <v/>
      </c>
      <c r="M975" s="4" t="str">
        <f t="shared" si="268"/>
        <v/>
      </c>
      <c r="N975" s="4" t="str">
        <f t="shared" si="269"/>
        <v/>
      </c>
      <c r="O975" s="4" t="str">
        <f t="shared" si="270"/>
        <v/>
      </c>
      <c r="P975" s="4" t="str">
        <f t="shared" si="271"/>
        <v/>
      </c>
      <c r="Q975" s="4">
        <v>1</v>
      </c>
      <c r="R975" s="4" t="str">
        <f t="shared" si="273"/>
        <v/>
      </c>
      <c r="S975" s="4" t="str">
        <f t="shared" si="274"/>
        <v/>
      </c>
      <c r="T975" s="4" t="str">
        <f t="shared" si="275"/>
        <v/>
      </c>
      <c r="U975">
        <f>IF(VLOOKUP(C975,'QA Table'!$Y$5:$Y$20,1,TRUE)=C975,1,0)</f>
        <v>0</v>
      </c>
      <c r="V975" t="str">
        <f t="shared" si="276"/>
        <v/>
      </c>
      <c r="W975" t="str">
        <f t="shared" si="277"/>
        <v/>
      </c>
      <c r="X975">
        <f t="shared" si="278"/>
        <v>4</v>
      </c>
      <c r="Y975">
        <f t="shared" si="265"/>
        <v>0</v>
      </c>
      <c r="AA975">
        <f t="shared" si="279"/>
        <v>1</v>
      </c>
    </row>
    <row r="976" spans="1:27" x14ac:dyDescent="0.2">
      <c r="A976" t="s">
        <v>1058</v>
      </c>
      <c r="B976" t="s">
        <v>2126</v>
      </c>
      <c r="C976" t="s">
        <v>2181</v>
      </c>
      <c r="D976" t="s">
        <v>10</v>
      </c>
      <c r="E976" t="s">
        <v>3</v>
      </c>
      <c r="F976" t="s">
        <v>2127</v>
      </c>
      <c r="G976" t="s">
        <v>1474</v>
      </c>
      <c r="H976" s="4"/>
      <c r="I976" s="4"/>
      <c r="J976" s="4"/>
      <c r="K976" s="4" t="str">
        <f t="shared" si="266"/>
        <v/>
      </c>
      <c r="L976" s="4" t="str">
        <f t="shared" si="267"/>
        <v/>
      </c>
      <c r="M976" s="4" t="str">
        <f t="shared" si="268"/>
        <v/>
      </c>
      <c r="N976" s="4" t="str">
        <f t="shared" si="269"/>
        <v/>
      </c>
      <c r="O976" s="4" t="str">
        <f t="shared" si="270"/>
        <v/>
      </c>
      <c r="P976" s="4" t="str">
        <f t="shared" si="271"/>
        <v/>
      </c>
      <c r="Q976" s="4"/>
      <c r="R976" s="4" t="str">
        <f t="shared" si="273"/>
        <v/>
      </c>
      <c r="S976" s="4" t="str">
        <f t="shared" si="274"/>
        <v/>
      </c>
      <c r="T976" s="4">
        <f t="shared" si="275"/>
        <v>1</v>
      </c>
      <c r="U976">
        <f>IF(VLOOKUP(C976,'QA Table'!$Y$5:$Y$20,1,TRUE)=C976,1,0)</f>
        <v>0</v>
      </c>
      <c r="V976" t="str">
        <f t="shared" si="276"/>
        <v/>
      </c>
      <c r="W976" t="str">
        <f t="shared" si="277"/>
        <v/>
      </c>
      <c r="X976" t="str">
        <f t="shared" si="278"/>
        <v/>
      </c>
      <c r="Y976">
        <f t="shared" si="265"/>
        <v>0</v>
      </c>
      <c r="AA976" t="str">
        <f t="shared" si="279"/>
        <v/>
      </c>
    </row>
    <row r="977" spans="1:21" x14ac:dyDescent="0.2">
      <c r="A977" t="s">
        <v>0</v>
      </c>
      <c r="B977" t="s">
        <v>13</v>
      </c>
      <c r="C977" t="s">
        <v>2128</v>
      </c>
      <c r="D977" t="s">
        <v>14</v>
      </c>
      <c r="E977" t="s">
        <v>15</v>
      </c>
      <c r="F977" t="s">
        <v>1157</v>
      </c>
      <c r="G977" t="s">
        <v>1130</v>
      </c>
      <c r="P977">
        <v>1</v>
      </c>
    </row>
    <row r="978" spans="1:21" x14ac:dyDescent="0.2">
      <c r="A978" t="s">
        <v>23</v>
      </c>
      <c r="B978" t="s">
        <v>24</v>
      </c>
      <c r="C978" t="s">
        <v>2129</v>
      </c>
      <c r="D978" t="s">
        <v>4</v>
      </c>
      <c r="E978" t="s">
        <v>12</v>
      </c>
      <c r="F978" t="s">
        <v>1197</v>
      </c>
      <c r="G978" t="s">
        <v>1130</v>
      </c>
      <c r="P978">
        <v>1</v>
      </c>
    </row>
    <row r="979" spans="1:21" x14ac:dyDescent="0.2">
      <c r="A979" t="s">
        <v>27</v>
      </c>
      <c r="B979" t="s">
        <v>29</v>
      </c>
      <c r="C979" t="s">
        <v>2130</v>
      </c>
      <c r="D979" t="s">
        <v>4</v>
      </c>
      <c r="E979" t="s">
        <v>12</v>
      </c>
      <c r="F979" t="s">
        <v>1250</v>
      </c>
      <c r="G979" t="s">
        <v>1130</v>
      </c>
      <c r="P979">
        <v>1</v>
      </c>
    </row>
    <row r="980" spans="1:21" x14ac:dyDescent="0.2">
      <c r="A980" t="s">
        <v>0</v>
      </c>
      <c r="B980" t="s">
        <v>35</v>
      </c>
      <c r="C980" t="s">
        <v>2131</v>
      </c>
      <c r="D980" t="s">
        <v>14</v>
      </c>
      <c r="E980" t="s">
        <v>15</v>
      </c>
      <c r="F980" t="s">
        <v>1319</v>
      </c>
      <c r="G980" t="s">
        <v>1281</v>
      </c>
      <c r="P980">
        <v>1</v>
      </c>
    </row>
    <row r="981" spans="1:21" x14ac:dyDescent="0.2">
      <c r="A981" t="s">
        <v>27</v>
      </c>
      <c r="B981" t="s">
        <v>41</v>
      </c>
      <c r="C981" t="s">
        <v>2132</v>
      </c>
      <c r="D981" t="s">
        <v>4</v>
      </c>
      <c r="E981" t="s">
        <v>12</v>
      </c>
      <c r="F981" t="s">
        <v>1398</v>
      </c>
      <c r="G981" t="s">
        <v>1281</v>
      </c>
      <c r="P981">
        <v>1</v>
      </c>
    </row>
    <row r="982" spans="1:21" x14ac:dyDescent="0.2">
      <c r="A982" t="s">
        <v>27</v>
      </c>
      <c r="B982" t="s">
        <v>44</v>
      </c>
      <c r="C982" t="s">
        <v>2133</v>
      </c>
      <c r="D982" t="s">
        <v>4</v>
      </c>
      <c r="E982" t="s">
        <v>12</v>
      </c>
      <c r="F982" t="s">
        <v>1438</v>
      </c>
      <c r="G982" t="s">
        <v>1281</v>
      </c>
      <c r="P982">
        <v>1</v>
      </c>
    </row>
    <row r="983" spans="1:21" x14ac:dyDescent="0.2">
      <c r="A983" t="s">
        <v>46</v>
      </c>
      <c r="B983" t="s">
        <v>47</v>
      </c>
      <c r="C983" t="s">
        <v>2134</v>
      </c>
      <c r="D983" t="s">
        <v>14</v>
      </c>
      <c r="E983" t="s">
        <v>15</v>
      </c>
      <c r="F983" t="s">
        <v>1473</v>
      </c>
      <c r="G983" t="s">
        <v>1474</v>
      </c>
      <c r="P983">
        <v>1</v>
      </c>
    </row>
    <row r="984" spans="1:21" x14ac:dyDescent="0.2">
      <c r="A984" t="s">
        <v>23</v>
      </c>
      <c r="B984" t="s">
        <v>57</v>
      </c>
      <c r="C984" t="s">
        <v>2135</v>
      </c>
      <c r="D984" t="s">
        <v>1050</v>
      </c>
      <c r="E984" t="s">
        <v>12</v>
      </c>
      <c r="F984" t="s">
        <v>1579</v>
      </c>
      <c r="G984" t="s">
        <v>1474</v>
      </c>
      <c r="P984">
        <v>1</v>
      </c>
    </row>
    <row r="985" spans="1:21" x14ac:dyDescent="0.2">
      <c r="A985" t="s">
        <v>61</v>
      </c>
      <c r="B985" t="s">
        <v>66</v>
      </c>
      <c r="C985" t="s">
        <v>2136</v>
      </c>
      <c r="D985" t="s">
        <v>119</v>
      </c>
      <c r="E985" t="s">
        <v>12</v>
      </c>
      <c r="F985" t="s">
        <v>1653</v>
      </c>
      <c r="G985" t="s">
        <v>1474</v>
      </c>
      <c r="P985">
        <v>1</v>
      </c>
    </row>
    <row r="986" spans="1:21" x14ac:dyDescent="0.2">
      <c r="A986" t="s">
        <v>46</v>
      </c>
      <c r="B986" t="s">
        <v>69</v>
      </c>
      <c r="C986" t="s">
        <v>2137</v>
      </c>
      <c r="D986" t="s">
        <v>14</v>
      </c>
      <c r="E986" t="s">
        <v>15</v>
      </c>
      <c r="F986" t="s">
        <v>1686</v>
      </c>
      <c r="G986" t="s">
        <v>1674</v>
      </c>
      <c r="P986">
        <v>1</v>
      </c>
    </row>
    <row r="987" spans="1:21" x14ac:dyDescent="0.2">
      <c r="A987" t="s">
        <v>46</v>
      </c>
      <c r="B987" t="s">
        <v>69</v>
      </c>
      <c r="C987" t="s">
        <v>2170</v>
      </c>
      <c r="D987" t="s">
        <v>4</v>
      </c>
      <c r="E987" t="s">
        <v>12</v>
      </c>
      <c r="F987" t="s">
        <v>1686</v>
      </c>
      <c r="G987" t="s">
        <v>1674</v>
      </c>
      <c r="P987">
        <v>1</v>
      </c>
    </row>
    <row r="988" spans="1:21" x14ac:dyDescent="0.2">
      <c r="A988" t="s">
        <v>61</v>
      </c>
      <c r="B988" t="s">
        <v>74</v>
      </c>
      <c r="C988" t="s">
        <v>2138</v>
      </c>
      <c r="D988" t="s">
        <v>4</v>
      </c>
      <c r="E988" t="s">
        <v>12</v>
      </c>
      <c r="F988" t="s">
        <v>1754</v>
      </c>
      <c r="G988" t="s">
        <v>1674</v>
      </c>
      <c r="P988">
        <v>1</v>
      </c>
    </row>
    <row r="989" spans="1:21" x14ac:dyDescent="0.2">
      <c r="A989" t="s">
        <v>46</v>
      </c>
      <c r="B989" t="s">
        <v>76</v>
      </c>
      <c r="C989" t="s">
        <v>2139</v>
      </c>
      <c r="D989" t="s">
        <v>14</v>
      </c>
      <c r="E989" t="s">
        <v>15</v>
      </c>
      <c r="F989" t="s">
        <v>1782</v>
      </c>
      <c r="G989" t="s">
        <v>1783</v>
      </c>
      <c r="P989">
        <v>1</v>
      </c>
    </row>
    <row r="990" spans="1:21" x14ac:dyDescent="0.2">
      <c r="A990" t="s">
        <v>23</v>
      </c>
      <c r="B990" t="s">
        <v>83</v>
      </c>
      <c r="C990" t="s">
        <v>2140</v>
      </c>
      <c r="D990" t="s">
        <v>4</v>
      </c>
      <c r="E990" t="s">
        <v>12</v>
      </c>
      <c r="F990" t="s">
        <v>1878</v>
      </c>
      <c r="G990" t="s">
        <v>1783</v>
      </c>
      <c r="P990">
        <v>1</v>
      </c>
    </row>
    <row r="991" spans="1:21" x14ac:dyDescent="0.2">
      <c r="A991" t="s">
        <v>61</v>
      </c>
      <c r="B991" t="s">
        <v>92</v>
      </c>
      <c r="C991" t="s">
        <v>2141</v>
      </c>
      <c r="D991" t="s">
        <v>4</v>
      </c>
      <c r="E991" t="s">
        <v>12</v>
      </c>
      <c r="F991" t="s">
        <v>2002</v>
      </c>
      <c r="G991" t="s">
        <v>1783</v>
      </c>
      <c r="P991">
        <v>1</v>
      </c>
    </row>
    <row r="992" spans="1:21" x14ac:dyDescent="0.2">
      <c r="A992" t="s">
        <v>0</v>
      </c>
      <c r="B992" t="s">
        <v>13</v>
      </c>
      <c r="C992" t="s">
        <v>2142</v>
      </c>
      <c r="D992" t="s">
        <v>17</v>
      </c>
      <c r="E992" t="s">
        <v>1059</v>
      </c>
      <c r="F992" t="s">
        <v>1157</v>
      </c>
      <c r="G992" t="s">
        <v>1130</v>
      </c>
      <c r="U992">
        <v>1</v>
      </c>
    </row>
    <row r="993" spans="1:21" x14ac:dyDescent="0.2">
      <c r="A993" t="s">
        <v>0</v>
      </c>
      <c r="B993" t="s">
        <v>13</v>
      </c>
      <c r="C993" t="s">
        <v>2143</v>
      </c>
      <c r="D993" t="s">
        <v>17</v>
      </c>
      <c r="E993" t="s">
        <v>19</v>
      </c>
      <c r="F993" t="s">
        <v>1157</v>
      </c>
      <c r="G993" t="s">
        <v>1130</v>
      </c>
      <c r="U993">
        <v>1</v>
      </c>
    </row>
    <row r="994" spans="1:21" x14ac:dyDescent="0.2">
      <c r="A994" t="s">
        <v>23</v>
      </c>
      <c r="B994" t="s">
        <v>24</v>
      </c>
      <c r="C994" t="s">
        <v>2144</v>
      </c>
      <c r="D994" t="s">
        <v>2</v>
      </c>
      <c r="E994" t="s">
        <v>1059</v>
      </c>
      <c r="F994" t="s">
        <v>1197</v>
      </c>
      <c r="G994" t="s">
        <v>1130</v>
      </c>
      <c r="U994">
        <v>1</v>
      </c>
    </row>
    <row r="995" spans="1:21" x14ac:dyDescent="0.2">
      <c r="A995" t="s">
        <v>23</v>
      </c>
      <c r="B995" t="s">
        <v>24</v>
      </c>
      <c r="C995" t="s">
        <v>2145</v>
      </c>
      <c r="D995" t="s">
        <v>2</v>
      </c>
      <c r="E995" t="s">
        <v>19</v>
      </c>
      <c r="F995" t="s">
        <v>1197</v>
      </c>
      <c r="G995" t="s">
        <v>1130</v>
      </c>
      <c r="U995">
        <v>1</v>
      </c>
    </row>
    <row r="996" spans="1:21" x14ac:dyDescent="0.2">
      <c r="A996" t="s">
        <v>27</v>
      </c>
      <c r="B996" t="s">
        <v>28</v>
      </c>
      <c r="C996" t="s">
        <v>2146</v>
      </c>
      <c r="D996" t="s">
        <v>6</v>
      </c>
      <c r="E996" t="s">
        <v>1059</v>
      </c>
      <c r="F996" t="s">
        <v>1238</v>
      </c>
      <c r="G996" t="s">
        <v>1130</v>
      </c>
      <c r="U996">
        <v>1</v>
      </c>
    </row>
    <row r="997" spans="1:21" x14ac:dyDescent="0.2">
      <c r="A997" t="s">
        <v>27</v>
      </c>
      <c r="B997" t="s">
        <v>28</v>
      </c>
      <c r="C997" t="s">
        <v>2147</v>
      </c>
      <c r="D997" t="s">
        <v>6</v>
      </c>
      <c r="E997" t="s">
        <v>19</v>
      </c>
      <c r="F997" t="s">
        <v>1238</v>
      </c>
      <c r="G997" t="s">
        <v>1130</v>
      </c>
      <c r="U997">
        <v>1</v>
      </c>
    </row>
    <row r="998" spans="1:21" x14ac:dyDescent="0.2">
      <c r="A998" t="s">
        <v>0</v>
      </c>
      <c r="B998" t="s">
        <v>34</v>
      </c>
      <c r="C998" t="s">
        <v>2148</v>
      </c>
      <c r="D998" t="s">
        <v>119</v>
      </c>
      <c r="E998" t="s">
        <v>1059</v>
      </c>
      <c r="F998" t="s">
        <v>1307</v>
      </c>
      <c r="G998" t="s">
        <v>1281</v>
      </c>
      <c r="U998">
        <v>1</v>
      </c>
    </row>
    <row r="999" spans="1:21" x14ac:dyDescent="0.2">
      <c r="A999" t="s">
        <v>0</v>
      </c>
      <c r="B999" t="s">
        <v>34</v>
      </c>
      <c r="C999" t="s">
        <v>2149</v>
      </c>
      <c r="D999" t="s">
        <v>119</v>
      </c>
      <c r="E999" t="s">
        <v>19</v>
      </c>
      <c r="F999" t="s">
        <v>1307</v>
      </c>
      <c r="G999" t="s">
        <v>1281</v>
      </c>
      <c r="U999">
        <v>1</v>
      </c>
    </row>
    <row r="1000" spans="1:21" x14ac:dyDescent="0.2">
      <c r="A1000" t="s">
        <v>23</v>
      </c>
      <c r="B1000" t="s">
        <v>39</v>
      </c>
      <c r="C1000" t="s">
        <v>2150</v>
      </c>
      <c r="D1000" t="s">
        <v>5</v>
      </c>
      <c r="E1000" t="s">
        <v>1059</v>
      </c>
      <c r="F1000" t="s">
        <v>1373</v>
      </c>
      <c r="G1000" t="s">
        <v>1281</v>
      </c>
      <c r="U1000">
        <v>1</v>
      </c>
    </row>
    <row r="1001" spans="1:21" x14ac:dyDescent="0.2">
      <c r="A1001" t="s">
        <v>23</v>
      </c>
      <c r="B1001" t="s">
        <v>39</v>
      </c>
      <c r="C1001" t="s">
        <v>2151</v>
      </c>
      <c r="D1001" t="s">
        <v>5</v>
      </c>
      <c r="E1001" t="s">
        <v>19</v>
      </c>
      <c r="F1001" t="s">
        <v>1373</v>
      </c>
      <c r="G1001" t="s">
        <v>1281</v>
      </c>
      <c r="U1001">
        <v>1</v>
      </c>
    </row>
    <row r="1002" spans="1:21" x14ac:dyDescent="0.2">
      <c r="A1002" t="s">
        <v>27</v>
      </c>
      <c r="B1002" t="s">
        <v>41</v>
      </c>
      <c r="C1002" t="s">
        <v>2152</v>
      </c>
      <c r="D1002" t="s">
        <v>120</v>
      </c>
      <c r="E1002" t="s">
        <v>1059</v>
      </c>
      <c r="F1002" t="s">
        <v>1398</v>
      </c>
      <c r="G1002" t="s">
        <v>1281</v>
      </c>
      <c r="U1002">
        <v>1</v>
      </c>
    </row>
    <row r="1003" spans="1:21" x14ac:dyDescent="0.2">
      <c r="A1003" t="s">
        <v>27</v>
      </c>
      <c r="B1003" t="s">
        <v>41</v>
      </c>
      <c r="C1003" t="s">
        <v>2153</v>
      </c>
      <c r="D1003" t="s">
        <v>120</v>
      </c>
      <c r="E1003" t="s">
        <v>19</v>
      </c>
      <c r="F1003" t="s">
        <v>1398</v>
      </c>
      <c r="G1003" t="s">
        <v>1281</v>
      </c>
      <c r="U1003">
        <v>1</v>
      </c>
    </row>
    <row r="1004" spans="1:21" x14ac:dyDescent="0.2">
      <c r="A1004" t="s">
        <v>46</v>
      </c>
      <c r="B1004" t="s">
        <v>49</v>
      </c>
      <c r="C1004" t="s">
        <v>2154</v>
      </c>
      <c r="D1004" t="s">
        <v>2</v>
      </c>
      <c r="E1004" t="s">
        <v>1059</v>
      </c>
      <c r="F1004" t="s">
        <v>1500</v>
      </c>
      <c r="G1004" t="s">
        <v>1474</v>
      </c>
      <c r="U1004">
        <v>1</v>
      </c>
    </row>
    <row r="1005" spans="1:21" x14ac:dyDescent="0.2">
      <c r="A1005" t="s">
        <v>46</v>
      </c>
      <c r="B1005" t="s">
        <v>49</v>
      </c>
      <c r="C1005" t="s">
        <v>2155</v>
      </c>
      <c r="D1005" t="s">
        <v>2</v>
      </c>
      <c r="E1005" t="s">
        <v>19</v>
      </c>
      <c r="F1005" t="s">
        <v>1500</v>
      </c>
      <c r="G1005" t="s">
        <v>1474</v>
      </c>
      <c r="U1005">
        <v>1</v>
      </c>
    </row>
    <row r="1006" spans="1:21" x14ac:dyDescent="0.2">
      <c r="A1006" t="s">
        <v>23</v>
      </c>
      <c r="B1006" t="s">
        <v>55</v>
      </c>
      <c r="C1006" t="s">
        <v>2156</v>
      </c>
      <c r="D1006" t="s">
        <v>119</v>
      </c>
      <c r="E1006" t="s">
        <v>1059</v>
      </c>
      <c r="F1006" t="s">
        <v>1562</v>
      </c>
      <c r="G1006" t="s">
        <v>1474</v>
      </c>
      <c r="U1006">
        <v>1</v>
      </c>
    </row>
    <row r="1007" spans="1:21" x14ac:dyDescent="0.2">
      <c r="A1007" t="s">
        <v>23</v>
      </c>
      <c r="B1007" t="s">
        <v>55</v>
      </c>
      <c r="C1007" t="s">
        <v>2157</v>
      </c>
      <c r="D1007" t="s">
        <v>119</v>
      </c>
      <c r="E1007" t="s">
        <v>19</v>
      </c>
      <c r="F1007" t="s">
        <v>1562</v>
      </c>
      <c r="G1007" t="s">
        <v>1474</v>
      </c>
      <c r="U1007">
        <v>1</v>
      </c>
    </row>
    <row r="1008" spans="1:21" x14ac:dyDescent="0.2">
      <c r="A1008" t="s">
        <v>61</v>
      </c>
      <c r="B1008" t="s">
        <v>63</v>
      </c>
      <c r="C1008" t="s">
        <v>2158</v>
      </c>
      <c r="D1008" t="s">
        <v>6</v>
      </c>
      <c r="E1008" t="s">
        <v>1059</v>
      </c>
      <c r="F1008" t="s">
        <v>1622</v>
      </c>
      <c r="G1008" t="s">
        <v>1474</v>
      </c>
      <c r="U1008">
        <v>1</v>
      </c>
    </row>
    <row r="1009" spans="1:21" x14ac:dyDescent="0.2">
      <c r="A1009" t="s">
        <v>61</v>
      </c>
      <c r="B1009" t="s">
        <v>63</v>
      </c>
      <c r="C1009" t="s">
        <v>2159</v>
      </c>
      <c r="D1009" t="s">
        <v>6</v>
      </c>
      <c r="E1009" t="s">
        <v>19</v>
      </c>
      <c r="F1009" t="s">
        <v>1622</v>
      </c>
      <c r="G1009" t="s">
        <v>1474</v>
      </c>
      <c r="U1009">
        <v>1</v>
      </c>
    </row>
    <row r="1010" spans="1:21" x14ac:dyDescent="0.2">
      <c r="A1010" t="s">
        <v>46</v>
      </c>
      <c r="B1010" t="s">
        <v>71</v>
      </c>
      <c r="C1010" t="s">
        <v>2160</v>
      </c>
      <c r="D1010" t="s">
        <v>6</v>
      </c>
      <c r="E1010" t="s">
        <v>1059</v>
      </c>
      <c r="F1010" t="s">
        <v>1716</v>
      </c>
      <c r="G1010" t="s">
        <v>1674</v>
      </c>
      <c r="U1010">
        <v>1</v>
      </c>
    </row>
    <row r="1011" spans="1:21" x14ac:dyDescent="0.2">
      <c r="A1011" t="s">
        <v>46</v>
      </c>
      <c r="B1011" t="s">
        <v>71</v>
      </c>
      <c r="C1011" t="s">
        <v>2161</v>
      </c>
      <c r="D1011" t="s">
        <v>6</v>
      </c>
      <c r="E1011" t="s">
        <v>19</v>
      </c>
      <c r="F1011" t="s">
        <v>1716</v>
      </c>
      <c r="G1011" t="s">
        <v>1674</v>
      </c>
      <c r="U1011">
        <v>1</v>
      </c>
    </row>
    <row r="1012" spans="1:21" x14ac:dyDescent="0.2">
      <c r="A1012" t="s">
        <v>61</v>
      </c>
      <c r="B1012" t="s">
        <v>75</v>
      </c>
      <c r="C1012" t="s">
        <v>2162</v>
      </c>
      <c r="D1012" t="s">
        <v>119</v>
      </c>
      <c r="E1012" t="s">
        <v>1059</v>
      </c>
      <c r="F1012" t="s">
        <v>1770</v>
      </c>
      <c r="G1012" t="s">
        <v>1674</v>
      </c>
      <c r="U1012">
        <v>1</v>
      </c>
    </row>
    <row r="1013" spans="1:21" x14ac:dyDescent="0.2">
      <c r="A1013" t="s">
        <v>61</v>
      </c>
      <c r="B1013" t="s">
        <v>75</v>
      </c>
      <c r="C1013" t="s">
        <v>2163</v>
      </c>
      <c r="D1013" t="s">
        <v>119</v>
      </c>
      <c r="E1013" t="s">
        <v>19</v>
      </c>
      <c r="F1013" t="s">
        <v>1770</v>
      </c>
      <c r="G1013" t="s">
        <v>1674</v>
      </c>
      <c r="U1013">
        <v>1</v>
      </c>
    </row>
    <row r="1014" spans="1:21" x14ac:dyDescent="0.2">
      <c r="A1014" t="s">
        <v>46</v>
      </c>
      <c r="B1014" t="s">
        <v>76</v>
      </c>
      <c r="C1014" t="s">
        <v>2164</v>
      </c>
      <c r="D1014" t="s">
        <v>4</v>
      </c>
      <c r="E1014" t="s">
        <v>1059</v>
      </c>
      <c r="F1014" t="s">
        <v>1782</v>
      </c>
      <c r="G1014" t="s">
        <v>1783</v>
      </c>
      <c r="U1014">
        <v>1</v>
      </c>
    </row>
    <row r="1015" spans="1:21" x14ac:dyDescent="0.2">
      <c r="A1015" t="s">
        <v>46</v>
      </c>
      <c r="B1015" t="s">
        <v>76</v>
      </c>
      <c r="C1015" t="s">
        <v>2165</v>
      </c>
      <c r="D1015" t="s">
        <v>4</v>
      </c>
      <c r="E1015" t="s">
        <v>19</v>
      </c>
      <c r="F1015" t="s">
        <v>1782</v>
      </c>
      <c r="G1015" t="s">
        <v>1783</v>
      </c>
      <c r="U1015">
        <v>1</v>
      </c>
    </row>
    <row r="1016" spans="1:21" x14ac:dyDescent="0.2">
      <c r="A1016" t="s">
        <v>23</v>
      </c>
      <c r="B1016" t="s">
        <v>86</v>
      </c>
      <c r="C1016" t="s">
        <v>2166</v>
      </c>
      <c r="D1016" t="s">
        <v>6</v>
      </c>
      <c r="E1016" t="s">
        <v>1059</v>
      </c>
      <c r="F1016" t="s">
        <v>1922</v>
      </c>
      <c r="G1016" t="s">
        <v>1783</v>
      </c>
      <c r="U1016">
        <v>1</v>
      </c>
    </row>
    <row r="1017" spans="1:21" x14ac:dyDescent="0.2">
      <c r="A1017" t="s">
        <v>23</v>
      </c>
      <c r="B1017" t="s">
        <v>86</v>
      </c>
      <c r="C1017" t="s">
        <v>2167</v>
      </c>
      <c r="D1017" t="s">
        <v>6</v>
      </c>
      <c r="E1017" t="s">
        <v>19</v>
      </c>
      <c r="F1017" t="s">
        <v>1922</v>
      </c>
      <c r="G1017" t="s">
        <v>1783</v>
      </c>
      <c r="U1017">
        <v>1</v>
      </c>
    </row>
    <row r="1018" spans="1:21" x14ac:dyDescent="0.2">
      <c r="A1018" t="s">
        <v>61</v>
      </c>
      <c r="B1018" t="s">
        <v>94</v>
      </c>
      <c r="C1018" t="s">
        <v>2168</v>
      </c>
      <c r="D1018" t="s">
        <v>2</v>
      </c>
      <c r="E1018" t="s">
        <v>1059</v>
      </c>
      <c r="F1018" t="s">
        <v>2031</v>
      </c>
      <c r="G1018" t="s">
        <v>1783</v>
      </c>
      <c r="U1018">
        <v>1</v>
      </c>
    </row>
    <row r="1019" spans="1:21" x14ac:dyDescent="0.2">
      <c r="A1019" t="s">
        <v>61</v>
      </c>
      <c r="B1019" t="s">
        <v>94</v>
      </c>
      <c r="C1019" t="s">
        <v>2169</v>
      </c>
      <c r="D1019" t="s">
        <v>2</v>
      </c>
      <c r="E1019" t="s">
        <v>19</v>
      </c>
      <c r="F1019" t="s">
        <v>2031</v>
      </c>
      <c r="G1019" t="s">
        <v>1783</v>
      </c>
      <c r="U1019">
        <v>1</v>
      </c>
    </row>
    <row r="1020" spans="1:21" x14ac:dyDescent="0.2">
      <c r="U1020">
        <v>1</v>
      </c>
    </row>
  </sheetData>
  <mergeCells count="3">
    <mergeCell ref="H2:I2"/>
    <mergeCell ref="K2:P2"/>
    <mergeCell ref="Q2:S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48522-A5D4-4BEB-80DD-C4538E70ED60}">
  <dimension ref="A1:G30"/>
  <sheetViews>
    <sheetView topLeftCell="A6" workbookViewId="0">
      <selection activeCell="D18" sqref="D18"/>
    </sheetView>
  </sheetViews>
  <sheetFormatPr defaultRowHeight="12.75" x14ac:dyDescent="0.2"/>
  <cols>
    <col min="3" max="3" width="13.85546875" customWidth="1"/>
    <col min="6" max="6" width="10.42578125" customWidth="1"/>
  </cols>
  <sheetData>
    <row r="1" spans="1:7" ht="25.5" x14ac:dyDescent="0.2">
      <c r="A1" s="11" t="s">
        <v>197</v>
      </c>
      <c r="B1" s="11" t="s">
        <v>95</v>
      </c>
      <c r="C1" s="11" t="s">
        <v>100</v>
      </c>
      <c r="D1" s="11" t="s">
        <v>198</v>
      </c>
      <c r="E1" s="11" t="s">
        <v>101</v>
      </c>
      <c r="F1" s="11" t="s">
        <v>114</v>
      </c>
      <c r="G1" s="11" t="s">
        <v>115</v>
      </c>
    </row>
    <row r="2" spans="1:7" x14ac:dyDescent="0.2">
      <c r="A2" t="s">
        <v>0</v>
      </c>
      <c r="B2" t="s">
        <v>13</v>
      </c>
      <c r="C2" t="s">
        <v>1159</v>
      </c>
      <c r="D2" t="s">
        <v>4</v>
      </c>
      <c r="E2" t="s">
        <v>3</v>
      </c>
      <c r="F2" t="s">
        <v>1157</v>
      </c>
      <c r="G2" t="s">
        <v>1130</v>
      </c>
    </row>
    <row r="3" spans="1:7" x14ac:dyDescent="0.2">
      <c r="A3" t="str">
        <f>A2</f>
        <v>S</v>
      </c>
      <c r="B3" t="str">
        <f>B2</f>
        <v>MI 18M</v>
      </c>
      <c r="C3" s="2" t="str">
        <f>CONCATENATE(LEFT(C2,6),"R",MID(C2,8,1),0)</f>
        <v>24GM00R40</v>
      </c>
      <c r="D3" t="s">
        <v>14</v>
      </c>
      <c r="E3" t="s">
        <v>15</v>
      </c>
      <c r="F3" t="str">
        <f>F2</f>
        <v>M18MA24</v>
      </c>
      <c r="G3" t="str">
        <f>G2</f>
        <v>MI2411</v>
      </c>
    </row>
    <row r="4" spans="1:7" x14ac:dyDescent="0.2">
      <c r="A4" t="s">
        <v>23</v>
      </c>
      <c r="B4" t="s">
        <v>24</v>
      </c>
      <c r="C4" t="s">
        <v>1199</v>
      </c>
      <c r="D4" t="s">
        <v>4</v>
      </c>
      <c r="E4" t="s">
        <v>3</v>
      </c>
      <c r="F4" t="s">
        <v>1197</v>
      </c>
      <c r="G4" t="s">
        <v>1130</v>
      </c>
    </row>
    <row r="5" spans="1:7" x14ac:dyDescent="0.2">
      <c r="A5" t="str">
        <f>A4</f>
        <v>C</v>
      </c>
      <c r="B5" t="str">
        <f>B4</f>
        <v>MI 27M</v>
      </c>
      <c r="C5" s="2" t="str">
        <f>CONCATENATE(LEFT(C4,6),"C",RIGHT(C4,2))</f>
        <v>24GM01C03</v>
      </c>
      <c r="D5" t="s">
        <v>4</v>
      </c>
      <c r="E5" t="s">
        <v>12</v>
      </c>
      <c r="F5" t="str">
        <f>F4</f>
        <v>M27MA24</v>
      </c>
      <c r="G5" t="str">
        <f>G4</f>
        <v>MI2411</v>
      </c>
    </row>
    <row r="6" spans="1:7" x14ac:dyDescent="0.2">
      <c r="A6" t="s">
        <v>27</v>
      </c>
      <c r="B6" t="s">
        <v>29</v>
      </c>
      <c r="C6" t="s">
        <v>1252</v>
      </c>
      <c r="D6" t="s">
        <v>4</v>
      </c>
      <c r="E6" t="s">
        <v>3</v>
      </c>
      <c r="F6" t="s">
        <v>1250</v>
      </c>
      <c r="G6" t="s">
        <v>1130</v>
      </c>
    </row>
    <row r="7" spans="1:7" x14ac:dyDescent="0.2">
      <c r="A7" t="str">
        <f>A6</f>
        <v>N</v>
      </c>
      <c r="B7" t="str">
        <f>B6</f>
        <v>MI 41M</v>
      </c>
      <c r="C7" s="2" t="str">
        <f>CONCATENATE(LEFT(C6,6),"T",RIGHT(C6,2))</f>
        <v>24GM01T83</v>
      </c>
      <c r="D7" t="s">
        <v>4</v>
      </c>
      <c r="E7" t="s">
        <v>12</v>
      </c>
      <c r="F7" t="str">
        <f>F6</f>
        <v>M41MA24</v>
      </c>
      <c r="G7" t="str">
        <f>G6</f>
        <v>MI2411</v>
      </c>
    </row>
    <row r="8" spans="1:7" x14ac:dyDescent="0.2">
      <c r="A8" t="s">
        <v>0</v>
      </c>
      <c r="B8" t="s">
        <v>35</v>
      </c>
      <c r="C8" t="s">
        <v>1321</v>
      </c>
      <c r="D8" t="s">
        <v>4</v>
      </c>
      <c r="E8" t="s">
        <v>3</v>
      </c>
      <c r="F8" t="s">
        <v>1319</v>
      </c>
      <c r="G8" t="s">
        <v>1281</v>
      </c>
    </row>
    <row r="9" spans="1:7" x14ac:dyDescent="0.2">
      <c r="A9" t="str">
        <f>A8</f>
        <v>S</v>
      </c>
      <c r="B9" t="str">
        <f>B8</f>
        <v>HU 15M</v>
      </c>
      <c r="C9" s="2" t="str">
        <f>CONCATENATE(LEFT(C8,6),"R",MID(C8,8,1),0)</f>
        <v>24GH00R60</v>
      </c>
      <c r="D9" t="s">
        <v>14</v>
      </c>
      <c r="E9" t="s">
        <v>15</v>
      </c>
      <c r="F9" t="str">
        <f>F8</f>
        <v>H15MA24</v>
      </c>
      <c r="G9" t="str">
        <f>G8</f>
        <v>HU2411</v>
      </c>
    </row>
    <row r="10" spans="1:7" x14ac:dyDescent="0.2">
      <c r="A10" t="s">
        <v>27</v>
      </c>
      <c r="B10" t="s">
        <v>41</v>
      </c>
      <c r="C10" t="s">
        <v>1400</v>
      </c>
      <c r="D10" t="s">
        <v>4</v>
      </c>
      <c r="E10" t="s">
        <v>3</v>
      </c>
      <c r="F10" t="s">
        <v>1398</v>
      </c>
      <c r="G10" t="s">
        <v>1281</v>
      </c>
    </row>
    <row r="11" spans="1:7" x14ac:dyDescent="0.2">
      <c r="A11" t="str">
        <f>A10</f>
        <v>N</v>
      </c>
      <c r="B11" t="str">
        <f>B10</f>
        <v>HU 45M</v>
      </c>
      <c r="C11" s="2" t="str">
        <f>CONCATENATE(LEFT(C10,6),"C",RIGHT(C10,2))</f>
        <v>24GH01C83</v>
      </c>
      <c r="D11" t="s">
        <v>4</v>
      </c>
      <c r="E11" t="s">
        <v>12</v>
      </c>
      <c r="F11" t="str">
        <f>F10</f>
        <v>H45MA24</v>
      </c>
      <c r="G11" t="str">
        <f>G10</f>
        <v>HU2411</v>
      </c>
    </row>
    <row r="12" spans="1:7" x14ac:dyDescent="0.2">
      <c r="A12" t="s">
        <v>27</v>
      </c>
      <c r="B12" t="s">
        <v>44</v>
      </c>
      <c r="C12" t="s">
        <v>1440</v>
      </c>
      <c r="D12" t="s">
        <v>4</v>
      </c>
      <c r="E12" t="s">
        <v>3</v>
      </c>
      <c r="F12" t="s">
        <v>1438</v>
      </c>
      <c r="G12" t="s">
        <v>1281</v>
      </c>
    </row>
    <row r="13" spans="1:7" x14ac:dyDescent="0.2">
      <c r="A13" t="str">
        <f>A12</f>
        <v>N</v>
      </c>
      <c r="B13" t="str">
        <f>B12</f>
        <v>HU 54M</v>
      </c>
      <c r="C13" s="2" t="str">
        <f>CONCATENATE(LEFT(C12,6),"T",RIGHT(C12,2))</f>
        <v>24GH02T43</v>
      </c>
      <c r="D13" t="s">
        <v>4</v>
      </c>
      <c r="E13" t="s">
        <v>12</v>
      </c>
      <c r="F13" t="str">
        <f>F12</f>
        <v>H54MA24</v>
      </c>
      <c r="G13" t="str">
        <f>G12</f>
        <v>HU2411</v>
      </c>
    </row>
    <row r="14" spans="1:7" x14ac:dyDescent="0.2">
      <c r="A14" t="s">
        <v>46</v>
      </c>
      <c r="B14" t="s">
        <v>47</v>
      </c>
      <c r="C14" t="s">
        <v>1069</v>
      </c>
      <c r="D14" t="s">
        <v>4</v>
      </c>
      <c r="E14" t="s">
        <v>3</v>
      </c>
      <c r="F14" t="s">
        <v>1473</v>
      </c>
      <c r="G14" t="s">
        <v>1474</v>
      </c>
    </row>
    <row r="15" spans="1:7" x14ac:dyDescent="0.2">
      <c r="A15" t="str">
        <f>A14</f>
        <v>E</v>
      </c>
      <c r="B15" t="str">
        <f>B14</f>
        <v>ER 15M</v>
      </c>
      <c r="C15" s="2" t="str">
        <f>CONCATENATE(LEFT(C14,6),"R",MID(C14,8,1),0)</f>
        <v>24GE00R00</v>
      </c>
      <c r="D15" t="s">
        <v>14</v>
      </c>
      <c r="E15" t="s">
        <v>15</v>
      </c>
      <c r="F15" t="str">
        <f>F14</f>
        <v>E15MA24</v>
      </c>
      <c r="G15" t="str">
        <f>G14</f>
        <v>ER2411</v>
      </c>
    </row>
    <row r="16" spans="1:7" x14ac:dyDescent="0.2">
      <c r="A16" t="s">
        <v>23</v>
      </c>
      <c r="B16" t="s">
        <v>57</v>
      </c>
      <c r="C16" t="s">
        <v>1580</v>
      </c>
      <c r="D16" t="s">
        <v>1050</v>
      </c>
      <c r="E16" t="s">
        <v>3</v>
      </c>
      <c r="F16" t="s">
        <v>1579</v>
      </c>
      <c r="G16" t="s">
        <v>1474</v>
      </c>
    </row>
    <row r="17" spans="1:7" x14ac:dyDescent="0.2">
      <c r="A17" t="str">
        <f>A16</f>
        <v>C</v>
      </c>
      <c r="B17" t="str">
        <f>B16</f>
        <v>ER 78M</v>
      </c>
      <c r="C17" s="2" t="str">
        <f>CONCATENATE(LEFT(C16,6),"C",RIGHT(C16,2))</f>
        <v>24GE02C02</v>
      </c>
      <c r="D17" t="s">
        <v>1050</v>
      </c>
      <c r="E17" t="s">
        <v>12</v>
      </c>
      <c r="F17" t="str">
        <f>F16</f>
        <v>E78MA24</v>
      </c>
      <c r="G17" t="str">
        <f>G16</f>
        <v>ER2411</v>
      </c>
    </row>
    <row r="18" spans="1:7" x14ac:dyDescent="0.2">
      <c r="A18" t="s">
        <v>61</v>
      </c>
      <c r="B18" t="s">
        <v>66</v>
      </c>
      <c r="C18" t="s">
        <v>1080</v>
      </c>
      <c r="D18" t="s">
        <v>119</v>
      </c>
      <c r="E18" t="s">
        <v>3</v>
      </c>
      <c r="F18" t="s">
        <v>1653</v>
      </c>
      <c r="G18" t="s">
        <v>1474</v>
      </c>
    </row>
    <row r="19" spans="1:7" x14ac:dyDescent="0.2">
      <c r="A19" t="str">
        <f>A18</f>
        <v>W</v>
      </c>
      <c r="B19" t="str">
        <f>B18</f>
        <v>ER 91M</v>
      </c>
      <c r="C19" s="2" t="str">
        <f>CONCATENATE(LEFT(C18,6),"T",RIGHT(C18,2))</f>
        <v>24GE03T63</v>
      </c>
      <c r="D19" t="s">
        <v>119</v>
      </c>
      <c r="E19" t="s">
        <v>12</v>
      </c>
      <c r="F19" t="str">
        <f>F18</f>
        <v>E91MA24</v>
      </c>
      <c r="G19" t="str">
        <f>G18</f>
        <v>ER2411</v>
      </c>
    </row>
    <row r="20" spans="1:7" x14ac:dyDescent="0.2">
      <c r="A20" t="s">
        <v>46</v>
      </c>
      <c r="B20" t="s">
        <v>69</v>
      </c>
      <c r="C20" t="s">
        <v>1689</v>
      </c>
      <c r="D20" t="s">
        <v>4</v>
      </c>
      <c r="E20" t="s">
        <v>3</v>
      </c>
      <c r="F20" t="s">
        <v>1686</v>
      </c>
      <c r="G20" t="s">
        <v>1674</v>
      </c>
    </row>
    <row r="21" spans="1:7" x14ac:dyDescent="0.2">
      <c r="A21" t="str">
        <f>A20</f>
        <v>E</v>
      </c>
      <c r="B21" t="str">
        <f>B20</f>
        <v>ON 55M</v>
      </c>
      <c r="C21" s="2" t="str">
        <f>CONCATENATE(LEFT(C20,6),"T",RIGHT(C20,2))</f>
        <v>24GO00T23</v>
      </c>
      <c r="D21" t="s">
        <v>4</v>
      </c>
      <c r="E21" t="s">
        <v>12</v>
      </c>
      <c r="F21" t="str">
        <f>F20</f>
        <v>O55MA24</v>
      </c>
      <c r="G21" t="str">
        <f>G20</f>
        <v>ON2411</v>
      </c>
    </row>
    <row r="22" spans="1:7" x14ac:dyDescent="0.2">
      <c r="A22" t="str">
        <f>A20</f>
        <v>E</v>
      </c>
      <c r="B22" t="str">
        <f>B20</f>
        <v>ON 55M</v>
      </c>
      <c r="C22" s="2" t="str">
        <f>CONCATENATE(LEFT(C20,6),"R",MID(C20,8,1),0)</f>
        <v>24GO00R20</v>
      </c>
      <c r="D22" t="s">
        <v>14</v>
      </c>
      <c r="E22" t="s">
        <v>15</v>
      </c>
      <c r="F22" t="str">
        <f>F20</f>
        <v>O55MA24</v>
      </c>
      <c r="G22" t="str">
        <f>G20</f>
        <v>ON2411</v>
      </c>
    </row>
    <row r="23" spans="1:7" x14ac:dyDescent="0.2">
      <c r="A23" t="s">
        <v>61</v>
      </c>
      <c r="B23" t="s">
        <v>74</v>
      </c>
      <c r="C23" t="s">
        <v>1756</v>
      </c>
      <c r="D23" t="s">
        <v>4</v>
      </c>
      <c r="E23" t="s">
        <v>3</v>
      </c>
      <c r="F23" t="s">
        <v>1754</v>
      </c>
      <c r="G23" t="s">
        <v>1674</v>
      </c>
    </row>
    <row r="24" spans="1:7" x14ac:dyDescent="0.2">
      <c r="A24" t="str">
        <f>A23</f>
        <v>W</v>
      </c>
      <c r="B24" t="str">
        <f>B23</f>
        <v>ON 33M</v>
      </c>
      <c r="C24" s="2" t="str">
        <f>CONCATENATE(LEFT(C23,6),"C",RIGHT(C23,2))</f>
        <v>24GO01C23</v>
      </c>
      <c r="D24" t="s">
        <v>4</v>
      </c>
      <c r="E24" t="s">
        <v>12</v>
      </c>
      <c r="F24" t="str">
        <f>F23</f>
        <v>O33MA24</v>
      </c>
      <c r="G24" t="str">
        <f>G23</f>
        <v>ON2411</v>
      </c>
    </row>
    <row r="25" spans="1:7" x14ac:dyDescent="0.2">
      <c r="A25" t="s">
        <v>46</v>
      </c>
      <c r="B25" t="s">
        <v>76</v>
      </c>
      <c r="C25" t="s">
        <v>1120</v>
      </c>
      <c r="D25" t="s">
        <v>4</v>
      </c>
      <c r="E25" t="s">
        <v>3</v>
      </c>
      <c r="F25" t="s">
        <v>1782</v>
      </c>
      <c r="G25" t="s">
        <v>1783</v>
      </c>
    </row>
    <row r="26" spans="1:7" x14ac:dyDescent="0.2">
      <c r="A26" t="str">
        <f>A25</f>
        <v>E</v>
      </c>
      <c r="B26" t="str">
        <f>B25</f>
        <v>SU 01M</v>
      </c>
      <c r="C26" s="2" t="str">
        <f>CONCATENATE(LEFT(C25,6),"R",MID(C25,8,1),0)</f>
        <v>24GS00R00</v>
      </c>
      <c r="D26" t="s">
        <v>14</v>
      </c>
      <c r="E26" t="s">
        <v>15</v>
      </c>
      <c r="F26" t="str">
        <f>F25</f>
        <v>S01MA24</v>
      </c>
      <c r="G26" t="str">
        <f>G25</f>
        <v>SU2411</v>
      </c>
    </row>
    <row r="27" spans="1:7" x14ac:dyDescent="0.2">
      <c r="A27" t="s">
        <v>23</v>
      </c>
      <c r="B27" t="s">
        <v>83</v>
      </c>
      <c r="C27" t="s">
        <v>1880</v>
      </c>
      <c r="D27" t="s">
        <v>4</v>
      </c>
      <c r="E27" t="s">
        <v>3</v>
      </c>
      <c r="F27" t="s">
        <v>1878</v>
      </c>
      <c r="G27" t="s">
        <v>1783</v>
      </c>
    </row>
    <row r="28" spans="1:7" x14ac:dyDescent="0.2">
      <c r="A28" t="str">
        <f>A27</f>
        <v>C</v>
      </c>
      <c r="B28" t="str">
        <f>B27</f>
        <v>SU 08M</v>
      </c>
      <c r="C28" s="2" t="str">
        <f>CONCATENATE(LEFT(C27,6),"C",RIGHT(C27,2))</f>
        <v>24GS01C43</v>
      </c>
      <c r="D28" t="s">
        <v>4</v>
      </c>
      <c r="E28" t="s">
        <v>12</v>
      </c>
      <c r="F28" t="str">
        <f>F27</f>
        <v>S08MA24</v>
      </c>
      <c r="G28" t="str">
        <f>G27</f>
        <v>SU2411</v>
      </c>
    </row>
    <row r="29" spans="1:7" x14ac:dyDescent="0.2">
      <c r="A29" t="s">
        <v>61</v>
      </c>
      <c r="B29" t="s">
        <v>92</v>
      </c>
      <c r="C29" t="s">
        <v>2004</v>
      </c>
      <c r="D29" t="s">
        <v>4</v>
      </c>
      <c r="E29" t="s">
        <v>3</v>
      </c>
      <c r="F29" t="s">
        <v>2002</v>
      </c>
      <c r="G29" t="s">
        <v>1783</v>
      </c>
    </row>
    <row r="30" spans="1:7" x14ac:dyDescent="0.2">
      <c r="A30" t="str">
        <f>A29</f>
        <v>W</v>
      </c>
      <c r="B30" t="str">
        <f>B29</f>
        <v>SU 17M</v>
      </c>
      <c r="C30" s="2" t="str">
        <f>CONCATENATE(LEFT(C29,6),"T",RIGHT(C29,2))</f>
        <v>24GS03T23</v>
      </c>
      <c r="D30" t="s">
        <v>4</v>
      </c>
      <c r="E30" t="s">
        <v>12</v>
      </c>
      <c r="F30" t="str">
        <f>F29</f>
        <v>S17MA24</v>
      </c>
      <c r="G30" t="str">
        <f>G29</f>
        <v>SU2411</v>
      </c>
    </row>
  </sheetData>
  <autoFilter ref="A1:G30" xr:uid="{D9748522-A5D4-4BEB-80DD-C4538E70ED6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73"/>
  <sheetViews>
    <sheetView workbookViewId="0">
      <pane ySplit="2" topLeftCell="A3" activePane="bottomLeft" state="frozen"/>
      <selection pane="bottomLeft" activeCell="B3" sqref="B3:E7"/>
    </sheetView>
  </sheetViews>
  <sheetFormatPr defaultRowHeight="12.75" x14ac:dyDescent="0.2"/>
  <cols>
    <col min="3" max="3" width="11.42578125" customWidth="1"/>
    <col min="11" max="11" width="13.140625" customWidth="1"/>
  </cols>
  <sheetData>
    <row r="1" spans="1:15" ht="15.75" x14ac:dyDescent="0.25">
      <c r="A1" s="60" t="s">
        <v>1028</v>
      </c>
      <c r="B1" s="60"/>
      <c r="C1" s="60"/>
      <c r="D1" s="60"/>
      <c r="E1" s="60"/>
      <c r="F1" s="60"/>
      <c r="G1" s="60"/>
      <c r="H1" s="37"/>
      <c r="I1" s="60" t="s">
        <v>1033</v>
      </c>
      <c r="J1" s="60"/>
      <c r="K1" s="60"/>
      <c r="L1" s="60"/>
      <c r="M1" s="60"/>
      <c r="N1" s="60"/>
      <c r="O1" s="60"/>
    </row>
    <row r="2" spans="1:15" s="12" customFormat="1" ht="25.5" x14ac:dyDescent="0.2">
      <c r="A2" s="11" t="s">
        <v>197</v>
      </c>
      <c r="B2" s="11" t="s">
        <v>95</v>
      </c>
      <c r="C2" s="11" t="s">
        <v>100</v>
      </c>
      <c r="D2" s="11" t="s">
        <v>198</v>
      </c>
      <c r="E2" s="11" t="s">
        <v>101</v>
      </c>
      <c r="F2" s="11" t="s">
        <v>114</v>
      </c>
      <c r="G2" s="11" t="s">
        <v>115</v>
      </c>
      <c r="I2" s="11" t="s">
        <v>197</v>
      </c>
      <c r="J2" s="11" t="s">
        <v>95</v>
      </c>
      <c r="K2" s="11" t="s">
        <v>100</v>
      </c>
      <c r="L2" s="11" t="s">
        <v>198</v>
      </c>
      <c r="M2" s="11" t="s">
        <v>101</v>
      </c>
      <c r="N2" s="11" t="s">
        <v>114</v>
      </c>
      <c r="O2" s="11" t="s">
        <v>115</v>
      </c>
    </row>
    <row r="3" spans="1:15" x14ac:dyDescent="0.2">
      <c r="A3" t="s">
        <v>0</v>
      </c>
      <c r="B3" t="s">
        <v>196</v>
      </c>
      <c r="C3" t="s">
        <v>1470</v>
      </c>
      <c r="D3" t="s">
        <v>1032</v>
      </c>
      <c r="E3" t="s">
        <v>3</v>
      </c>
      <c r="F3" t="s">
        <v>1467</v>
      </c>
      <c r="G3" t="s">
        <v>1281</v>
      </c>
      <c r="I3" s="2" t="s">
        <v>0</v>
      </c>
      <c r="J3" s="2" t="s">
        <v>196</v>
      </c>
      <c r="K3" s="2" t="s">
        <v>1471</v>
      </c>
      <c r="L3" s="2" t="s">
        <v>1032</v>
      </c>
      <c r="M3" s="2" t="s">
        <v>3</v>
      </c>
      <c r="N3" t="s">
        <v>1467</v>
      </c>
      <c r="O3" t="s">
        <v>1281</v>
      </c>
    </row>
    <row r="4" spans="1:15" x14ac:dyDescent="0.2">
      <c r="A4" t="s">
        <v>61</v>
      </c>
      <c r="B4" t="s">
        <v>65</v>
      </c>
      <c r="C4" t="s">
        <v>1078</v>
      </c>
      <c r="D4" t="s">
        <v>1032</v>
      </c>
      <c r="E4" t="s">
        <v>3</v>
      </c>
      <c r="F4" t="s">
        <v>1640</v>
      </c>
      <c r="G4" t="s">
        <v>1474</v>
      </c>
      <c r="I4" s="2" t="s">
        <v>61</v>
      </c>
      <c r="J4" s="2" t="s">
        <v>65</v>
      </c>
      <c r="K4" s="2" t="s">
        <v>1084</v>
      </c>
      <c r="L4" s="2" t="s">
        <v>1032</v>
      </c>
      <c r="M4" s="2" t="s">
        <v>3</v>
      </c>
      <c r="N4" t="s">
        <v>1640</v>
      </c>
      <c r="O4" t="s">
        <v>1474</v>
      </c>
    </row>
    <row r="5" spans="1:15" x14ac:dyDescent="0.2">
      <c r="A5" t="s">
        <v>61</v>
      </c>
      <c r="B5" t="s">
        <v>65</v>
      </c>
      <c r="C5" t="s">
        <v>1650</v>
      </c>
      <c r="D5" t="s">
        <v>1032</v>
      </c>
      <c r="E5" t="s">
        <v>7</v>
      </c>
      <c r="F5" t="s">
        <v>1640</v>
      </c>
      <c r="G5" t="s">
        <v>1474</v>
      </c>
      <c r="I5" s="2" t="s">
        <v>61</v>
      </c>
      <c r="J5" s="2" t="s">
        <v>65</v>
      </c>
      <c r="K5" s="2" t="s">
        <v>1651</v>
      </c>
      <c r="L5" s="2" t="s">
        <v>1032</v>
      </c>
      <c r="M5" s="2" t="s">
        <v>7</v>
      </c>
      <c r="N5" t="s">
        <v>1640</v>
      </c>
      <c r="O5" t="s">
        <v>1474</v>
      </c>
    </row>
    <row r="6" spans="1:15" x14ac:dyDescent="0.2">
      <c r="A6" t="s">
        <v>61</v>
      </c>
      <c r="B6" t="s">
        <v>66</v>
      </c>
      <c r="C6" t="s">
        <v>1077</v>
      </c>
      <c r="D6" t="s">
        <v>1032</v>
      </c>
      <c r="E6" t="s">
        <v>3</v>
      </c>
      <c r="F6" t="s">
        <v>1653</v>
      </c>
      <c r="G6" t="s">
        <v>1474</v>
      </c>
      <c r="I6" s="2" t="s">
        <v>61</v>
      </c>
      <c r="J6" s="2" t="s">
        <v>66</v>
      </c>
      <c r="K6" s="2" t="s">
        <v>1083</v>
      </c>
      <c r="L6" s="2" t="s">
        <v>1032</v>
      </c>
      <c r="M6" s="2" t="s">
        <v>3</v>
      </c>
      <c r="N6" t="s">
        <v>1653</v>
      </c>
      <c r="O6" t="s">
        <v>1474</v>
      </c>
    </row>
    <row r="7" spans="1:15" x14ac:dyDescent="0.2">
      <c r="A7" t="s">
        <v>61</v>
      </c>
      <c r="B7" t="s">
        <v>66</v>
      </c>
      <c r="C7" t="s">
        <v>1661</v>
      </c>
      <c r="D7" t="s">
        <v>1032</v>
      </c>
      <c r="E7" t="s">
        <v>12</v>
      </c>
      <c r="F7" t="s">
        <v>1653</v>
      </c>
      <c r="G7" t="s">
        <v>1474</v>
      </c>
      <c r="I7" s="2" t="s">
        <v>61</v>
      </c>
      <c r="J7" s="2" t="s">
        <v>66</v>
      </c>
      <c r="K7" s="2" t="s">
        <v>1662</v>
      </c>
      <c r="L7" s="2" t="s">
        <v>1032</v>
      </c>
      <c r="M7" s="2" t="s">
        <v>12</v>
      </c>
      <c r="N7" t="s">
        <v>1653</v>
      </c>
      <c r="O7" t="s">
        <v>1474</v>
      </c>
    </row>
    <row r="8" spans="1:15" x14ac:dyDescent="0.2">
      <c r="I8" s="2"/>
      <c r="J8" s="2"/>
      <c r="K8" s="2"/>
      <c r="L8" s="2"/>
      <c r="M8" s="2"/>
    </row>
    <row r="9" spans="1:15" x14ac:dyDescent="0.2">
      <c r="I9" s="2"/>
      <c r="J9" s="2"/>
      <c r="K9" s="2"/>
      <c r="L9" s="2"/>
      <c r="M9" s="2"/>
    </row>
    <row r="10" spans="1:15" x14ac:dyDescent="0.2">
      <c r="A10" s="2"/>
      <c r="B10" s="2"/>
      <c r="C10" s="2"/>
      <c r="D10" s="2"/>
      <c r="E10" s="2"/>
      <c r="I10" s="2"/>
      <c r="J10" s="2"/>
      <c r="K10" s="2"/>
      <c r="L10" s="2"/>
      <c r="M10" s="2"/>
    </row>
    <row r="11" spans="1:15" x14ac:dyDescent="0.2">
      <c r="A11" s="2"/>
      <c r="B11" s="2"/>
      <c r="C11" s="2"/>
      <c r="D11" s="2"/>
      <c r="E11" s="2"/>
      <c r="I11" s="2"/>
      <c r="J11" s="2"/>
      <c r="K11" s="2"/>
      <c r="L11" s="2"/>
      <c r="M11" s="2"/>
    </row>
    <row r="12" spans="1:15" x14ac:dyDescent="0.2">
      <c r="A12" s="2"/>
      <c r="B12" s="2"/>
      <c r="C12" s="2"/>
      <c r="D12" s="2"/>
      <c r="E12" s="2"/>
      <c r="I12" s="2"/>
      <c r="J12" s="2"/>
      <c r="K12" s="2"/>
      <c r="L12" s="2"/>
      <c r="M12" s="2"/>
    </row>
    <row r="13" spans="1:15" x14ac:dyDescent="0.2">
      <c r="A13" s="2"/>
      <c r="B13" s="2"/>
      <c r="C13" s="2"/>
      <c r="D13" s="2"/>
      <c r="E13" s="2"/>
      <c r="I13" s="2"/>
      <c r="J13" s="2"/>
      <c r="K13" s="2"/>
      <c r="L13" s="2"/>
      <c r="M13" s="2"/>
    </row>
    <row r="14" spans="1:15" x14ac:dyDescent="0.2">
      <c r="A14" s="2"/>
      <c r="B14" s="2"/>
      <c r="C14" s="2"/>
      <c r="D14" s="2"/>
      <c r="E14" s="2"/>
      <c r="I14" s="2"/>
      <c r="J14" s="2"/>
      <c r="K14" s="2"/>
      <c r="L14" s="2"/>
      <c r="M14" s="2"/>
    </row>
    <row r="15" spans="1:15" x14ac:dyDescent="0.2">
      <c r="A15" s="2"/>
      <c r="B15" s="2"/>
      <c r="C15" s="2"/>
      <c r="D15" s="2"/>
      <c r="E15" s="2"/>
      <c r="I15" s="2"/>
      <c r="J15" s="2"/>
      <c r="K15" s="2"/>
      <c r="L15" s="2"/>
      <c r="M15" s="2"/>
    </row>
    <row r="16" spans="1:15" x14ac:dyDescent="0.2">
      <c r="A16" s="2"/>
      <c r="B16" s="2"/>
      <c r="C16" s="2"/>
      <c r="D16" s="2"/>
      <c r="E16" s="2"/>
      <c r="I16" s="2"/>
      <c r="J16" s="2"/>
      <c r="K16" s="2"/>
      <c r="L16" s="2"/>
      <c r="M16" s="2"/>
    </row>
    <row r="17" spans="1:13" x14ac:dyDescent="0.2">
      <c r="A17" s="2"/>
      <c r="B17" s="2"/>
      <c r="C17" s="2"/>
      <c r="D17" s="2"/>
      <c r="E17" s="2"/>
      <c r="I17" s="2"/>
      <c r="J17" s="2"/>
      <c r="K17" s="2"/>
      <c r="L17" s="2"/>
      <c r="M17" s="2"/>
    </row>
    <row r="18" spans="1:13" x14ac:dyDescent="0.2">
      <c r="A18" s="2"/>
      <c r="B18" s="2"/>
      <c r="C18" s="2"/>
      <c r="D18" s="2"/>
      <c r="E18" s="2"/>
      <c r="I18" s="2"/>
      <c r="J18" s="2"/>
      <c r="K18" s="2"/>
      <c r="L18" s="2"/>
      <c r="M18" s="2"/>
    </row>
    <row r="19" spans="1:13" x14ac:dyDescent="0.2">
      <c r="A19" s="2"/>
      <c r="B19" s="2"/>
      <c r="C19" s="2"/>
      <c r="D19" s="2"/>
      <c r="E19" s="2"/>
      <c r="I19" s="2"/>
      <c r="J19" s="2"/>
      <c r="K19" s="2"/>
      <c r="L19" s="2"/>
      <c r="M19" s="2"/>
    </row>
    <row r="20" spans="1:13" x14ac:dyDescent="0.2">
      <c r="A20" s="2"/>
      <c r="B20" s="2"/>
      <c r="C20" s="2"/>
      <c r="D20" s="2"/>
      <c r="E20" s="2"/>
      <c r="I20" s="2"/>
      <c r="J20" s="2"/>
      <c r="K20" s="2"/>
      <c r="L20" s="2"/>
      <c r="M20" s="2"/>
    </row>
    <row r="21" spans="1:13" x14ac:dyDescent="0.2">
      <c r="A21" s="2"/>
      <c r="B21" s="2"/>
      <c r="C21" s="2"/>
      <c r="D21" s="2"/>
      <c r="E21" s="2"/>
      <c r="I21" s="2"/>
      <c r="J21" s="2"/>
      <c r="K21" s="2"/>
      <c r="L21" s="2"/>
      <c r="M21" s="2"/>
    </row>
    <row r="22" spans="1:13" x14ac:dyDescent="0.2">
      <c r="A22" s="2"/>
      <c r="B22" s="2"/>
      <c r="C22" s="2"/>
      <c r="D22" s="2"/>
      <c r="E22" s="2"/>
      <c r="I22" s="2"/>
      <c r="J22" s="2"/>
      <c r="K22" s="2"/>
      <c r="L22" s="2"/>
      <c r="M22" s="2"/>
    </row>
    <row r="23" spans="1:13" x14ac:dyDescent="0.2">
      <c r="A23" s="2"/>
      <c r="B23" s="2"/>
      <c r="C23" s="2"/>
      <c r="D23" s="2"/>
      <c r="E23" s="2"/>
      <c r="I23" s="2"/>
      <c r="J23" s="2"/>
      <c r="K23" s="2"/>
      <c r="L23" s="2"/>
      <c r="M23" s="2"/>
    </row>
    <row r="24" spans="1:13" x14ac:dyDescent="0.2">
      <c r="A24" s="2"/>
      <c r="B24" s="2"/>
      <c r="C24" s="2"/>
      <c r="D24" s="2"/>
      <c r="E24" s="2"/>
      <c r="I24" s="2"/>
      <c r="J24" s="2"/>
      <c r="K24" s="2"/>
      <c r="L24" s="2"/>
      <c r="M24" s="2"/>
    </row>
    <row r="25" spans="1:13" x14ac:dyDescent="0.2">
      <c r="A25" s="2"/>
      <c r="B25" s="2"/>
      <c r="C25" s="2"/>
      <c r="D25" s="2"/>
      <c r="E25" s="2"/>
      <c r="I25" s="2"/>
      <c r="J25" s="2"/>
      <c r="K25" s="2"/>
      <c r="L25" s="2"/>
      <c r="M25" s="2"/>
    </row>
    <row r="26" spans="1:13" x14ac:dyDescent="0.2">
      <c r="A26" s="2"/>
      <c r="B26" s="2"/>
      <c r="C26" s="2"/>
      <c r="D26" s="2"/>
      <c r="E26" s="2"/>
      <c r="I26" s="2"/>
      <c r="J26" s="2"/>
      <c r="K26" s="2"/>
      <c r="L26" s="2"/>
      <c r="M26" s="2"/>
    </row>
    <row r="27" spans="1:13" x14ac:dyDescent="0.2">
      <c r="A27" s="2"/>
      <c r="B27" s="2"/>
      <c r="C27" s="2"/>
      <c r="D27" s="2"/>
      <c r="E27" s="2"/>
      <c r="I27" s="2"/>
      <c r="J27" s="2"/>
      <c r="K27" s="2"/>
      <c r="L27" s="2"/>
      <c r="M27" s="2"/>
    </row>
    <row r="28" spans="1:13" x14ac:dyDescent="0.2">
      <c r="A28" s="2"/>
      <c r="B28" s="2"/>
      <c r="C28" s="2"/>
      <c r="D28" s="2"/>
      <c r="E28" s="2"/>
      <c r="I28" s="2"/>
      <c r="J28" s="2"/>
      <c r="K28" s="2"/>
      <c r="L28" s="2"/>
      <c r="M28" s="2"/>
    </row>
    <row r="29" spans="1:13" x14ac:dyDescent="0.2">
      <c r="A29" s="2"/>
      <c r="B29" s="2"/>
      <c r="C29" s="2"/>
      <c r="D29" s="2"/>
      <c r="E29" s="2"/>
      <c r="I29" s="2"/>
      <c r="J29" s="2"/>
      <c r="K29" s="2"/>
      <c r="L29" s="2"/>
      <c r="M29" s="2"/>
    </row>
    <row r="30" spans="1:13" x14ac:dyDescent="0.2">
      <c r="A30" s="2"/>
      <c r="B30" s="2"/>
      <c r="C30" s="2"/>
      <c r="D30" s="2"/>
      <c r="E30" s="2"/>
      <c r="I30" s="2"/>
      <c r="J30" s="2"/>
      <c r="K30" s="2"/>
      <c r="L30" s="2"/>
      <c r="M30" s="2"/>
    </row>
    <row r="31" spans="1:13" x14ac:dyDescent="0.2">
      <c r="A31" s="2"/>
      <c r="B31" s="2"/>
      <c r="C31" s="2"/>
      <c r="D31" s="2"/>
      <c r="E31" s="2"/>
      <c r="I31" s="2"/>
      <c r="J31" s="2"/>
      <c r="K31" s="2"/>
      <c r="L31" s="2"/>
      <c r="M31" s="2"/>
    </row>
    <row r="32" spans="1:13" x14ac:dyDescent="0.2">
      <c r="A32" s="2"/>
      <c r="B32" s="2"/>
      <c r="C32" s="2"/>
      <c r="D32" s="2"/>
      <c r="E32" s="2"/>
      <c r="I32" s="2"/>
      <c r="J32" s="2"/>
      <c r="K32" s="2"/>
      <c r="L32" s="2"/>
      <c r="M32" s="2"/>
    </row>
    <row r="33" spans="1:13" x14ac:dyDescent="0.2">
      <c r="A33" s="2"/>
      <c r="B33" s="2"/>
      <c r="C33" s="2"/>
      <c r="D33" s="2"/>
      <c r="E33" s="2"/>
      <c r="I33" s="2"/>
      <c r="J33" s="2"/>
      <c r="K33" s="2"/>
      <c r="L33" s="2"/>
      <c r="M33" s="2"/>
    </row>
    <row r="34" spans="1:13" x14ac:dyDescent="0.2">
      <c r="A34" s="2"/>
      <c r="B34" s="2"/>
      <c r="C34" s="2"/>
      <c r="D34" s="2"/>
      <c r="E34" s="2"/>
      <c r="I34" s="2"/>
      <c r="J34" s="2"/>
      <c r="K34" s="2"/>
      <c r="L34" s="2"/>
      <c r="M34" s="2"/>
    </row>
    <row r="35" spans="1:13" x14ac:dyDescent="0.2">
      <c r="A35" s="2"/>
      <c r="B35" s="2"/>
      <c r="C35" s="2"/>
      <c r="D35" s="2"/>
      <c r="E35" s="2"/>
      <c r="I35" s="2"/>
      <c r="J35" s="2"/>
      <c r="K35" s="2"/>
      <c r="L35" s="2"/>
      <c r="M35" s="2"/>
    </row>
    <row r="36" spans="1:13" x14ac:dyDescent="0.2">
      <c r="A36" s="2"/>
      <c r="B36" s="2"/>
      <c r="C36" s="2"/>
      <c r="D36" s="2"/>
      <c r="E36" s="2"/>
      <c r="I36" s="2"/>
      <c r="J36" s="2"/>
      <c r="K36" s="2"/>
      <c r="L36" s="2"/>
      <c r="M36" s="2"/>
    </row>
    <row r="37" spans="1:13" x14ac:dyDescent="0.2">
      <c r="A37" s="2"/>
      <c r="B37" s="2"/>
      <c r="C37" s="2"/>
      <c r="D37" s="2"/>
      <c r="E37" s="2"/>
      <c r="I37" s="2"/>
      <c r="J37" s="2"/>
      <c r="K37" s="2"/>
      <c r="L37" s="2"/>
      <c r="M37" s="2"/>
    </row>
    <row r="38" spans="1:13" x14ac:dyDescent="0.2">
      <c r="A38" s="2"/>
      <c r="B38" s="2"/>
      <c r="C38" s="2"/>
      <c r="D38" s="2"/>
      <c r="E38" s="2"/>
      <c r="I38" s="2"/>
      <c r="J38" s="2"/>
      <c r="K38" s="2"/>
      <c r="L38" s="2"/>
      <c r="M38" s="2"/>
    </row>
    <row r="39" spans="1:13" x14ac:dyDescent="0.2">
      <c r="A39" s="2"/>
      <c r="B39" s="2"/>
      <c r="C39" s="2"/>
      <c r="D39" s="2"/>
      <c r="E39" s="2"/>
      <c r="I39" s="2"/>
      <c r="J39" s="2"/>
      <c r="K39" s="2"/>
      <c r="L39" s="2"/>
      <c r="M39" s="2"/>
    </row>
    <row r="40" spans="1:13" x14ac:dyDescent="0.2">
      <c r="A40" s="2"/>
      <c r="B40" s="2"/>
      <c r="C40" s="2"/>
      <c r="D40" s="2"/>
      <c r="E40" s="2"/>
      <c r="I40" s="2"/>
      <c r="J40" s="2"/>
      <c r="K40" s="2"/>
      <c r="L40" s="2"/>
      <c r="M40" s="2"/>
    </row>
    <row r="41" spans="1:13" x14ac:dyDescent="0.2">
      <c r="A41" s="2"/>
      <c r="B41" s="2"/>
      <c r="C41" s="2"/>
      <c r="D41" s="2"/>
      <c r="E41" s="2"/>
      <c r="I41" s="2"/>
      <c r="J41" s="2"/>
      <c r="K41" s="2"/>
      <c r="L41" s="2"/>
      <c r="M41" s="2"/>
    </row>
    <row r="42" spans="1:13" x14ac:dyDescent="0.2">
      <c r="A42" s="2"/>
      <c r="B42" s="2"/>
      <c r="C42" s="2"/>
      <c r="D42" s="2"/>
      <c r="E42" s="2"/>
      <c r="I42" s="2"/>
      <c r="J42" s="2"/>
      <c r="K42" s="2"/>
      <c r="L42" s="2"/>
      <c r="M42" s="2"/>
    </row>
    <row r="43" spans="1:13" x14ac:dyDescent="0.2">
      <c r="A43" s="2"/>
      <c r="B43" s="2"/>
      <c r="C43" s="2"/>
      <c r="D43" s="2"/>
      <c r="E43" s="2"/>
      <c r="I43" s="2"/>
      <c r="J43" s="2"/>
      <c r="K43" s="2"/>
      <c r="L43" s="2"/>
      <c r="M43" s="2"/>
    </row>
    <row r="44" spans="1:13" x14ac:dyDescent="0.2">
      <c r="A44" s="2"/>
      <c r="B44" s="2"/>
      <c r="C44" s="2"/>
      <c r="D44" s="2"/>
      <c r="E44" s="2"/>
      <c r="I44" s="2"/>
      <c r="J44" s="2"/>
      <c r="K44" s="2"/>
      <c r="L44" s="2"/>
      <c r="M44" s="2"/>
    </row>
    <row r="45" spans="1:13" x14ac:dyDescent="0.2">
      <c r="A45" s="2"/>
      <c r="B45" s="2"/>
      <c r="C45" s="2"/>
      <c r="D45" s="2"/>
      <c r="E45" s="2"/>
      <c r="I45" s="2"/>
      <c r="J45" s="2"/>
      <c r="K45" s="2"/>
      <c r="L45" s="2"/>
      <c r="M45" s="2"/>
    </row>
    <row r="46" spans="1:13" x14ac:dyDescent="0.2">
      <c r="A46" s="2"/>
      <c r="B46" s="2"/>
      <c r="C46" s="2"/>
      <c r="D46" s="2"/>
      <c r="E46" s="2"/>
      <c r="I46" s="2"/>
      <c r="J46" s="2"/>
      <c r="K46" s="2"/>
      <c r="L46" s="2"/>
      <c r="M46" s="2"/>
    </row>
    <row r="47" spans="1:13" x14ac:dyDescent="0.2">
      <c r="A47" s="2"/>
      <c r="B47" s="2"/>
      <c r="C47" s="2"/>
      <c r="D47" s="2"/>
      <c r="E47" s="2"/>
      <c r="I47" s="2"/>
      <c r="J47" s="2"/>
      <c r="K47" s="2"/>
      <c r="L47" s="2"/>
      <c r="M47" s="2"/>
    </row>
    <row r="48" spans="1:13" x14ac:dyDescent="0.2">
      <c r="A48" s="2"/>
      <c r="B48" s="2"/>
      <c r="C48" s="2"/>
      <c r="D48" s="2"/>
      <c r="E48" s="2"/>
      <c r="I48" s="2"/>
      <c r="J48" s="2"/>
      <c r="K48" s="2"/>
      <c r="L48" s="2"/>
      <c r="M48" s="2"/>
    </row>
    <row r="49" spans="1:13" x14ac:dyDescent="0.2">
      <c r="A49" s="2"/>
      <c r="B49" s="2"/>
      <c r="C49" s="2"/>
      <c r="D49" s="2"/>
      <c r="E49" s="2"/>
      <c r="I49" s="2"/>
      <c r="J49" s="2"/>
      <c r="K49" s="2"/>
      <c r="L49" s="2"/>
      <c r="M49" s="2"/>
    </row>
    <row r="50" spans="1:13" x14ac:dyDescent="0.2">
      <c r="A50" s="2"/>
      <c r="B50" s="2"/>
      <c r="C50" s="2"/>
      <c r="D50" s="2"/>
      <c r="E50" s="2"/>
      <c r="I50" s="2"/>
      <c r="J50" s="2"/>
      <c r="K50" s="2"/>
      <c r="L50" s="2"/>
      <c r="M50" s="2"/>
    </row>
    <row r="51" spans="1:13" x14ac:dyDescent="0.2">
      <c r="A51" s="2"/>
      <c r="B51" s="2"/>
      <c r="C51" s="2"/>
      <c r="D51" s="2"/>
      <c r="E51" s="2"/>
      <c r="I51" s="2"/>
      <c r="J51" s="2"/>
      <c r="K51" s="2"/>
      <c r="L51" s="2"/>
      <c r="M51" s="2"/>
    </row>
    <row r="52" spans="1:13" x14ac:dyDescent="0.2">
      <c r="A52" s="2"/>
      <c r="B52" s="2"/>
      <c r="C52" s="2"/>
      <c r="D52" s="2"/>
      <c r="E52" s="2"/>
      <c r="I52" s="2"/>
      <c r="J52" s="2"/>
      <c r="K52" s="2"/>
      <c r="L52" s="2"/>
      <c r="M52" s="2"/>
    </row>
    <row r="53" spans="1:13" x14ac:dyDescent="0.2">
      <c r="A53" s="2"/>
      <c r="B53" s="2"/>
      <c r="C53" s="2"/>
      <c r="D53" s="2"/>
      <c r="E53" s="2"/>
      <c r="I53" s="2"/>
      <c r="J53" s="2"/>
      <c r="K53" s="2"/>
      <c r="L53" s="2"/>
      <c r="M53" s="2"/>
    </row>
    <row r="54" spans="1:13" x14ac:dyDescent="0.2">
      <c r="A54" s="2"/>
      <c r="B54" s="2"/>
      <c r="C54" s="2"/>
      <c r="D54" s="2"/>
      <c r="E54" s="2"/>
      <c r="I54" s="2"/>
      <c r="J54" s="2"/>
      <c r="K54" s="2"/>
      <c r="L54" s="2"/>
      <c r="M54" s="2"/>
    </row>
    <row r="55" spans="1:13" x14ac:dyDescent="0.2">
      <c r="A55" s="2"/>
      <c r="B55" s="2"/>
      <c r="C55" s="2"/>
      <c r="D55" s="2"/>
      <c r="E55" s="2"/>
      <c r="I55" s="2"/>
      <c r="J55" s="2"/>
      <c r="K55" s="2"/>
      <c r="L55" s="2"/>
      <c r="M55" s="2"/>
    </row>
    <row r="56" spans="1:13" x14ac:dyDescent="0.2">
      <c r="A56" s="2"/>
      <c r="B56" s="2"/>
      <c r="C56" s="2"/>
      <c r="D56" s="2"/>
      <c r="E56" s="2"/>
      <c r="I56" s="2"/>
      <c r="J56" s="2"/>
      <c r="K56" s="2"/>
      <c r="L56" s="2"/>
      <c r="M56" s="2"/>
    </row>
    <row r="57" spans="1:13" x14ac:dyDescent="0.2">
      <c r="A57" s="2"/>
      <c r="B57" s="2"/>
      <c r="C57" s="2"/>
      <c r="D57" s="2"/>
      <c r="E57" s="2"/>
      <c r="I57" s="2"/>
      <c r="J57" s="2"/>
      <c r="K57" s="2"/>
      <c r="L57" s="2"/>
      <c r="M57" s="2"/>
    </row>
    <row r="58" spans="1:13" x14ac:dyDescent="0.2">
      <c r="A58" s="2"/>
      <c r="B58" s="2"/>
      <c r="C58" s="2"/>
      <c r="D58" s="2"/>
      <c r="E58" s="2"/>
      <c r="I58" s="2"/>
      <c r="J58" s="2"/>
      <c r="K58" s="2"/>
      <c r="L58" s="2"/>
      <c r="M58" s="2"/>
    </row>
    <row r="59" spans="1:13" x14ac:dyDescent="0.2">
      <c r="A59" s="2"/>
      <c r="B59" s="2"/>
      <c r="C59" s="2"/>
      <c r="D59" s="2"/>
      <c r="E59" s="2"/>
      <c r="I59" s="2"/>
      <c r="J59" s="2"/>
      <c r="K59" s="2"/>
      <c r="L59" s="2"/>
      <c r="M59" s="2"/>
    </row>
    <row r="60" spans="1:13" x14ac:dyDescent="0.2">
      <c r="A60" s="2"/>
      <c r="B60" s="2"/>
      <c r="C60" s="2"/>
      <c r="D60" s="2"/>
      <c r="E60" s="2"/>
      <c r="I60" s="2"/>
      <c r="J60" s="2"/>
      <c r="K60" s="2"/>
      <c r="L60" s="2"/>
      <c r="M60" s="2"/>
    </row>
    <row r="61" spans="1:13" x14ac:dyDescent="0.2">
      <c r="A61" s="2"/>
      <c r="B61" s="2"/>
      <c r="C61" s="2"/>
      <c r="D61" s="2"/>
      <c r="E61" s="2"/>
      <c r="I61" s="2"/>
      <c r="J61" s="2"/>
      <c r="K61" s="2"/>
      <c r="L61" s="2"/>
      <c r="M61" s="2"/>
    </row>
    <row r="62" spans="1:13" x14ac:dyDescent="0.2">
      <c r="A62" s="2"/>
      <c r="B62" s="2"/>
      <c r="C62" s="2"/>
      <c r="D62" s="2"/>
      <c r="E62" s="2"/>
      <c r="I62" s="2"/>
      <c r="J62" s="2"/>
      <c r="K62" s="2"/>
      <c r="L62" s="2"/>
      <c r="M62" s="2"/>
    </row>
    <row r="63" spans="1:13" x14ac:dyDescent="0.2">
      <c r="A63" s="2"/>
      <c r="B63" s="2"/>
      <c r="C63" s="2"/>
      <c r="D63" s="2"/>
      <c r="E63" s="2"/>
      <c r="I63" s="2"/>
      <c r="J63" s="2"/>
      <c r="K63" s="2"/>
      <c r="L63" s="2"/>
      <c r="M63" s="2"/>
    </row>
    <row r="64" spans="1:13" x14ac:dyDescent="0.2">
      <c r="A64" s="2"/>
      <c r="B64" s="2"/>
      <c r="C64" s="2"/>
      <c r="D64" s="2"/>
      <c r="E64" s="2"/>
      <c r="I64" s="2"/>
      <c r="J64" s="2"/>
      <c r="K64" s="2"/>
      <c r="L64" s="2"/>
      <c r="M64" s="2"/>
    </row>
    <row r="65" spans="1:13" x14ac:dyDescent="0.2">
      <c r="A65" s="2"/>
      <c r="B65" s="2"/>
      <c r="C65" s="2"/>
      <c r="D65" s="2"/>
      <c r="E65" s="2"/>
      <c r="I65" s="2"/>
      <c r="J65" s="2"/>
      <c r="K65" s="2"/>
      <c r="L65" s="2"/>
      <c r="M65" s="2"/>
    </row>
    <row r="66" spans="1:13" x14ac:dyDescent="0.2">
      <c r="A66" s="2"/>
      <c r="B66" s="2"/>
      <c r="C66" s="2"/>
      <c r="D66" s="2"/>
      <c r="E66" s="2"/>
      <c r="I66" s="2"/>
      <c r="J66" s="2"/>
      <c r="K66" s="2"/>
      <c r="L66" s="2"/>
      <c r="M66" s="2"/>
    </row>
    <row r="67" spans="1:13" x14ac:dyDescent="0.2">
      <c r="A67" s="2"/>
      <c r="B67" s="2"/>
      <c r="C67" s="2"/>
      <c r="D67" s="2"/>
      <c r="E67" s="2"/>
      <c r="I67" s="2"/>
      <c r="J67" s="2"/>
      <c r="K67" s="2"/>
      <c r="L67" s="2"/>
      <c r="M67" s="2"/>
    </row>
    <row r="68" spans="1:13" x14ac:dyDescent="0.2">
      <c r="A68" s="2"/>
      <c r="B68" s="2"/>
      <c r="C68" s="2"/>
      <c r="D68" s="2"/>
      <c r="E68" s="2"/>
      <c r="I68" s="2"/>
      <c r="J68" s="2"/>
      <c r="K68" s="2"/>
      <c r="L68" s="2"/>
      <c r="M68" s="2"/>
    </row>
    <row r="69" spans="1:13" x14ac:dyDescent="0.2">
      <c r="A69" s="2"/>
      <c r="B69" s="2"/>
      <c r="C69" s="2"/>
      <c r="D69" s="2"/>
      <c r="E69" s="2"/>
      <c r="I69" s="2"/>
      <c r="J69" s="2"/>
      <c r="K69" s="2"/>
      <c r="L69" s="2"/>
      <c r="M69" s="2"/>
    </row>
    <row r="70" spans="1:13" x14ac:dyDescent="0.2">
      <c r="A70" s="2"/>
      <c r="B70" s="2"/>
      <c r="C70" s="2"/>
      <c r="D70" s="2"/>
      <c r="E70" s="2"/>
      <c r="I70" s="2"/>
      <c r="J70" s="2"/>
      <c r="K70" s="2"/>
      <c r="L70" s="2"/>
      <c r="M70" s="2"/>
    </row>
    <row r="71" spans="1:13" x14ac:dyDescent="0.2">
      <c r="A71" s="2"/>
      <c r="B71" s="2"/>
      <c r="C71" s="2"/>
      <c r="D71" s="2"/>
      <c r="E71" s="2"/>
      <c r="I71" s="2"/>
      <c r="J71" s="2"/>
      <c r="K71" s="2"/>
      <c r="L71" s="2"/>
      <c r="M71" s="2"/>
    </row>
    <row r="72" spans="1:13" x14ac:dyDescent="0.2">
      <c r="A72" s="2"/>
      <c r="B72" s="2"/>
      <c r="C72" s="2"/>
      <c r="D72" s="2"/>
      <c r="E72" s="2"/>
      <c r="I72" s="2"/>
      <c r="J72" s="2"/>
      <c r="K72" s="2"/>
      <c r="L72" s="2"/>
      <c r="M72" s="2"/>
    </row>
    <row r="73" spans="1:13" x14ac:dyDescent="0.2">
      <c r="A73" s="2"/>
      <c r="B73" s="2"/>
      <c r="C73" s="2"/>
      <c r="D73" s="2"/>
      <c r="E73" s="2"/>
      <c r="I73" s="2"/>
      <c r="J73" s="2"/>
      <c r="K73" s="2"/>
      <c r="L73" s="2"/>
      <c r="M73" s="2"/>
    </row>
  </sheetData>
  <mergeCells count="2">
    <mergeCell ref="A1:G1"/>
    <mergeCell ref="I1:O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21"/>
  <sheetViews>
    <sheetView zoomScaleNormal="100" workbookViewId="0">
      <pane ySplit="1" topLeftCell="A2" activePane="bottomLeft" state="frozen"/>
      <selection pane="bottomLeft" activeCell="B113" sqref="B2:E113"/>
    </sheetView>
  </sheetViews>
  <sheetFormatPr defaultRowHeight="12.75" x14ac:dyDescent="0.2"/>
  <cols>
    <col min="3" max="3" width="12.42578125" customWidth="1"/>
    <col min="4" max="4" width="14" customWidth="1"/>
  </cols>
  <sheetData>
    <row r="1" spans="1:7" x14ac:dyDescent="0.2">
      <c r="A1" s="11" t="s">
        <v>197</v>
      </c>
      <c r="B1" s="11" t="s">
        <v>95</v>
      </c>
      <c r="C1" s="11" t="s">
        <v>100</v>
      </c>
      <c r="D1" s="11" t="s">
        <v>198</v>
      </c>
      <c r="E1" s="11" t="s">
        <v>101</v>
      </c>
      <c r="F1" s="11" t="s">
        <v>114</v>
      </c>
      <c r="G1" s="11" t="s">
        <v>115</v>
      </c>
    </row>
    <row r="2" spans="1:7" x14ac:dyDescent="0.2">
      <c r="A2" t="s">
        <v>0</v>
      </c>
      <c r="B2" t="s">
        <v>1</v>
      </c>
      <c r="C2" t="s">
        <v>1141</v>
      </c>
      <c r="D2" t="s">
        <v>1034</v>
      </c>
      <c r="E2" t="s">
        <v>3</v>
      </c>
      <c r="F2" t="s">
        <v>1129</v>
      </c>
      <c r="G2" t="s">
        <v>1130</v>
      </c>
    </row>
    <row r="3" spans="1:7" x14ac:dyDescent="0.2">
      <c r="A3" t="s">
        <v>0</v>
      </c>
      <c r="B3" t="s">
        <v>1</v>
      </c>
      <c r="C3" t="s">
        <v>1142</v>
      </c>
      <c r="D3" t="s">
        <v>1034</v>
      </c>
      <c r="E3" t="s">
        <v>19</v>
      </c>
      <c r="F3" t="s">
        <v>1129</v>
      </c>
      <c r="G3" t="s">
        <v>1130</v>
      </c>
    </row>
    <row r="4" spans="1:7" x14ac:dyDescent="0.2">
      <c r="A4" t="s">
        <v>0</v>
      </c>
      <c r="B4" t="s">
        <v>11</v>
      </c>
      <c r="C4" t="s">
        <v>1154</v>
      </c>
      <c r="D4" t="s">
        <v>1034</v>
      </c>
      <c r="E4" t="s">
        <v>3</v>
      </c>
      <c r="F4" t="s">
        <v>1144</v>
      </c>
      <c r="G4" t="s">
        <v>1130</v>
      </c>
    </row>
    <row r="5" spans="1:7" x14ac:dyDescent="0.2">
      <c r="A5" t="s">
        <v>0</v>
      </c>
      <c r="B5" t="s">
        <v>11</v>
      </c>
      <c r="C5" t="s">
        <v>1155</v>
      </c>
      <c r="D5" t="s">
        <v>1034</v>
      </c>
      <c r="E5" t="s">
        <v>19</v>
      </c>
      <c r="F5" t="s">
        <v>1144</v>
      </c>
      <c r="G5" t="s">
        <v>1130</v>
      </c>
    </row>
    <row r="6" spans="1:7" x14ac:dyDescent="0.2">
      <c r="A6" t="s">
        <v>0</v>
      </c>
      <c r="B6" t="s">
        <v>13</v>
      </c>
      <c r="C6" t="s">
        <v>1169</v>
      </c>
      <c r="D6" t="s">
        <v>1034</v>
      </c>
      <c r="E6" t="s">
        <v>3</v>
      </c>
      <c r="F6" t="s">
        <v>1157</v>
      </c>
      <c r="G6" t="s">
        <v>1130</v>
      </c>
    </row>
    <row r="7" spans="1:7" x14ac:dyDescent="0.2">
      <c r="A7" t="s">
        <v>0</v>
      </c>
      <c r="B7" t="s">
        <v>13</v>
      </c>
      <c r="C7" t="s">
        <v>1170</v>
      </c>
      <c r="D7" t="s">
        <v>1034</v>
      </c>
      <c r="E7" t="s">
        <v>19</v>
      </c>
      <c r="F7" t="s">
        <v>1157</v>
      </c>
      <c r="G7" t="s">
        <v>1130</v>
      </c>
    </row>
    <row r="8" spans="1:7" x14ac:dyDescent="0.2">
      <c r="A8" t="s">
        <v>0</v>
      </c>
      <c r="B8" t="s">
        <v>21</v>
      </c>
      <c r="C8" t="s">
        <v>1182</v>
      </c>
      <c r="D8" t="s">
        <v>1034</v>
      </c>
      <c r="E8" t="s">
        <v>3</v>
      </c>
      <c r="F8" t="s">
        <v>1172</v>
      </c>
      <c r="G8" t="s">
        <v>1130</v>
      </c>
    </row>
    <row r="9" spans="1:7" x14ac:dyDescent="0.2">
      <c r="A9" t="s">
        <v>0</v>
      </c>
      <c r="B9" t="s">
        <v>21</v>
      </c>
      <c r="C9" t="s">
        <v>1183</v>
      </c>
      <c r="D9" t="s">
        <v>1034</v>
      </c>
      <c r="E9" t="s">
        <v>19</v>
      </c>
      <c r="F9" t="s">
        <v>1172</v>
      </c>
      <c r="G9" t="s">
        <v>1130</v>
      </c>
    </row>
    <row r="10" spans="1:7" x14ac:dyDescent="0.2">
      <c r="A10" t="s">
        <v>0</v>
      </c>
      <c r="B10" t="s">
        <v>22</v>
      </c>
      <c r="C10" t="s">
        <v>1195</v>
      </c>
      <c r="D10" t="s">
        <v>1034</v>
      </c>
      <c r="E10" t="s">
        <v>3</v>
      </c>
      <c r="F10" t="s">
        <v>1185</v>
      </c>
      <c r="G10" t="s">
        <v>1130</v>
      </c>
    </row>
    <row r="11" spans="1:7" x14ac:dyDescent="0.2">
      <c r="A11" t="s">
        <v>0</v>
      </c>
      <c r="B11" t="s">
        <v>22</v>
      </c>
      <c r="C11" t="s">
        <v>1196</v>
      </c>
      <c r="D11" t="s">
        <v>1034</v>
      </c>
      <c r="E11" t="s">
        <v>19</v>
      </c>
      <c r="F11" t="s">
        <v>1185</v>
      </c>
      <c r="G11" t="s">
        <v>1130</v>
      </c>
    </row>
    <row r="12" spans="1:7" x14ac:dyDescent="0.2">
      <c r="A12" t="s">
        <v>23</v>
      </c>
      <c r="B12" t="s">
        <v>24</v>
      </c>
      <c r="C12" t="s">
        <v>1209</v>
      </c>
      <c r="D12" t="s">
        <v>1034</v>
      </c>
      <c r="E12" t="s">
        <v>3</v>
      </c>
      <c r="F12" t="s">
        <v>1197</v>
      </c>
      <c r="G12" t="s">
        <v>1130</v>
      </c>
    </row>
    <row r="13" spans="1:7" x14ac:dyDescent="0.2">
      <c r="A13" t="s">
        <v>23</v>
      </c>
      <c r="B13" t="s">
        <v>24</v>
      </c>
      <c r="C13" t="s">
        <v>1210</v>
      </c>
      <c r="D13" t="s">
        <v>1034</v>
      </c>
      <c r="E13" t="s">
        <v>19</v>
      </c>
      <c r="F13" t="s">
        <v>1197</v>
      </c>
      <c r="G13" t="s">
        <v>1130</v>
      </c>
    </row>
    <row r="14" spans="1:7" x14ac:dyDescent="0.2">
      <c r="A14" t="s">
        <v>23</v>
      </c>
      <c r="B14" t="s">
        <v>25</v>
      </c>
      <c r="C14" t="s">
        <v>1222</v>
      </c>
      <c r="D14" t="s">
        <v>1034</v>
      </c>
      <c r="E14" t="s">
        <v>3</v>
      </c>
      <c r="F14" t="s">
        <v>1212</v>
      </c>
      <c r="G14" t="s">
        <v>1130</v>
      </c>
    </row>
    <row r="15" spans="1:7" x14ac:dyDescent="0.2">
      <c r="A15" t="s">
        <v>23</v>
      </c>
      <c r="B15" t="s">
        <v>25</v>
      </c>
      <c r="C15" t="s">
        <v>1223</v>
      </c>
      <c r="D15" t="s">
        <v>1034</v>
      </c>
      <c r="E15" t="s">
        <v>19</v>
      </c>
      <c r="F15" t="s">
        <v>1212</v>
      </c>
      <c r="G15" t="s">
        <v>1130</v>
      </c>
    </row>
    <row r="16" spans="1:7" x14ac:dyDescent="0.2">
      <c r="A16" t="s">
        <v>23</v>
      </c>
      <c r="B16" t="s">
        <v>26</v>
      </c>
      <c r="C16" t="s">
        <v>1235</v>
      </c>
      <c r="D16" t="s">
        <v>1034</v>
      </c>
      <c r="E16" t="s">
        <v>3</v>
      </c>
      <c r="F16" t="s">
        <v>1225</v>
      </c>
      <c r="G16" t="s">
        <v>1130</v>
      </c>
    </row>
    <row r="17" spans="1:7" x14ac:dyDescent="0.2">
      <c r="A17" t="s">
        <v>23</v>
      </c>
      <c r="B17" t="s">
        <v>26</v>
      </c>
      <c r="C17" t="s">
        <v>1236</v>
      </c>
      <c r="D17" t="s">
        <v>1034</v>
      </c>
      <c r="E17" t="s">
        <v>19</v>
      </c>
      <c r="F17" t="s">
        <v>1225</v>
      </c>
      <c r="G17" t="s">
        <v>1130</v>
      </c>
    </row>
    <row r="18" spans="1:7" x14ac:dyDescent="0.2">
      <c r="A18" t="s">
        <v>27</v>
      </c>
      <c r="B18" t="s">
        <v>28</v>
      </c>
      <c r="C18" t="s">
        <v>1247</v>
      </c>
      <c r="D18" t="s">
        <v>1034</v>
      </c>
      <c r="E18" t="s">
        <v>3</v>
      </c>
      <c r="F18" t="s">
        <v>1238</v>
      </c>
      <c r="G18" t="s">
        <v>1130</v>
      </c>
    </row>
    <row r="19" spans="1:7" x14ac:dyDescent="0.2">
      <c r="A19" t="s">
        <v>27</v>
      </c>
      <c r="B19" t="s">
        <v>28</v>
      </c>
      <c r="C19" t="s">
        <v>1248</v>
      </c>
      <c r="D19" t="s">
        <v>1034</v>
      </c>
      <c r="E19" t="s">
        <v>19</v>
      </c>
      <c r="F19" t="s">
        <v>1238</v>
      </c>
      <c r="G19" t="s">
        <v>1130</v>
      </c>
    </row>
    <row r="20" spans="1:7" x14ac:dyDescent="0.2">
      <c r="A20" t="s">
        <v>27</v>
      </c>
      <c r="B20" t="s">
        <v>29</v>
      </c>
      <c r="C20" t="s">
        <v>1264</v>
      </c>
      <c r="D20" t="s">
        <v>1034</v>
      </c>
      <c r="E20" t="s">
        <v>3</v>
      </c>
      <c r="F20" t="s">
        <v>1250</v>
      </c>
      <c r="G20" t="s">
        <v>1130</v>
      </c>
    </row>
    <row r="21" spans="1:7" x14ac:dyDescent="0.2">
      <c r="A21" t="s">
        <v>27</v>
      </c>
      <c r="B21" t="s">
        <v>29</v>
      </c>
      <c r="C21" t="s">
        <v>1265</v>
      </c>
      <c r="D21" t="s">
        <v>1034</v>
      </c>
      <c r="E21" t="s">
        <v>19</v>
      </c>
      <c r="F21" t="s">
        <v>1250</v>
      </c>
      <c r="G21" t="s">
        <v>1130</v>
      </c>
    </row>
    <row r="22" spans="1:7" x14ac:dyDescent="0.2">
      <c r="A22" t="s">
        <v>27</v>
      </c>
      <c r="B22" t="s">
        <v>31</v>
      </c>
      <c r="C22" t="s">
        <v>1277</v>
      </c>
      <c r="D22" t="s">
        <v>1034</v>
      </c>
      <c r="E22" t="s">
        <v>3</v>
      </c>
      <c r="F22" t="s">
        <v>1267</v>
      </c>
      <c r="G22" t="s">
        <v>1130</v>
      </c>
    </row>
    <row r="23" spans="1:7" x14ac:dyDescent="0.2">
      <c r="A23" t="s">
        <v>27</v>
      </c>
      <c r="B23" t="s">
        <v>31</v>
      </c>
      <c r="C23" t="s">
        <v>1278</v>
      </c>
      <c r="D23" t="s">
        <v>1034</v>
      </c>
      <c r="E23" t="s">
        <v>19</v>
      </c>
      <c r="F23" t="s">
        <v>1267</v>
      </c>
      <c r="G23" t="s">
        <v>1130</v>
      </c>
    </row>
    <row r="24" spans="1:7" x14ac:dyDescent="0.2">
      <c r="A24" t="s">
        <v>0</v>
      </c>
      <c r="B24" t="s">
        <v>32</v>
      </c>
      <c r="C24" t="s">
        <v>1291</v>
      </c>
      <c r="D24" t="s">
        <v>1034</v>
      </c>
      <c r="E24" t="s">
        <v>3</v>
      </c>
      <c r="F24" t="s">
        <v>1280</v>
      </c>
      <c r="G24" t="s">
        <v>1281</v>
      </c>
    </row>
    <row r="25" spans="1:7" x14ac:dyDescent="0.2">
      <c r="A25" t="s">
        <v>0</v>
      </c>
      <c r="B25" t="s">
        <v>32</v>
      </c>
      <c r="C25" t="s">
        <v>1292</v>
      </c>
      <c r="D25" t="s">
        <v>1034</v>
      </c>
      <c r="E25" t="s">
        <v>19</v>
      </c>
      <c r="F25" t="s">
        <v>1280</v>
      </c>
      <c r="G25" t="s">
        <v>1281</v>
      </c>
    </row>
    <row r="26" spans="1:7" x14ac:dyDescent="0.2">
      <c r="A26" t="s">
        <v>0</v>
      </c>
      <c r="B26" t="s">
        <v>33</v>
      </c>
      <c r="C26" t="s">
        <v>1304</v>
      </c>
      <c r="D26" t="s">
        <v>1034</v>
      </c>
      <c r="E26" t="s">
        <v>3</v>
      </c>
      <c r="F26" t="s">
        <v>1294</v>
      </c>
      <c r="G26" t="s">
        <v>1281</v>
      </c>
    </row>
    <row r="27" spans="1:7" x14ac:dyDescent="0.2">
      <c r="A27" t="s">
        <v>0</v>
      </c>
      <c r="B27" t="s">
        <v>33</v>
      </c>
      <c r="C27" t="s">
        <v>1305</v>
      </c>
      <c r="D27" t="s">
        <v>1034</v>
      </c>
      <c r="E27" t="s">
        <v>19</v>
      </c>
      <c r="F27" t="s">
        <v>1294</v>
      </c>
      <c r="G27" t="s">
        <v>1281</v>
      </c>
    </row>
    <row r="28" spans="1:7" x14ac:dyDescent="0.2">
      <c r="A28" t="s">
        <v>0</v>
      </c>
      <c r="B28" t="s">
        <v>34</v>
      </c>
      <c r="C28" t="s">
        <v>1316</v>
      </c>
      <c r="D28" t="s">
        <v>1034</v>
      </c>
      <c r="E28" t="s">
        <v>3</v>
      </c>
      <c r="F28" t="s">
        <v>1307</v>
      </c>
      <c r="G28" t="s">
        <v>1281</v>
      </c>
    </row>
    <row r="29" spans="1:7" x14ac:dyDescent="0.2">
      <c r="A29" t="s">
        <v>0</v>
      </c>
      <c r="B29" t="s">
        <v>34</v>
      </c>
      <c r="C29" t="s">
        <v>1317</v>
      </c>
      <c r="D29" t="s">
        <v>1034</v>
      </c>
      <c r="E29" t="s">
        <v>19</v>
      </c>
      <c r="F29" t="s">
        <v>1307</v>
      </c>
      <c r="G29" t="s">
        <v>1281</v>
      </c>
    </row>
    <row r="30" spans="1:7" x14ac:dyDescent="0.2">
      <c r="A30" t="s">
        <v>0</v>
      </c>
      <c r="B30" t="s">
        <v>35</v>
      </c>
      <c r="C30" t="s">
        <v>1331</v>
      </c>
      <c r="D30" t="s">
        <v>1034</v>
      </c>
      <c r="E30" t="s">
        <v>3</v>
      </c>
      <c r="F30" t="s">
        <v>1319</v>
      </c>
      <c r="G30" t="s">
        <v>1281</v>
      </c>
    </row>
    <row r="31" spans="1:7" x14ac:dyDescent="0.2">
      <c r="A31" t="s">
        <v>0</v>
      </c>
      <c r="B31" t="s">
        <v>35</v>
      </c>
      <c r="C31" t="s">
        <v>1332</v>
      </c>
      <c r="D31" t="s">
        <v>1034</v>
      </c>
      <c r="E31" t="s">
        <v>19</v>
      </c>
      <c r="F31" t="s">
        <v>1319</v>
      </c>
      <c r="G31" t="s">
        <v>1281</v>
      </c>
    </row>
    <row r="32" spans="1:7" x14ac:dyDescent="0.2">
      <c r="A32" t="s">
        <v>0</v>
      </c>
      <c r="B32" t="s">
        <v>36</v>
      </c>
      <c r="C32" t="s">
        <v>1344</v>
      </c>
      <c r="D32" t="s">
        <v>1034</v>
      </c>
      <c r="E32" t="s">
        <v>3</v>
      </c>
      <c r="F32" t="s">
        <v>1334</v>
      </c>
      <c r="G32" t="s">
        <v>1281</v>
      </c>
    </row>
    <row r="33" spans="1:7" x14ac:dyDescent="0.2">
      <c r="A33" t="s">
        <v>0</v>
      </c>
      <c r="B33" t="s">
        <v>36</v>
      </c>
      <c r="C33" t="s">
        <v>1345</v>
      </c>
      <c r="D33" t="s">
        <v>1034</v>
      </c>
      <c r="E33" t="s">
        <v>19</v>
      </c>
      <c r="F33" t="s">
        <v>1334</v>
      </c>
      <c r="G33" t="s">
        <v>1281</v>
      </c>
    </row>
    <row r="34" spans="1:7" x14ac:dyDescent="0.2">
      <c r="A34" t="s">
        <v>0</v>
      </c>
      <c r="B34" t="s">
        <v>37</v>
      </c>
      <c r="C34" t="s">
        <v>1357</v>
      </c>
      <c r="D34" t="s">
        <v>1034</v>
      </c>
      <c r="E34" t="s">
        <v>3</v>
      </c>
      <c r="F34" t="s">
        <v>1347</v>
      </c>
      <c r="G34" t="s">
        <v>1281</v>
      </c>
    </row>
    <row r="35" spans="1:7" x14ac:dyDescent="0.2">
      <c r="A35" t="s">
        <v>0</v>
      </c>
      <c r="B35" t="s">
        <v>37</v>
      </c>
      <c r="C35" t="s">
        <v>1358</v>
      </c>
      <c r="D35" t="s">
        <v>1034</v>
      </c>
      <c r="E35" t="s">
        <v>19</v>
      </c>
      <c r="F35" t="s">
        <v>1347</v>
      </c>
      <c r="G35" t="s">
        <v>1281</v>
      </c>
    </row>
    <row r="36" spans="1:7" x14ac:dyDescent="0.2">
      <c r="A36" t="s">
        <v>23</v>
      </c>
      <c r="B36" t="s">
        <v>38</v>
      </c>
      <c r="C36" t="s">
        <v>1370</v>
      </c>
      <c r="D36" t="s">
        <v>1034</v>
      </c>
      <c r="E36" t="s">
        <v>3</v>
      </c>
      <c r="F36" t="s">
        <v>1360</v>
      </c>
      <c r="G36" t="s">
        <v>1281</v>
      </c>
    </row>
    <row r="37" spans="1:7" x14ac:dyDescent="0.2">
      <c r="A37" t="s">
        <v>23</v>
      </c>
      <c r="B37" t="s">
        <v>38</v>
      </c>
      <c r="C37" t="s">
        <v>1371</v>
      </c>
      <c r="D37" t="s">
        <v>1034</v>
      </c>
      <c r="E37" t="s">
        <v>19</v>
      </c>
      <c r="F37" t="s">
        <v>1360</v>
      </c>
      <c r="G37" t="s">
        <v>1281</v>
      </c>
    </row>
    <row r="38" spans="1:7" x14ac:dyDescent="0.2">
      <c r="A38" t="s">
        <v>23</v>
      </c>
      <c r="B38" t="s">
        <v>39</v>
      </c>
      <c r="C38" t="s">
        <v>1382</v>
      </c>
      <c r="D38" t="s">
        <v>1034</v>
      </c>
      <c r="E38" t="s">
        <v>3</v>
      </c>
      <c r="F38" t="s">
        <v>1373</v>
      </c>
      <c r="G38" t="s">
        <v>1281</v>
      </c>
    </row>
    <row r="39" spans="1:7" x14ac:dyDescent="0.2">
      <c r="A39" t="s">
        <v>23</v>
      </c>
      <c r="B39" t="s">
        <v>39</v>
      </c>
      <c r="C39" t="s">
        <v>1383</v>
      </c>
      <c r="D39" t="s">
        <v>1034</v>
      </c>
      <c r="E39" t="s">
        <v>19</v>
      </c>
      <c r="F39" t="s">
        <v>1373</v>
      </c>
      <c r="G39" t="s">
        <v>1281</v>
      </c>
    </row>
    <row r="40" spans="1:7" x14ac:dyDescent="0.2">
      <c r="A40" t="s">
        <v>23</v>
      </c>
      <c r="B40" t="s">
        <v>40</v>
      </c>
      <c r="C40" t="s">
        <v>1395</v>
      </c>
      <c r="D40" t="s">
        <v>1034</v>
      </c>
      <c r="E40" t="s">
        <v>3</v>
      </c>
      <c r="F40" t="s">
        <v>1384</v>
      </c>
      <c r="G40" t="s">
        <v>1281</v>
      </c>
    </row>
    <row r="41" spans="1:7" x14ac:dyDescent="0.2">
      <c r="A41" t="s">
        <v>23</v>
      </c>
      <c r="B41" t="s">
        <v>40</v>
      </c>
      <c r="C41" t="s">
        <v>1396</v>
      </c>
      <c r="D41" t="s">
        <v>1034</v>
      </c>
      <c r="E41" t="s">
        <v>19</v>
      </c>
      <c r="F41" t="s">
        <v>1384</v>
      </c>
      <c r="G41" t="s">
        <v>1281</v>
      </c>
    </row>
    <row r="42" spans="1:7" x14ac:dyDescent="0.2">
      <c r="A42" t="s">
        <v>27</v>
      </c>
      <c r="B42" t="s">
        <v>41</v>
      </c>
      <c r="C42" t="s">
        <v>1409</v>
      </c>
      <c r="D42" t="s">
        <v>1034</v>
      </c>
      <c r="E42" t="s">
        <v>3</v>
      </c>
      <c r="F42" t="s">
        <v>1398</v>
      </c>
      <c r="G42" t="s">
        <v>1281</v>
      </c>
    </row>
    <row r="43" spans="1:7" x14ac:dyDescent="0.2">
      <c r="A43" t="s">
        <v>27</v>
      </c>
      <c r="B43" t="s">
        <v>41</v>
      </c>
      <c r="C43" t="s">
        <v>1410</v>
      </c>
      <c r="D43" t="s">
        <v>1034</v>
      </c>
      <c r="E43" t="s">
        <v>19</v>
      </c>
      <c r="F43" t="s">
        <v>1398</v>
      </c>
      <c r="G43" t="s">
        <v>1281</v>
      </c>
    </row>
    <row r="44" spans="1:7" x14ac:dyDescent="0.2">
      <c r="A44" t="s">
        <v>27</v>
      </c>
      <c r="B44" t="s">
        <v>42</v>
      </c>
      <c r="C44" t="s">
        <v>1422</v>
      </c>
      <c r="D44" t="s">
        <v>1034</v>
      </c>
      <c r="E44" t="s">
        <v>3</v>
      </c>
      <c r="F44" t="s">
        <v>1412</v>
      </c>
      <c r="G44" t="s">
        <v>1281</v>
      </c>
    </row>
    <row r="45" spans="1:7" x14ac:dyDescent="0.2">
      <c r="A45" t="s">
        <v>27</v>
      </c>
      <c r="B45" t="s">
        <v>42</v>
      </c>
      <c r="C45" t="s">
        <v>1423</v>
      </c>
      <c r="D45" t="s">
        <v>1034</v>
      </c>
      <c r="E45" t="s">
        <v>19</v>
      </c>
      <c r="F45" t="s">
        <v>1412</v>
      </c>
      <c r="G45" t="s">
        <v>1281</v>
      </c>
    </row>
    <row r="46" spans="1:7" x14ac:dyDescent="0.2">
      <c r="A46" t="s">
        <v>27</v>
      </c>
      <c r="B46" t="s">
        <v>43</v>
      </c>
      <c r="C46" t="s">
        <v>1435</v>
      </c>
      <c r="D46" t="s">
        <v>1034</v>
      </c>
      <c r="E46" t="s">
        <v>3</v>
      </c>
      <c r="F46" t="s">
        <v>1424</v>
      </c>
      <c r="G46" t="s">
        <v>1281</v>
      </c>
    </row>
    <row r="47" spans="1:7" x14ac:dyDescent="0.2">
      <c r="A47" t="s">
        <v>27</v>
      </c>
      <c r="B47" t="s">
        <v>43</v>
      </c>
      <c r="C47" t="s">
        <v>1436</v>
      </c>
      <c r="D47" t="s">
        <v>1034</v>
      </c>
      <c r="E47" t="s">
        <v>19</v>
      </c>
      <c r="F47" t="s">
        <v>1424</v>
      </c>
      <c r="G47" t="s">
        <v>1281</v>
      </c>
    </row>
    <row r="48" spans="1:7" x14ac:dyDescent="0.2">
      <c r="A48" t="s">
        <v>27</v>
      </c>
      <c r="B48" t="s">
        <v>44</v>
      </c>
      <c r="C48" t="s">
        <v>1451</v>
      </c>
      <c r="D48" t="s">
        <v>1034</v>
      </c>
      <c r="E48" t="s">
        <v>3</v>
      </c>
      <c r="F48" t="s">
        <v>1438</v>
      </c>
      <c r="G48" t="s">
        <v>1281</v>
      </c>
    </row>
    <row r="49" spans="1:7" x14ac:dyDescent="0.2">
      <c r="A49" t="s">
        <v>27</v>
      </c>
      <c r="B49" t="s">
        <v>44</v>
      </c>
      <c r="C49" t="s">
        <v>1452</v>
      </c>
      <c r="D49" t="s">
        <v>1034</v>
      </c>
      <c r="E49" t="s">
        <v>19</v>
      </c>
      <c r="F49" t="s">
        <v>1438</v>
      </c>
      <c r="G49" t="s">
        <v>1281</v>
      </c>
    </row>
    <row r="50" spans="1:7" x14ac:dyDescent="0.2">
      <c r="A50" t="s">
        <v>27</v>
      </c>
      <c r="B50" t="s">
        <v>45</v>
      </c>
      <c r="C50" t="s">
        <v>1464</v>
      </c>
      <c r="D50" t="s">
        <v>1034</v>
      </c>
      <c r="E50" t="s">
        <v>3</v>
      </c>
      <c r="F50" t="s">
        <v>1454</v>
      </c>
      <c r="G50" t="s">
        <v>1281</v>
      </c>
    </row>
    <row r="51" spans="1:7" x14ac:dyDescent="0.2">
      <c r="A51" t="s">
        <v>27</v>
      </c>
      <c r="B51" t="s">
        <v>45</v>
      </c>
      <c r="C51" t="s">
        <v>1465</v>
      </c>
      <c r="D51" t="s">
        <v>1034</v>
      </c>
      <c r="E51" t="s">
        <v>19</v>
      </c>
      <c r="F51" t="s">
        <v>1454</v>
      </c>
      <c r="G51" t="s">
        <v>1281</v>
      </c>
    </row>
    <row r="52" spans="1:7" x14ac:dyDescent="0.2">
      <c r="A52" t="s">
        <v>46</v>
      </c>
      <c r="B52" t="s">
        <v>47</v>
      </c>
      <c r="C52" t="s">
        <v>1485</v>
      </c>
      <c r="D52" t="s">
        <v>1034</v>
      </c>
      <c r="E52" t="s">
        <v>3</v>
      </c>
      <c r="F52" t="s">
        <v>1473</v>
      </c>
      <c r="G52" t="s">
        <v>1474</v>
      </c>
    </row>
    <row r="53" spans="1:7" x14ac:dyDescent="0.2">
      <c r="A53" t="s">
        <v>46</v>
      </c>
      <c r="B53" t="s">
        <v>47</v>
      </c>
      <c r="C53" t="s">
        <v>1486</v>
      </c>
      <c r="D53" t="s">
        <v>1034</v>
      </c>
      <c r="E53" t="s">
        <v>19</v>
      </c>
      <c r="F53" t="s">
        <v>1473</v>
      </c>
      <c r="G53" t="s">
        <v>1474</v>
      </c>
    </row>
    <row r="54" spans="1:7" x14ac:dyDescent="0.2">
      <c r="A54" t="s">
        <v>46</v>
      </c>
      <c r="B54" t="s">
        <v>48</v>
      </c>
      <c r="C54" t="s">
        <v>1498</v>
      </c>
      <c r="D54" t="s">
        <v>1034</v>
      </c>
      <c r="E54" t="s">
        <v>3</v>
      </c>
      <c r="F54" t="s">
        <v>1488</v>
      </c>
      <c r="G54" t="s">
        <v>1474</v>
      </c>
    </row>
    <row r="55" spans="1:7" x14ac:dyDescent="0.2">
      <c r="A55" t="s">
        <v>46</v>
      </c>
      <c r="B55" t="s">
        <v>48</v>
      </c>
      <c r="C55" t="s">
        <v>1499</v>
      </c>
      <c r="D55" t="s">
        <v>1034</v>
      </c>
      <c r="E55" t="s">
        <v>19</v>
      </c>
      <c r="F55" t="s">
        <v>1488</v>
      </c>
      <c r="G55" t="s">
        <v>1474</v>
      </c>
    </row>
    <row r="56" spans="1:7" x14ac:dyDescent="0.2">
      <c r="A56" t="s">
        <v>46</v>
      </c>
      <c r="B56" t="s">
        <v>49</v>
      </c>
      <c r="C56" t="s">
        <v>1510</v>
      </c>
      <c r="D56" t="s">
        <v>1034</v>
      </c>
      <c r="E56" t="s">
        <v>3</v>
      </c>
      <c r="F56" t="s">
        <v>1500</v>
      </c>
      <c r="G56" t="s">
        <v>1474</v>
      </c>
    </row>
    <row r="57" spans="1:7" x14ac:dyDescent="0.2">
      <c r="A57" t="s">
        <v>46</v>
      </c>
      <c r="B57" t="s">
        <v>49</v>
      </c>
      <c r="C57" t="s">
        <v>1511</v>
      </c>
      <c r="D57" t="s">
        <v>1034</v>
      </c>
      <c r="E57" t="s">
        <v>19</v>
      </c>
      <c r="F57" t="s">
        <v>1500</v>
      </c>
      <c r="G57" t="s">
        <v>1474</v>
      </c>
    </row>
    <row r="58" spans="1:7" x14ac:dyDescent="0.2">
      <c r="A58" t="s">
        <v>46</v>
      </c>
      <c r="B58" t="s">
        <v>50</v>
      </c>
      <c r="C58" t="s">
        <v>1523</v>
      </c>
      <c r="D58" t="s">
        <v>1034</v>
      </c>
      <c r="E58" t="s">
        <v>3</v>
      </c>
      <c r="F58" t="s">
        <v>1513</v>
      </c>
      <c r="G58" t="s">
        <v>1474</v>
      </c>
    </row>
    <row r="59" spans="1:7" x14ac:dyDescent="0.2">
      <c r="A59" t="s">
        <v>46</v>
      </c>
      <c r="B59" t="s">
        <v>50</v>
      </c>
      <c r="C59" t="s">
        <v>1524</v>
      </c>
      <c r="D59" t="s">
        <v>1034</v>
      </c>
      <c r="E59" t="s">
        <v>19</v>
      </c>
      <c r="F59" t="s">
        <v>1513</v>
      </c>
      <c r="G59" t="s">
        <v>1474</v>
      </c>
    </row>
    <row r="60" spans="1:7" x14ac:dyDescent="0.2">
      <c r="A60" t="s">
        <v>46</v>
      </c>
      <c r="B60" t="s">
        <v>68</v>
      </c>
      <c r="C60" t="s">
        <v>1684</v>
      </c>
      <c r="D60" t="s">
        <v>1034</v>
      </c>
      <c r="E60" t="s">
        <v>3</v>
      </c>
      <c r="F60" t="s">
        <v>1673</v>
      </c>
      <c r="G60" t="s">
        <v>1674</v>
      </c>
    </row>
    <row r="61" spans="1:7" x14ac:dyDescent="0.2">
      <c r="A61" t="s">
        <v>46</v>
      </c>
      <c r="B61" t="s">
        <v>68</v>
      </c>
      <c r="C61" t="s">
        <v>1685</v>
      </c>
      <c r="D61" t="s">
        <v>1034</v>
      </c>
      <c r="E61" t="s">
        <v>19</v>
      </c>
      <c r="F61" t="s">
        <v>1673</v>
      </c>
      <c r="G61" t="s">
        <v>1674</v>
      </c>
    </row>
    <row r="62" spans="1:7" x14ac:dyDescent="0.2">
      <c r="A62" t="s">
        <v>46</v>
      </c>
      <c r="B62" t="s">
        <v>69</v>
      </c>
      <c r="C62" t="s">
        <v>1700</v>
      </c>
      <c r="D62" t="s">
        <v>1034</v>
      </c>
      <c r="E62" t="s">
        <v>3</v>
      </c>
      <c r="F62" t="s">
        <v>1686</v>
      </c>
      <c r="G62" t="s">
        <v>1674</v>
      </c>
    </row>
    <row r="63" spans="1:7" x14ac:dyDescent="0.2">
      <c r="A63" t="s">
        <v>46</v>
      </c>
      <c r="B63" t="s">
        <v>69</v>
      </c>
      <c r="C63" t="s">
        <v>1701</v>
      </c>
      <c r="D63" t="s">
        <v>1034</v>
      </c>
      <c r="E63" t="s">
        <v>19</v>
      </c>
      <c r="F63" t="s">
        <v>1686</v>
      </c>
      <c r="G63" t="s">
        <v>1674</v>
      </c>
    </row>
    <row r="64" spans="1:7" x14ac:dyDescent="0.2">
      <c r="A64" t="s">
        <v>46</v>
      </c>
      <c r="B64" t="s">
        <v>70</v>
      </c>
      <c r="C64" t="s">
        <v>1713</v>
      </c>
      <c r="D64" t="s">
        <v>1034</v>
      </c>
      <c r="E64" t="s">
        <v>3</v>
      </c>
      <c r="F64" t="s">
        <v>1703</v>
      </c>
      <c r="G64" t="s">
        <v>1674</v>
      </c>
    </row>
    <row r="65" spans="1:7" x14ac:dyDescent="0.2">
      <c r="A65" t="s">
        <v>46</v>
      </c>
      <c r="B65" t="s">
        <v>70</v>
      </c>
      <c r="C65" t="s">
        <v>1714</v>
      </c>
      <c r="D65" t="s">
        <v>1034</v>
      </c>
      <c r="E65" t="s">
        <v>19</v>
      </c>
      <c r="F65" t="s">
        <v>1703</v>
      </c>
      <c r="G65" t="s">
        <v>1674</v>
      </c>
    </row>
    <row r="66" spans="1:7" x14ac:dyDescent="0.2">
      <c r="A66" t="s">
        <v>46</v>
      </c>
      <c r="B66" t="s">
        <v>71</v>
      </c>
      <c r="C66" t="s">
        <v>1725</v>
      </c>
      <c r="D66" t="s">
        <v>1034</v>
      </c>
      <c r="E66" t="s">
        <v>3</v>
      </c>
      <c r="F66" t="s">
        <v>1716</v>
      </c>
      <c r="G66" t="s">
        <v>1674</v>
      </c>
    </row>
    <row r="67" spans="1:7" x14ac:dyDescent="0.2">
      <c r="A67" t="s">
        <v>46</v>
      </c>
      <c r="B67" t="s">
        <v>71</v>
      </c>
      <c r="C67" t="s">
        <v>1726</v>
      </c>
      <c r="D67" t="s">
        <v>1034</v>
      </c>
      <c r="E67" t="s">
        <v>19</v>
      </c>
      <c r="F67" t="s">
        <v>1716</v>
      </c>
      <c r="G67" t="s">
        <v>1674</v>
      </c>
    </row>
    <row r="68" spans="1:7" x14ac:dyDescent="0.2">
      <c r="A68" t="s">
        <v>61</v>
      </c>
      <c r="B68" t="s">
        <v>72</v>
      </c>
      <c r="C68" t="s">
        <v>1738</v>
      </c>
      <c r="D68" t="s">
        <v>1034</v>
      </c>
      <c r="E68" t="s">
        <v>3</v>
      </c>
      <c r="F68" t="s">
        <v>1728</v>
      </c>
      <c r="G68" t="s">
        <v>1674</v>
      </c>
    </row>
    <row r="69" spans="1:7" x14ac:dyDescent="0.2">
      <c r="A69" t="s">
        <v>61</v>
      </c>
      <c r="B69" t="s">
        <v>72</v>
      </c>
      <c r="C69" t="s">
        <v>1739</v>
      </c>
      <c r="D69" t="s">
        <v>1034</v>
      </c>
      <c r="E69" t="s">
        <v>19</v>
      </c>
      <c r="F69" t="s">
        <v>1728</v>
      </c>
      <c r="G69" t="s">
        <v>1674</v>
      </c>
    </row>
    <row r="70" spans="1:7" x14ac:dyDescent="0.2">
      <c r="A70" t="s">
        <v>61</v>
      </c>
      <c r="B70" t="s">
        <v>73</v>
      </c>
      <c r="C70" t="s">
        <v>1751</v>
      </c>
      <c r="D70" t="s">
        <v>1034</v>
      </c>
      <c r="E70" t="s">
        <v>3</v>
      </c>
      <c r="F70" t="s">
        <v>1741</v>
      </c>
      <c r="G70" t="s">
        <v>1674</v>
      </c>
    </row>
    <row r="71" spans="1:7" x14ac:dyDescent="0.2">
      <c r="A71" t="s">
        <v>61</v>
      </c>
      <c r="B71" t="s">
        <v>73</v>
      </c>
      <c r="C71" t="s">
        <v>1752</v>
      </c>
      <c r="D71" t="s">
        <v>1034</v>
      </c>
      <c r="E71" t="s">
        <v>19</v>
      </c>
      <c r="F71" t="s">
        <v>1741</v>
      </c>
      <c r="G71" t="s">
        <v>1674</v>
      </c>
    </row>
    <row r="72" spans="1:7" x14ac:dyDescent="0.2">
      <c r="A72" t="s">
        <v>61</v>
      </c>
      <c r="B72" t="s">
        <v>74</v>
      </c>
      <c r="C72" t="s">
        <v>1767</v>
      </c>
      <c r="D72" t="s">
        <v>1034</v>
      </c>
      <c r="E72" t="s">
        <v>3</v>
      </c>
      <c r="F72" t="s">
        <v>1754</v>
      </c>
      <c r="G72" t="s">
        <v>1674</v>
      </c>
    </row>
    <row r="73" spans="1:7" x14ac:dyDescent="0.2">
      <c r="A73" t="s">
        <v>61</v>
      </c>
      <c r="B73" t="s">
        <v>74</v>
      </c>
      <c r="C73" t="s">
        <v>1768</v>
      </c>
      <c r="D73" t="s">
        <v>1034</v>
      </c>
      <c r="E73" t="s">
        <v>19</v>
      </c>
      <c r="F73" t="s">
        <v>1754</v>
      </c>
      <c r="G73" t="s">
        <v>1674</v>
      </c>
    </row>
    <row r="74" spans="1:7" x14ac:dyDescent="0.2">
      <c r="A74" s="52" t="s">
        <v>61</v>
      </c>
      <c r="B74" s="52" t="s">
        <v>75</v>
      </c>
      <c r="C74" s="52" t="s">
        <v>1779</v>
      </c>
      <c r="D74" s="52" t="s">
        <v>1034</v>
      </c>
      <c r="E74" s="52" t="s">
        <v>3</v>
      </c>
      <c r="F74" s="52" t="s">
        <v>1770</v>
      </c>
      <c r="G74" s="52" t="s">
        <v>1674</v>
      </c>
    </row>
    <row r="75" spans="1:7" x14ac:dyDescent="0.2">
      <c r="A75" s="52" t="s">
        <v>61</v>
      </c>
      <c r="B75" s="52" t="s">
        <v>75</v>
      </c>
      <c r="C75" s="52" t="s">
        <v>1780</v>
      </c>
      <c r="D75" s="52" t="s">
        <v>1034</v>
      </c>
      <c r="E75" s="52" t="s">
        <v>19</v>
      </c>
      <c r="F75" s="52" t="s">
        <v>1770</v>
      </c>
      <c r="G75" s="52" t="s">
        <v>1674</v>
      </c>
    </row>
    <row r="76" spans="1:7" x14ac:dyDescent="0.2">
      <c r="A76" t="s">
        <v>46</v>
      </c>
      <c r="B76" t="s">
        <v>76</v>
      </c>
      <c r="C76" t="s">
        <v>1794</v>
      </c>
      <c r="D76" t="s">
        <v>1034</v>
      </c>
      <c r="E76" t="s">
        <v>3</v>
      </c>
      <c r="F76" t="s">
        <v>1782</v>
      </c>
      <c r="G76" t="s">
        <v>1783</v>
      </c>
    </row>
    <row r="77" spans="1:7" x14ac:dyDescent="0.2">
      <c r="A77" t="s">
        <v>46</v>
      </c>
      <c r="B77" t="s">
        <v>76</v>
      </c>
      <c r="C77" t="s">
        <v>1795</v>
      </c>
      <c r="D77" t="s">
        <v>1034</v>
      </c>
      <c r="E77" t="s">
        <v>19</v>
      </c>
      <c r="F77" t="s">
        <v>1782</v>
      </c>
      <c r="G77" t="s">
        <v>1783</v>
      </c>
    </row>
    <row r="78" spans="1:7" x14ac:dyDescent="0.2">
      <c r="A78" t="s">
        <v>46</v>
      </c>
      <c r="B78" t="s">
        <v>77</v>
      </c>
      <c r="C78" t="s">
        <v>1807</v>
      </c>
      <c r="D78" t="s">
        <v>1034</v>
      </c>
      <c r="E78" t="s">
        <v>3</v>
      </c>
      <c r="F78" t="s">
        <v>1797</v>
      </c>
      <c r="G78" t="s">
        <v>1783</v>
      </c>
    </row>
    <row r="79" spans="1:7" x14ac:dyDescent="0.2">
      <c r="A79" t="s">
        <v>46</v>
      </c>
      <c r="B79" t="s">
        <v>77</v>
      </c>
      <c r="C79" t="s">
        <v>1808</v>
      </c>
      <c r="D79" t="s">
        <v>1034</v>
      </c>
      <c r="E79" t="s">
        <v>19</v>
      </c>
      <c r="F79" t="s">
        <v>1797</v>
      </c>
      <c r="G79" t="s">
        <v>1783</v>
      </c>
    </row>
    <row r="80" spans="1:7" x14ac:dyDescent="0.2">
      <c r="A80" t="s">
        <v>46</v>
      </c>
      <c r="B80" t="s">
        <v>78</v>
      </c>
      <c r="C80" t="s">
        <v>1821</v>
      </c>
      <c r="D80" t="s">
        <v>1034</v>
      </c>
      <c r="E80" t="s">
        <v>3</v>
      </c>
      <c r="F80" t="s">
        <v>1810</v>
      </c>
      <c r="G80" t="s">
        <v>1783</v>
      </c>
    </row>
    <row r="81" spans="1:7" x14ac:dyDescent="0.2">
      <c r="A81" t="s">
        <v>46</v>
      </c>
      <c r="B81" t="s">
        <v>78</v>
      </c>
      <c r="C81" t="s">
        <v>1822</v>
      </c>
      <c r="D81" t="s">
        <v>1034</v>
      </c>
      <c r="E81" t="s">
        <v>19</v>
      </c>
      <c r="F81" t="s">
        <v>1810</v>
      </c>
      <c r="G81" t="s">
        <v>1783</v>
      </c>
    </row>
    <row r="82" spans="1:7" x14ac:dyDescent="0.2">
      <c r="A82" t="s">
        <v>46</v>
      </c>
      <c r="B82" t="s">
        <v>79</v>
      </c>
      <c r="C82" t="s">
        <v>1834</v>
      </c>
      <c r="D82" t="s">
        <v>1034</v>
      </c>
      <c r="E82" t="s">
        <v>3</v>
      </c>
      <c r="F82" t="s">
        <v>1824</v>
      </c>
      <c r="G82" t="s">
        <v>1783</v>
      </c>
    </row>
    <row r="83" spans="1:7" x14ac:dyDescent="0.2">
      <c r="A83" t="s">
        <v>46</v>
      </c>
      <c r="B83" t="s">
        <v>79</v>
      </c>
      <c r="C83" t="s">
        <v>1835</v>
      </c>
      <c r="D83" t="s">
        <v>1034</v>
      </c>
      <c r="E83" t="s">
        <v>19</v>
      </c>
      <c r="F83" t="s">
        <v>1824</v>
      </c>
      <c r="G83" t="s">
        <v>1783</v>
      </c>
    </row>
    <row r="84" spans="1:7" x14ac:dyDescent="0.2">
      <c r="A84" t="s">
        <v>46</v>
      </c>
      <c r="B84" t="s">
        <v>80</v>
      </c>
      <c r="C84" t="s">
        <v>1848</v>
      </c>
      <c r="D84" t="s">
        <v>1034</v>
      </c>
      <c r="E84" t="s">
        <v>3</v>
      </c>
      <c r="F84" t="s">
        <v>1837</v>
      </c>
      <c r="G84" t="s">
        <v>1783</v>
      </c>
    </row>
    <row r="85" spans="1:7" x14ac:dyDescent="0.2">
      <c r="A85" t="s">
        <v>46</v>
      </c>
      <c r="B85" t="s">
        <v>80</v>
      </c>
      <c r="C85" t="s">
        <v>1849</v>
      </c>
      <c r="D85" t="s">
        <v>1034</v>
      </c>
      <c r="E85" t="s">
        <v>19</v>
      </c>
      <c r="F85" t="s">
        <v>1837</v>
      </c>
      <c r="G85" t="s">
        <v>1783</v>
      </c>
    </row>
    <row r="86" spans="1:7" x14ac:dyDescent="0.2">
      <c r="A86" t="s">
        <v>23</v>
      </c>
      <c r="B86" t="s">
        <v>81</v>
      </c>
      <c r="C86" t="s">
        <v>1861</v>
      </c>
      <c r="D86" t="s">
        <v>1034</v>
      </c>
      <c r="E86" t="s">
        <v>3</v>
      </c>
      <c r="F86" t="s">
        <v>1851</v>
      </c>
      <c r="G86" t="s">
        <v>1783</v>
      </c>
    </row>
    <row r="87" spans="1:7" x14ac:dyDescent="0.2">
      <c r="A87" t="s">
        <v>23</v>
      </c>
      <c r="B87" t="s">
        <v>81</v>
      </c>
      <c r="C87" t="s">
        <v>1862</v>
      </c>
      <c r="D87" t="s">
        <v>1034</v>
      </c>
      <c r="E87" t="s">
        <v>19</v>
      </c>
      <c r="F87" t="s">
        <v>1851</v>
      </c>
      <c r="G87" t="s">
        <v>1783</v>
      </c>
    </row>
    <row r="88" spans="1:7" x14ac:dyDescent="0.2">
      <c r="A88" t="s">
        <v>23</v>
      </c>
      <c r="B88" t="s">
        <v>82</v>
      </c>
      <c r="C88" t="s">
        <v>1875</v>
      </c>
      <c r="D88" t="s">
        <v>1034</v>
      </c>
      <c r="E88" t="s">
        <v>3</v>
      </c>
      <c r="F88" t="s">
        <v>1864</v>
      </c>
      <c r="G88" t="s">
        <v>1783</v>
      </c>
    </row>
    <row r="89" spans="1:7" x14ac:dyDescent="0.2">
      <c r="A89" t="s">
        <v>23</v>
      </c>
      <c r="B89" t="s">
        <v>82</v>
      </c>
      <c r="C89" t="s">
        <v>1876</v>
      </c>
      <c r="D89" t="s">
        <v>1034</v>
      </c>
      <c r="E89" t="s">
        <v>19</v>
      </c>
      <c r="F89" t="s">
        <v>1864</v>
      </c>
      <c r="G89" t="s">
        <v>1783</v>
      </c>
    </row>
    <row r="90" spans="1:7" x14ac:dyDescent="0.2">
      <c r="A90" t="s">
        <v>23</v>
      </c>
      <c r="B90" t="s">
        <v>83</v>
      </c>
      <c r="C90" t="s">
        <v>1892</v>
      </c>
      <c r="D90" t="s">
        <v>1034</v>
      </c>
      <c r="E90" t="s">
        <v>3</v>
      </c>
      <c r="F90" t="s">
        <v>1878</v>
      </c>
      <c r="G90" t="s">
        <v>1783</v>
      </c>
    </row>
    <row r="91" spans="1:7" x14ac:dyDescent="0.2">
      <c r="A91" t="s">
        <v>23</v>
      </c>
      <c r="B91" t="s">
        <v>83</v>
      </c>
      <c r="C91" t="s">
        <v>1893</v>
      </c>
      <c r="D91" t="s">
        <v>1034</v>
      </c>
      <c r="E91" t="s">
        <v>19</v>
      </c>
      <c r="F91" t="s">
        <v>1878</v>
      </c>
      <c r="G91" t="s">
        <v>1783</v>
      </c>
    </row>
    <row r="92" spans="1:7" x14ac:dyDescent="0.2">
      <c r="A92" t="s">
        <v>23</v>
      </c>
      <c r="B92" t="s">
        <v>84</v>
      </c>
      <c r="C92" t="s">
        <v>1906</v>
      </c>
      <c r="D92" t="s">
        <v>1034</v>
      </c>
      <c r="E92" t="s">
        <v>3</v>
      </c>
      <c r="F92" t="s">
        <v>1895</v>
      </c>
      <c r="G92" t="s">
        <v>1783</v>
      </c>
    </row>
    <row r="93" spans="1:7" x14ac:dyDescent="0.2">
      <c r="A93" t="s">
        <v>23</v>
      </c>
      <c r="B93" t="s">
        <v>84</v>
      </c>
      <c r="C93" t="s">
        <v>1907</v>
      </c>
      <c r="D93" t="s">
        <v>1034</v>
      </c>
      <c r="E93" t="s">
        <v>19</v>
      </c>
      <c r="F93" t="s">
        <v>1895</v>
      </c>
      <c r="G93" t="s">
        <v>1783</v>
      </c>
    </row>
    <row r="94" spans="1:7" x14ac:dyDescent="0.2">
      <c r="A94" t="s">
        <v>23</v>
      </c>
      <c r="B94" t="s">
        <v>85</v>
      </c>
      <c r="C94" t="s">
        <v>1919</v>
      </c>
      <c r="D94" t="s">
        <v>1034</v>
      </c>
      <c r="E94" t="s">
        <v>3</v>
      </c>
      <c r="F94" t="s">
        <v>1909</v>
      </c>
      <c r="G94" t="s">
        <v>1783</v>
      </c>
    </row>
    <row r="95" spans="1:7" x14ac:dyDescent="0.2">
      <c r="A95" t="s">
        <v>23</v>
      </c>
      <c r="B95" t="s">
        <v>85</v>
      </c>
      <c r="C95" t="s">
        <v>1920</v>
      </c>
      <c r="D95" t="s">
        <v>1034</v>
      </c>
      <c r="E95" t="s">
        <v>19</v>
      </c>
      <c r="F95" t="s">
        <v>1909</v>
      </c>
      <c r="G95" t="s">
        <v>1783</v>
      </c>
    </row>
    <row r="96" spans="1:7" x14ac:dyDescent="0.2">
      <c r="A96" t="s">
        <v>23</v>
      </c>
      <c r="B96" t="s">
        <v>86</v>
      </c>
      <c r="C96" t="s">
        <v>1932</v>
      </c>
      <c r="D96" t="s">
        <v>1034</v>
      </c>
      <c r="E96" t="s">
        <v>3</v>
      </c>
      <c r="F96" t="s">
        <v>1922</v>
      </c>
      <c r="G96" t="s">
        <v>1783</v>
      </c>
    </row>
    <row r="97" spans="1:7" x14ac:dyDescent="0.2">
      <c r="A97" t="s">
        <v>23</v>
      </c>
      <c r="B97" t="s">
        <v>86</v>
      </c>
      <c r="C97" t="s">
        <v>1933</v>
      </c>
      <c r="D97" t="s">
        <v>1034</v>
      </c>
      <c r="E97" t="s">
        <v>19</v>
      </c>
      <c r="F97" t="s">
        <v>1922</v>
      </c>
      <c r="G97" t="s">
        <v>1783</v>
      </c>
    </row>
    <row r="98" spans="1:7" x14ac:dyDescent="0.2">
      <c r="A98" t="s">
        <v>23</v>
      </c>
      <c r="B98" t="s">
        <v>87</v>
      </c>
      <c r="C98" t="s">
        <v>1945</v>
      </c>
      <c r="D98" t="s">
        <v>1034</v>
      </c>
      <c r="E98" t="s">
        <v>3</v>
      </c>
      <c r="F98" t="s">
        <v>1935</v>
      </c>
      <c r="G98" t="s">
        <v>1783</v>
      </c>
    </row>
    <row r="99" spans="1:7" x14ac:dyDescent="0.2">
      <c r="A99" t="s">
        <v>23</v>
      </c>
      <c r="B99" t="s">
        <v>87</v>
      </c>
      <c r="C99" t="s">
        <v>1946</v>
      </c>
      <c r="D99" t="s">
        <v>1034</v>
      </c>
      <c r="E99" t="s">
        <v>19</v>
      </c>
      <c r="F99" t="s">
        <v>1935</v>
      </c>
      <c r="G99" t="s">
        <v>1783</v>
      </c>
    </row>
    <row r="100" spans="1:7" x14ac:dyDescent="0.2">
      <c r="A100" t="s">
        <v>23</v>
      </c>
      <c r="B100" t="s">
        <v>88</v>
      </c>
      <c r="C100" t="s">
        <v>1959</v>
      </c>
      <c r="D100" t="s">
        <v>1034</v>
      </c>
      <c r="E100" t="s">
        <v>3</v>
      </c>
      <c r="F100" t="s">
        <v>1948</v>
      </c>
      <c r="G100" t="s">
        <v>1783</v>
      </c>
    </row>
    <row r="101" spans="1:7" x14ac:dyDescent="0.2">
      <c r="A101" t="s">
        <v>23</v>
      </c>
      <c r="B101" t="s">
        <v>88</v>
      </c>
      <c r="C101" t="s">
        <v>1960</v>
      </c>
      <c r="D101" t="s">
        <v>1034</v>
      </c>
      <c r="E101" t="s">
        <v>19</v>
      </c>
      <c r="F101" t="s">
        <v>1948</v>
      </c>
      <c r="G101" t="s">
        <v>1783</v>
      </c>
    </row>
    <row r="102" spans="1:7" x14ac:dyDescent="0.2">
      <c r="A102" t="s">
        <v>23</v>
      </c>
      <c r="B102" t="s">
        <v>89</v>
      </c>
      <c r="C102" t="s">
        <v>1972</v>
      </c>
      <c r="D102" t="s">
        <v>1034</v>
      </c>
      <c r="E102" t="s">
        <v>3</v>
      </c>
      <c r="F102" t="s">
        <v>1962</v>
      </c>
      <c r="G102" t="s">
        <v>1783</v>
      </c>
    </row>
    <row r="103" spans="1:7" x14ac:dyDescent="0.2">
      <c r="A103" t="s">
        <v>23</v>
      </c>
      <c r="B103" t="s">
        <v>89</v>
      </c>
      <c r="C103" t="s">
        <v>1973</v>
      </c>
      <c r="D103" t="s">
        <v>1034</v>
      </c>
      <c r="E103" t="s">
        <v>19</v>
      </c>
      <c r="F103" t="s">
        <v>1962</v>
      </c>
      <c r="G103" t="s">
        <v>1783</v>
      </c>
    </row>
    <row r="104" spans="1:7" x14ac:dyDescent="0.2">
      <c r="A104" t="s">
        <v>61</v>
      </c>
      <c r="B104" t="s">
        <v>90</v>
      </c>
      <c r="C104" t="s">
        <v>1986</v>
      </c>
      <c r="D104" t="s">
        <v>1034</v>
      </c>
      <c r="E104" t="s">
        <v>3</v>
      </c>
      <c r="F104" t="s">
        <v>1975</v>
      </c>
      <c r="G104" t="s">
        <v>1783</v>
      </c>
    </row>
    <row r="105" spans="1:7" x14ac:dyDescent="0.2">
      <c r="A105" t="s">
        <v>61</v>
      </c>
      <c r="B105" t="s">
        <v>90</v>
      </c>
      <c r="C105" t="s">
        <v>1987</v>
      </c>
      <c r="D105" t="s">
        <v>1034</v>
      </c>
      <c r="E105" t="s">
        <v>19</v>
      </c>
      <c r="F105" t="s">
        <v>1975</v>
      </c>
      <c r="G105" t="s">
        <v>1783</v>
      </c>
    </row>
    <row r="106" spans="1:7" x14ac:dyDescent="0.2">
      <c r="A106" t="s">
        <v>61</v>
      </c>
      <c r="B106" t="s">
        <v>91</v>
      </c>
      <c r="C106" t="s">
        <v>1999</v>
      </c>
      <c r="D106" t="s">
        <v>1034</v>
      </c>
      <c r="E106" t="s">
        <v>3</v>
      </c>
      <c r="F106" t="s">
        <v>1989</v>
      </c>
      <c r="G106" t="s">
        <v>1783</v>
      </c>
    </row>
    <row r="107" spans="1:7" x14ac:dyDescent="0.2">
      <c r="A107" t="s">
        <v>61</v>
      </c>
      <c r="B107" t="s">
        <v>91</v>
      </c>
      <c r="C107" t="s">
        <v>2000</v>
      </c>
      <c r="D107" t="s">
        <v>1034</v>
      </c>
      <c r="E107" t="s">
        <v>19</v>
      </c>
      <c r="F107" t="s">
        <v>1989</v>
      </c>
      <c r="G107" t="s">
        <v>1783</v>
      </c>
    </row>
    <row r="108" spans="1:7" x14ac:dyDescent="0.2">
      <c r="A108" t="s">
        <v>61</v>
      </c>
      <c r="B108" t="s">
        <v>92</v>
      </c>
      <c r="C108" t="s">
        <v>2016</v>
      </c>
      <c r="D108" t="s">
        <v>1034</v>
      </c>
      <c r="E108" t="s">
        <v>3</v>
      </c>
      <c r="F108" t="s">
        <v>2002</v>
      </c>
      <c r="G108" t="s">
        <v>1783</v>
      </c>
    </row>
    <row r="109" spans="1:7" x14ac:dyDescent="0.2">
      <c r="A109" t="s">
        <v>61</v>
      </c>
      <c r="B109" t="s">
        <v>92</v>
      </c>
      <c r="C109" t="s">
        <v>2017</v>
      </c>
      <c r="D109" t="s">
        <v>1034</v>
      </c>
      <c r="E109" t="s">
        <v>19</v>
      </c>
      <c r="F109" t="s">
        <v>2002</v>
      </c>
      <c r="G109" t="s">
        <v>1783</v>
      </c>
    </row>
    <row r="110" spans="1:7" x14ac:dyDescent="0.2">
      <c r="A110" t="s">
        <v>61</v>
      </c>
      <c r="B110" t="s">
        <v>93</v>
      </c>
      <c r="C110" t="s">
        <v>2029</v>
      </c>
      <c r="D110" t="s">
        <v>1034</v>
      </c>
      <c r="E110" t="s">
        <v>3</v>
      </c>
      <c r="F110" t="s">
        <v>2019</v>
      </c>
      <c r="G110" t="s">
        <v>1783</v>
      </c>
    </row>
    <row r="111" spans="1:7" x14ac:dyDescent="0.2">
      <c r="A111" t="s">
        <v>61</v>
      </c>
      <c r="B111" t="s">
        <v>93</v>
      </c>
      <c r="C111" t="s">
        <v>2030</v>
      </c>
      <c r="D111" t="s">
        <v>1034</v>
      </c>
      <c r="E111" t="s">
        <v>19</v>
      </c>
      <c r="F111" t="s">
        <v>2019</v>
      </c>
      <c r="G111" t="s">
        <v>1783</v>
      </c>
    </row>
    <row r="112" spans="1:7" x14ac:dyDescent="0.2">
      <c r="A112" t="s">
        <v>61</v>
      </c>
      <c r="B112" t="s">
        <v>94</v>
      </c>
      <c r="C112" t="s">
        <v>2042</v>
      </c>
      <c r="D112" t="s">
        <v>1034</v>
      </c>
      <c r="E112" t="s">
        <v>3</v>
      </c>
      <c r="F112" t="s">
        <v>2031</v>
      </c>
      <c r="G112" t="s">
        <v>1783</v>
      </c>
    </row>
    <row r="113" spans="1:7" x14ac:dyDescent="0.2">
      <c r="A113" t="s">
        <v>61</v>
      </c>
      <c r="B113" t="s">
        <v>94</v>
      </c>
      <c r="C113" t="s">
        <v>2043</v>
      </c>
      <c r="D113" t="s">
        <v>1034</v>
      </c>
      <c r="E113" t="s">
        <v>19</v>
      </c>
      <c r="F113" t="s">
        <v>2031</v>
      </c>
      <c r="G113" t="s">
        <v>1783</v>
      </c>
    </row>
    <row r="114" spans="1:7" x14ac:dyDescent="0.2">
      <c r="A114" s="2"/>
      <c r="B114" s="2"/>
      <c r="C114" s="2"/>
      <c r="D114" s="2"/>
      <c r="E114" s="2"/>
    </row>
    <row r="115" spans="1:7" x14ac:dyDescent="0.2">
      <c r="A115" s="2"/>
      <c r="B115" s="2"/>
      <c r="C115" s="2"/>
      <c r="D115" s="2"/>
      <c r="E115" s="2"/>
    </row>
    <row r="116" spans="1:7" x14ac:dyDescent="0.2">
      <c r="A116" s="2"/>
      <c r="B116" s="2"/>
      <c r="C116" s="2"/>
      <c r="D116" s="2"/>
      <c r="E116" s="2"/>
    </row>
    <row r="117" spans="1:7" x14ac:dyDescent="0.2">
      <c r="A117" s="2"/>
      <c r="B117" s="2"/>
      <c r="C117" s="2"/>
      <c r="D117" s="2"/>
      <c r="E117" s="2"/>
    </row>
    <row r="118" spans="1:7" x14ac:dyDescent="0.2">
      <c r="A118" s="2"/>
      <c r="B118" s="2"/>
      <c r="C118" s="2"/>
      <c r="D118" s="2"/>
      <c r="E118" s="2"/>
    </row>
    <row r="119" spans="1:7" x14ac:dyDescent="0.2">
      <c r="A119" s="2"/>
      <c r="B119" s="2"/>
      <c r="C119" s="2"/>
      <c r="D119" s="2"/>
      <c r="E119" s="2"/>
    </row>
    <row r="120" spans="1:7" x14ac:dyDescent="0.2">
      <c r="A120" s="2"/>
      <c r="B120" s="2"/>
      <c r="C120" s="2"/>
      <c r="D120" s="2"/>
      <c r="E120" s="2"/>
    </row>
    <row r="121" spans="1:7" x14ac:dyDescent="0.2">
      <c r="A121" s="2"/>
      <c r="B121" s="2"/>
      <c r="C121" s="2"/>
      <c r="D121" s="2"/>
      <c r="E121" s="2"/>
    </row>
  </sheetData>
  <autoFilter ref="G1:G121" xr:uid="{00000000-0001-0000-0D00-000000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0"/>
  <dimension ref="A1:I166"/>
  <sheetViews>
    <sheetView tabSelected="1" zoomScale="115" zoomScaleNormal="115" workbookViewId="0">
      <pane ySplit="1" topLeftCell="A2" activePane="bottomLeft" state="frozen"/>
      <selection activeCell="H9" sqref="H9"/>
      <selection pane="bottomLeft" activeCell="I14" sqref="I14"/>
    </sheetView>
  </sheetViews>
  <sheetFormatPr defaultRowHeight="12.75" x14ac:dyDescent="0.2"/>
  <cols>
    <col min="2" max="2" width="12.140625" customWidth="1"/>
    <col min="3" max="3" width="11.42578125" customWidth="1"/>
  </cols>
  <sheetData>
    <row r="1" spans="1:9" ht="51" x14ac:dyDescent="0.2">
      <c r="A1" s="11" t="s">
        <v>197</v>
      </c>
      <c r="B1" s="11" t="s">
        <v>95</v>
      </c>
      <c r="C1" s="11" t="s">
        <v>100</v>
      </c>
      <c r="D1" s="11" t="s">
        <v>198</v>
      </c>
      <c r="E1" s="11" t="s">
        <v>101</v>
      </c>
      <c r="F1" s="11" t="s">
        <v>114</v>
      </c>
      <c r="G1" s="11" t="s">
        <v>115</v>
      </c>
      <c r="H1" s="10" t="s">
        <v>116</v>
      </c>
      <c r="I1" s="10" t="s">
        <v>101</v>
      </c>
    </row>
    <row r="2" spans="1:9" x14ac:dyDescent="0.2">
      <c r="A2" t="s">
        <v>0</v>
      </c>
      <c r="B2" t="s">
        <v>1</v>
      </c>
      <c r="C2" t="s">
        <v>1139</v>
      </c>
      <c r="D2" t="s">
        <v>9</v>
      </c>
      <c r="E2" t="s">
        <v>3</v>
      </c>
      <c r="F2" t="s">
        <v>1129</v>
      </c>
      <c r="G2" t="s">
        <v>1130</v>
      </c>
      <c r="H2">
        <f>IF(RIGHT(C2,1)="4",63,153)</f>
        <v>153</v>
      </c>
      <c r="I2" s="4" t="str">
        <f>MID(C2,7,1)</f>
        <v>I</v>
      </c>
    </row>
    <row r="3" spans="1:9" x14ac:dyDescent="0.2">
      <c r="A3" t="s">
        <v>0</v>
      </c>
      <c r="B3" t="s">
        <v>1</v>
      </c>
      <c r="C3" t="s">
        <v>1140</v>
      </c>
      <c r="D3" t="s">
        <v>10</v>
      </c>
      <c r="E3" t="s">
        <v>3</v>
      </c>
      <c r="F3" t="s">
        <v>1129</v>
      </c>
      <c r="G3" t="s">
        <v>1130</v>
      </c>
      <c r="H3">
        <f t="shared" ref="H3:H30" si="0">IF(RIGHT(C3,1)="4",63,153)</f>
        <v>63</v>
      </c>
      <c r="I3" s="4" t="str">
        <f t="shared" ref="I3:I66" si="1">MID(C3,7,1)</f>
        <v>I</v>
      </c>
    </row>
    <row r="4" spans="1:9" x14ac:dyDescent="0.2">
      <c r="A4" t="s">
        <v>0</v>
      </c>
      <c r="B4" t="s">
        <v>11</v>
      </c>
      <c r="C4" t="s">
        <v>1152</v>
      </c>
      <c r="D4" t="s">
        <v>9</v>
      </c>
      <c r="E4" t="s">
        <v>3</v>
      </c>
      <c r="F4" t="s">
        <v>1144</v>
      </c>
      <c r="G4" t="s">
        <v>1130</v>
      </c>
      <c r="H4">
        <f t="shared" si="0"/>
        <v>153</v>
      </c>
      <c r="I4" s="4" t="str">
        <f t="shared" si="1"/>
        <v>I</v>
      </c>
    </row>
    <row r="5" spans="1:9" x14ac:dyDescent="0.2">
      <c r="A5" t="s">
        <v>0</v>
      </c>
      <c r="B5" t="s">
        <v>11</v>
      </c>
      <c r="C5" t="s">
        <v>1153</v>
      </c>
      <c r="D5" t="s">
        <v>10</v>
      </c>
      <c r="E5" t="s">
        <v>3</v>
      </c>
      <c r="F5" t="s">
        <v>1144</v>
      </c>
      <c r="G5" t="s">
        <v>1130</v>
      </c>
      <c r="H5">
        <f t="shared" si="0"/>
        <v>63</v>
      </c>
      <c r="I5" s="4" t="str">
        <f t="shared" si="1"/>
        <v>I</v>
      </c>
    </row>
    <row r="6" spans="1:9" x14ac:dyDescent="0.2">
      <c r="A6" t="s">
        <v>0</v>
      </c>
      <c r="B6" t="s">
        <v>13</v>
      </c>
      <c r="C6" t="s">
        <v>1167</v>
      </c>
      <c r="D6" t="s">
        <v>9</v>
      </c>
      <c r="E6" t="s">
        <v>3</v>
      </c>
      <c r="F6" t="s">
        <v>1157</v>
      </c>
      <c r="G6" t="s">
        <v>1130</v>
      </c>
      <c r="H6">
        <f t="shared" si="0"/>
        <v>153</v>
      </c>
      <c r="I6" s="4" t="str">
        <f t="shared" si="1"/>
        <v>I</v>
      </c>
    </row>
    <row r="7" spans="1:9" x14ac:dyDescent="0.2">
      <c r="A7" t="s">
        <v>0</v>
      </c>
      <c r="B7" t="s">
        <v>13</v>
      </c>
      <c r="C7" t="s">
        <v>1168</v>
      </c>
      <c r="D7" t="s">
        <v>10</v>
      </c>
      <c r="E7" t="s">
        <v>3</v>
      </c>
      <c r="F7" t="s">
        <v>1157</v>
      </c>
      <c r="G7" t="s">
        <v>1130</v>
      </c>
      <c r="H7">
        <f t="shared" si="0"/>
        <v>63</v>
      </c>
      <c r="I7" s="4" t="str">
        <f t="shared" si="1"/>
        <v>I</v>
      </c>
    </row>
    <row r="8" spans="1:9" x14ac:dyDescent="0.2">
      <c r="A8" t="s">
        <v>0</v>
      </c>
      <c r="B8" t="s">
        <v>21</v>
      </c>
      <c r="C8" t="s">
        <v>1180</v>
      </c>
      <c r="D8" t="s">
        <v>9</v>
      </c>
      <c r="E8" t="s">
        <v>3</v>
      </c>
      <c r="F8" t="s">
        <v>1172</v>
      </c>
      <c r="G8" t="s">
        <v>1130</v>
      </c>
      <c r="H8">
        <f t="shared" si="0"/>
        <v>153</v>
      </c>
      <c r="I8" s="4" t="str">
        <f t="shared" si="1"/>
        <v>I</v>
      </c>
    </row>
    <row r="9" spans="1:9" x14ac:dyDescent="0.2">
      <c r="A9" t="s">
        <v>0</v>
      </c>
      <c r="B9" t="s">
        <v>21</v>
      </c>
      <c r="C9" t="s">
        <v>1181</v>
      </c>
      <c r="D9" t="s">
        <v>10</v>
      </c>
      <c r="E9" t="s">
        <v>3</v>
      </c>
      <c r="F9" t="s">
        <v>1172</v>
      </c>
      <c r="G9" t="s">
        <v>1130</v>
      </c>
      <c r="H9">
        <f t="shared" si="0"/>
        <v>63</v>
      </c>
      <c r="I9" s="4" t="str">
        <f t="shared" si="1"/>
        <v>I</v>
      </c>
    </row>
    <row r="10" spans="1:9" x14ac:dyDescent="0.2">
      <c r="A10" t="s">
        <v>0</v>
      </c>
      <c r="B10" t="s">
        <v>22</v>
      </c>
      <c r="C10" t="s">
        <v>1193</v>
      </c>
      <c r="D10" t="s">
        <v>9</v>
      </c>
      <c r="E10" t="s">
        <v>3</v>
      </c>
      <c r="F10" t="s">
        <v>1185</v>
      </c>
      <c r="G10" t="s">
        <v>1130</v>
      </c>
      <c r="H10">
        <f t="shared" si="0"/>
        <v>153</v>
      </c>
      <c r="I10" s="4" t="str">
        <f t="shared" si="1"/>
        <v>I</v>
      </c>
    </row>
    <row r="11" spans="1:9" x14ac:dyDescent="0.2">
      <c r="A11" t="s">
        <v>0</v>
      </c>
      <c r="B11" t="s">
        <v>22</v>
      </c>
      <c r="C11" t="s">
        <v>1194</v>
      </c>
      <c r="D11" t="s">
        <v>10</v>
      </c>
      <c r="E11" t="s">
        <v>3</v>
      </c>
      <c r="F11" t="s">
        <v>1185</v>
      </c>
      <c r="G11" t="s">
        <v>1130</v>
      </c>
      <c r="H11">
        <f t="shared" si="0"/>
        <v>63</v>
      </c>
      <c r="I11" s="4" t="str">
        <f t="shared" si="1"/>
        <v>I</v>
      </c>
    </row>
    <row r="12" spans="1:9" x14ac:dyDescent="0.2">
      <c r="A12" t="s">
        <v>23</v>
      </c>
      <c r="B12" t="s">
        <v>24</v>
      </c>
      <c r="C12" t="s">
        <v>1207</v>
      </c>
      <c r="D12" t="s">
        <v>9</v>
      </c>
      <c r="E12" t="s">
        <v>3</v>
      </c>
      <c r="F12" t="s">
        <v>1197</v>
      </c>
      <c r="G12" t="s">
        <v>1130</v>
      </c>
      <c r="H12">
        <f t="shared" si="0"/>
        <v>153</v>
      </c>
      <c r="I12" s="4" t="str">
        <f t="shared" si="1"/>
        <v>I</v>
      </c>
    </row>
    <row r="13" spans="1:9" x14ac:dyDescent="0.2">
      <c r="A13" t="s">
        <v>23</v>
      </c>
      <c r="B13" t="s">
        <v>24</v>
      </c>
      <c r="C13" t="s">
        <v>1208</v>
      </c>
      <c r="D13" t="s">
        <v>10</v>
      </c>
      <c r="E13" t="s">
        <v>3</v>
      </c>
      <c r="F13" t="s">
        <v>1197</v>
      </c>
      <c r="G13" t="s">
        <v>1130</v>
      </c>
      <c r="H13">
        <f t="shared" si="0"/>
        <v>63</v>
      </c>
      <c r="I13" s="4" t="str">
        <f t="shared" si="1"/>
        <v>I</v>
      </c>
    </row>
    <row r="14" spans="1:9" x14ac:dyDescent="0.2">
      <c r="A14" t="s">
        <v>23</v>
      </c>
      <c r="B14" t="s">
        <v>25</v>
      </c>
      <c r="C14" t="s">
        <v>1220</v>
      </c>
      <c r="D14" t="s">
        <v>9</v>
      </c>
      <c r="E14" t="s">
        <v>3</v>
      </c>
      <c r="F14" t="s">
        <v>1212</v>
      </c>
      <c r="G14" t="s">
        <v>1130</v>
      </c>
      <c r="H14">
        <f t="shared" si="0"/>
        <v>153</v>
      </c>
      <c r="I14" s="4" t="str">
        <f t="shared" si="1"/>
        <v>I</v>
      </c>
    </row>
    <row r="15" spans="1:9" x14ac:dyDescent="0.2">
      <c r="A15" t="s">
        <v>23</v>
      </c>
      <c r="B15" t="s">
        <v>25</v>
      </c>
      <c r="C15" t="s">
        <v>1221</v>
      </c>
      <c r="D15" t="s">
        <v>10</v>
      </c>
      <c r="E15" t="s">
        <v>3</v>
      </c>
      <c r="F15" t="s">
        <v>1212</v>
      </c>
      <c r="G15" t="s">
        <v>1130</v>
      </c>
      <c r="H15">
        <f t="shared" si="0"/>
        <v>63</v>
      </c>
      <c r="I15" s="4" t="str">
        <f t="shared" si="1"/>
        <v>I</v>
      </c>
    </row>
    <row r="16" spans="1:9" x14ac:dyDescent="0.2">
      <c r="A16" t="s">
        <v>23</v>
      </c>
      <c r="B16" t="s">
        <v>26</v>
      </c>
      <c r="C16" t="s">
        <v>1233</v>
      </c>
      <c r="D16" t="s">
        <v>9</v>
      </c>
      <c r="E16" t="s">
        <v>3</v>
      </c>
      <c r="F16" t="s">
        <v>1225</v>
      </c>
      <c r="G16" t="s">
        <v>1130</v>
      </c>
      <c r="H16">
        <f t="shared" si="0"/>
        <v>153</v>
      </c>
      <c r="I16" s="4" t="str">
        <f t="shared" si="1"/>
        <v>I</v>
      </c>
    </row>
    <row r="17" spans="1:9" x14ac:dyDescent="0.2">
      <c r="A17" t="s">
        <v>23</v>
      </c>
      <c r="B17" t="s">
        <v>26</v>
      </c>
      <c r="C17" t="s">
        <v>1234</v>
      </c>
      <c r="D17" t="s">
        <v>10</v>
      </c>
      <c r="E17" t="s">
        <v>3</v>
      </c>
      <c r="F17" t="s">
        <v>1225</v>
      </c>
      <c r="G17" t="s">
        <v>1130</v>
      </c>
      <c r="H17">
        <f t="shared" si="0"/>
        <v>63</v>
      </c>
      <c r="I17" s="4" t="str">
        <f t="shared" si="1"/>
        <v>I</v>
      </c>
    </row>
    <row r="18" spans="1:9" x14ac:dyDescent="0.2">
      <c r="A18" t="s">
        <v>27</v>
      </c>
      <c r="B18" t="s">
        <v>28</v>
      </c>
      <c r="C18" t="s">
        <v>1245</v>
      </c>
      <c r="D18" t="s">
        <v>9</v>
      </c>
      <c r="E18" t="s">
        <v>3</v>
      </c>
      <c r="F18" t="s">
        <v>1238</v>
      </c>
      <c r="G18" t="s">
        <v>1130</v>
      </c>
      <c r="H18">
        <f t="shared" si="0"/>
        <v>153</v>
      </c>
      <c r="I18" s="4" t="str">
        <f t="shared" si="1"/>
        <v>I</v>
      </c>
    </row>
    <row r="19" spans="1:9" x14ac:dyDescent="0.2">
      <c r="A19" t="s">
        <v>27</v>
      </c>
      <c r="B19" t="s">
        <v>28</v>
      </c>
      <c r="C19" t="s">
        <v>1246</v>
      </c>
      <c r="D19" t="s">
        <v>10</v>
      </c>
      <c r="E19" t="s">
        <v>3</v>
      </c>
      <c r="F19" t="s">
        <v>1238</v>
      </c>
      <c r="G19" t="s">
        <v>1130</v>
      </c>
      <c r="H19">
        <f t="shared" si="0"/>
        <v>63</v>
      </c>
      <c r="I19" s="4" t="str">
        <f t="shared" si="1"/>
        <v>I</v>
      </c>
    </row>
    <row r="20" spans="1:9" x14ac:dyDescent="0.2">
      <c r="A20" t="s">
        <v>27</v>
      </c>
      <c r="B20" t="s">
        <v>29</v>
      </c>
      <c r="C20" t="s">
        <v>1262</v>
      </c>
      <c r="D20" t="s">
        <v>9</v>
      </c>
      <c r="E20" t="s">
        <v>3</v>
      </c>
      <c r="F20" t="s">
        <v>1250</v>
      </c>
      <c r="G20" t="s">
        <v>1130</v>
      </c>
      <c r="H20">
        <f t="shared" si="0"/>
        <v>153</v>
      </c>
      <c r="I20" s="4" t="str">
        <f t="shared" si="1"/>
        <v>I</v>
      </c>
    </row>
    <row r="21" spans="1:9" x14ac:dyDescent="0.2">
      <c r="A21" t="s">
        <v>27</v>
      </c>
      <c r="B21" t="s">
        <v>29</v>
      </c>
      <c r="C21" t="s">
        <v>1263</v>
      </c>
      <c r="D21" t="s">
        <v>10</v>
      </c>
      <c r="E21" t="s">
        <v>3</v>
      </c>
      <c r="F21" t="s">
        <v>1250</v>
      </c>
      <c r="G21" t="s">
        <v>1130</v>
      </c>
      <c r="H21">
        <f t="shared" si="0"/>
        <v>63</v>
      </c>
      <c r="I21" s="4" t="str">
        <f t="shared" si="1"/>
        <v>I</v>
      </c>
    </row>
    <row r="22" spans="1:9" x14ac:dyDescent="0.2">
      <c r="A22" t="s">
        <v>27</v>
      </c>
      <c r="B22" t="s">
        <v>31</v>
      </c>
      <c r="C22" t="s">
        <v>1275</v>
      </c>
      <c r="D22" t="s">
        <v>9</v>
      </c>
      <c r="E22" t="s">
        <v>3</v>
      </c>
      <c r="F22" t="s">
        <v>1267</v>
      </c>
      <c r="G22" t="s">
        <v>1130</v>
      </c>
      <c r="H22">
        <f t="shared" si="0"/>
        <v>153</v>
      </c>
      <c r="I22" s="4" t="str">
        <f t="shared" si="1"/>
        <v>I</v>
      </c>
    </row>
    <row r="23" spans="1:9" x14ac:dyDescent="0.2">
      <c r="A23" t="s">
        <v>27</v>
      </c>
      <c r="B23" t="s">
        <v>31</v>
      </c>
      <c r="C23" t="s">
        <v>1276</v>
      </c>
      <c r="D23" t="s">
        <v>10</v>
      </c>
      <c r="E23" t="s">
        <v>3</v>
      </c>
      <c r="F23" t="s">
        <v>1267</v>
      </c>
      <c r="G23" t="s">
        <v>1130</v>
      </c>
      <c r="H23">
        <f t="shared" si="0"/>
        <v>63</v>
      </c>
      <c r="I23" s="4" t="str">
        <f t="shared" si="1"/>
        <v>I</v>
      </c>
    </row>
    <row r="24" spans="1:9" x14ac:dyDescent="0.2">
      <c r="A24" t="s">
        <v>0</v>
      </c>
      <c r="B24" t="s">
        <v>32</v>
      </c>
      <c r="C24" t="s">
        <v>1289</v>
      </c>
      <c r="D24" t="s">
        <v>9</v>
      </c>
      <c r="E24" t="s">
        <v>3</v>
      </c>
      <c r="F24" t="s">
        <v>1280</v>
      </c>
      <c r="G24" t="s">
        <v>1281</v>
      </c>
      <c r="H24">
        <f t="shared" si="0"/>
        <v>153</v>
      </c>
      <c r="I24" s="4" t="str">
        <f t="shared" si="1"/>
        <v>I</v>
      </c>
    </row>
    <row r="25" spans="1:9" x14ac:dyDescent="0.2">
      <c r="A25" t="s">
        <v>0</v>
      </c>
      <c r="B25" t="s">
        <v>32</v>
      </c>
      <c r="C25" t="s">
        <v>1290</v>
      </c>
      <c r="D25" t="s">
        <v>10</v>
      </c>
      <c r="E25" t="s">
        <v>3</v>
      </c>
      <c r="F25" t="s">
        <v>1280</v>
      </c>
      <c r="G25" t="s">
        <v>1281</v>
      </c>
      <c r="H25">
        <f t="shared" si="0"/>
        <v>63</v>
      </c>
      <c r="I25" s="4" t="str">
        <f t="shared" si="1"/>
        <v>I</v>
      </c>
    </row>
    <row r="26" spans="1:9" x14ac:dyDescent="0.2">
      <c r="A26" t="s">
        <v>0</v>
      </c>
      <c r="B26" t="s">
        <v>33</v>
      </c>
      <c r="C26" t="s">
        <v>1302</v>
      </c>
      <c r="D26" t="s">
        <v>9</v>
      </c>
      <c r="E26" t="s">
        <v>3</v>
      </c>
      <c r="F26" t="s">
        <v>1294</v>
      </c>
      <c r="G26" t="s">
        <v>1281</v>
      </c>
      <c r="H26">
        <f t="shared" si="0"/>
        <v>153</v>
      </c>
      <c r="I26" s="4" t="str">
        <f t="shared" si="1"/>
        <v>I</v>
      </c>
    </row>
    <row r="27" spans="1:9" x14ac:dyDescent="0.2">
      <c r="A27" t="s">
        <v>0</v>
      </c>
      <c r="B27" t="s">
        <v>33</v>
      </c>
      <c r="C27" t="s">
        <v>1303</v>
      </c>
      <c r="D27" t="s">
        <v>10</v>
      </c>
      <c r="E27" t="s">
        <v>3</v>
      </c>
      <c r="F27" t="s">
        <v>1294</v>
      </c>
      <c r="G27" t="s">
        <v>1281</v>
      </c>
      <c r="H27">
        <f t="shared" si="0"/>
        <v>63</v>
      </c>
      <c r="I27" s="4" t="str">
        <f t="shared" si="1"/>
        <v>I</v>
      </c>
    </row>
    <row r="28" spans="1:9" x14ac:dyDescent="0.2">
      <c r="A28" t="s">
        <v>0</v>
      </c>
      <c r="B28" t="s">
        <v>34</v>
      </c>
      <c r="C28" t="s">
        <v>1314</v>
      </c>
      <c r="D28" t="s">
        <v>9</v>
      </c>
      <c r="E28" t="s">
        <v>3</v>
      </c>
      <c r="F28" t="s">
        <v>1307</v>
      </c>
      <c r="G28" t="s">
        <v>1281</v>
      </c>
      <c r="H28">
        <f t="shared" si="0"/>
        <v>153</v>
      </c>
      <c r="I28" s="4" t="str">
        <f t="shared" si="1"/>
        <v>I</v>
      </c>
    </row>
    <row r="29" spans="1:9" x14ac:dyDescent="0.2">
      <c r="A29" t="s">
        <v>0</v>
      </c>
      <c r="B29" t="s">
        <v>34</v>
      </c>
      <c r="C29" t="s">
        <v>1315</v>
      </c>
      <c r="D29" t="s">
        <v>10</v>
      </c>
      <c r="E29" t="s">
        <v>3</v>
      </c>
      <c r="F29" t="s">
        <v>1307</v>
      </c>
      <c r="G29" t="s">
        <v>1281</v>
      </c>
      <c r="H29">
        <f t="shared" si="0"/>
        <v>63</v>
      </c>
      <c r="I29" s="4" t="str">
        <f t="shared" si="1"/>
        <v>I</v>
      </c>
    </row>
    <row r="30" spans="1:9" x14ac:dyDescent="0.2">
      <c r="A30" t="s">
        <v>0</v>
      </c>
      <c r="B30" t="s">
        <v>35</v>
      </c>
      <c r="C30" t="s">
        <v>1329</v>
      </c>
      <c r="D30" t="s">
        <v>9</v>
      </c>
      <c r="E30" t="s">
        <v>3</v>
      </c>
      <c r="F30" t="s">
        <v>1319</v>
      </c>
      <c r="G30" t="s">
        <v>1281</v>
      </c>
      <c r="H30">
        <f t="shared" si="0"/>
        <v>153</v>
      </c>
      <c r="I30" s="4" t="str">
        <f t="shared" si="1"/>
        <v>I</v>
      </c>
    </row>
    <row r="31" spans="1:9" x14ac:dyDescent="0.2">
      <c r="A31" t="s">
        <v>0</v>
      </c>
      <c r="B31" t="s">
        <v>35</v>
      </c>
      <c r="C31" t="s">
        <v>1330</v>
      </c>
      <c r="D31" t="s">
        <v>10</v>
      </c>
      <c r="E31" t="s">
        <v>3</v>
      </c>
      <c r="F31" t="s">
        <v>1319</v>
      </c>
      <c r="G31" t="s">
        <v>1281</v>
      </c>
      <c r="H31">
        <f t="shared" ref="H31:H71" si="2">IF(RIGHT(C31,1)="4",63,153)</f>
        <v>63</v>
      </c>
      <c r="I31" s="4" t="str">
        <f t="shared" si="1"/>
        <v>I</v>
      </c>
    </row>
    <row r="32" spans="1:9" x14ac:dyDescent="0.2">
      <c r="A32" t="s">
        <v>0</v>
      </c>
      <c r="B32" t="s">
        <v>36</v>
      </c>
      <c r="C32" t="s">
        <v>1342</v>
      </c>
      <c r="D32" t="s">
        <v>9</v>
      </c>
      <c r="E32" t="s">
        <v>3</v>
      </c>
      <c r="F32" t="s">
        <v>1334</v>
      </c>
      <c r="G32" t="s">
        <v>1281</v>
      </c>
      <c r="H32">
        <f t="shared" si="2"/>
        <v>153</v>
      </c>
      <c r="I32" s="4" t="str">
        <f t="shared" si="1"/>
        <v>I</v>
      </c>
    </row>
    <row r="33" spans="1:9" x14ac:dyDescent="0.2">
      <c r="A33" t="s">
        <v>0</v>
      </c>
      <c r="B33" t="s">
        <v>36</v>
      </c>
      <c r="C33" t="s">
        <v>1343</v>
      </c>
      <c r="D33" t="s">
        <v>10</v>
      </c>
      <c r="E33" t="s">
        <v>3</v>
      </c>
      <c r="F33" t="s">
        <v>1334</v>
      </c>
      <c r="G33" t="s">
        <v>1281</v>
      </c>
      <c r="H33">
        <f t="shared" si="2"/>
        <v>63</v>
      </c>
      <c r="I33" s="4" t="str">
        <f t="shared" si="1"/>
        <v>I</v>
      </c>
    </row>
    <row r="34" spans="1:9" x14ac:dyDescent="0.2">
      <c r="A34" t="s">
        <v>0</v>
      </c>
      <c r="B34" t="s">
        <v>37</v>
      </c>
      <c r="C34" t="s">
        <v>1355</v>
      </c>
      <c r="D34" t="s">
        <v>9</v>
      </c>
      <c r="E34" t="s">
        <v>3</v>
      </c>
      <c r="F34" t="s">
        <v>1347</v>
      </c>
      <c r="G34" t="s">
        <v>1281</v>
      </c>
      <c r="H34">
        <f t="shared" si="2"/>
        <v>153</v>
      </c>
      <c r="I34" s="4" t="str">
        <f t="shared" si="1"/>
        <v>I</v>
      </c>
    </row>
    <row r="35" spans="1:9" x14ac:dyDescent="0.2">
      <c r="A35" t="s">
        <v>0</v>
      </c>
      <c r="B35" t="s">
        <v>37</v>
      </c>
      <c r="C35" t="s">
        <v>1356</v>
      </c>
      <c r="D35" t="s">
        <v>10</v>
      </c>
      <c r="E35" t="s">
        <v>3</v>
      </c>
      <c r="F35" t="s">
        <v>1347</v>
      </c>
      <c r="G35" t="s">
        <v>1281</v>
      </c>
      <c r="H35">
        <f t="shared" si="2"/>
        <v>63</v>
      </c>
      <c r="I35" s="4" t="str">
        <f t="shared" si="1"/>
        <v>I</v>
      </c>
    </row>
    <row r="36" spans="1:9" x14ac:dyDescent="0.2">
      <c r="A36" t="s">
        <v>23</v>
      </c>
      <c r="B36" t="s">
        <v>38</v>
      </c>
      <c r="C36" t="s">
        <v>1368</v>
      </c>
      <c r="D36" t="s">
        <v>9</v>
      </c>
      <c r="E36" t="s">
        <v>3</v>
      </c>
      <c r="F36" t="s">
        <v>1360</v>
      </c>
      <c r="G36" t="s">
        <v>1281</v>
      </c>
      <c r="H36">
        <f t="shared" si="2"/>
        <v>153</v>
      </c>
      <c r="I36" s="4" t="str">
        <f t="shared" si="1"/>
        <v>I</v>
      </c>
    </row>
    <row r="37" spans="1:9" x14ac:dyDescent="0.2">
      <c r="A37" t="s">
        <v>23</v>
      </c>
      <c r="B37" t="s">
        <v>38</v>
      </c>
      <c r="C37" t="s">
        <v>1369</v>
      </c>
      <c r="D37" t="s">
        <v>10</v>
      </c>
      <c r="E37" t="s">
        <v>3</v>
      </c>
      <c r="F37" t="s">
        <v>1360</v>
      </c>
      <c r="G37" t="s">
        <v>1281</v>
      </c>
      <c r="H37">
        <f t="shared" si="2"/>
        <v>63</v>
      </c>
      <c r="I37" s="4" t="str">
        <f t="shared" si="1"/>
        <v>I</v>
      </c>
    </row>
    <row r="38" spans="1:9" x14ac:dyDescent="0.2">
      <c r="A38" t="s">
        <v>23</v>
      </c>
      <c r="B38" t="s">
        <v>39</v>
      </c>
      <c r="C38" t="s">
        <v>1380</v>
      </c>
      <c r="D38" t="s">
        <v>9</v>
      </c>
      <c r="E38" t="s">
        <v>3</v>
      </c>
      <c r="F38" t="s">
        <v>1373</v>
      </c>
      <c r="G38" t="s">
        <v>1281</v>
      </c>
      <c r="H38">
        <f t="shared" si="2"/>
        <v>153</v>
      </c>
      <c r="I38" s="4" t="str">
        <f t="shared" si="1"/>
        <v>I</v>
      </c>
    </row>
    <row r="39" spans="1:9" x14ac:dyDescent="0.2">
      <c r="A39" t="s">
        <v>23</v>
      </c>
      <c r="B39" t="s">
        <v>39</v>
      </c>
      <c r="C39" t="s">
        <v>1381</v>
      </c>
      <c r="D39" t="s">
        <v>10</v>
      </c>
      <c r="E39" t="s">
        <v>3</v>
      </c>
      <c r="F39" t="s">
        <v>1373</v>
      </c>
      <c r="G39" t="s">
        <v>1281</v>
      </c>
      <c r="H39">
        <f t="shared" si="2"/>
        <v>63</v>
      </c>
      <c r="I39" s="4" t="str">
        <f t="shared" si="1"/>
        <v>I</v>
      </c>
    </row>
    <row r="40" spans="1:9" x14ac:dyDescent="0.2">
      <c r="A40" t="s">
        <v>23</v>
      </c>
      <c r="B40" t="s">
        <v>40</v>
      </c>
      <c r="C40" t="s">
        <v>1393</v>
      </c>
      <c r="D40" t="s">
        <v>9</v>
      </c>
      <c r="E40" t="s">
        <v>3</v>
      </c>
      <c r="F40" t="s">
        <v>1384</v>
      </c>
      <c r="G40" t="s">
        <v>1281</v>
      </c>
      <c r="H40">
        <f t="shared" si="2"/>
        <v>153</v>
      </c>
      <c r="I40" s="4" t="str">
        <f t="shared" si="1"/>
        <v>I</v>
      </c>
    </row>
    <row r="41" spans="1:9" x14ac:dyDescent="0.2">
      <c r="A41" t="s">
        <v>23</v>
      </c>
      <c r="B41" t="s">
        <v>40</v>
      </c>
      <c r="C41" t="s">
        <v>1394</v>
      </c>
      <c r="D41" t="s">
        <v>10</v>
      </c>
      <c r="E41" t="s">
        <v>3</v>
      </c>
      <c r="F41" t="s">
        <v>1384</v>
      </c>
      <c r="G41" t="s">
        <v>1281</v>
      </c>
      <c r="H41">
        <f t="shared" si="2"/>
        <v>63</v>
      </c>
      <c r="I41" s="4" t="str">
        <f t="shared" si="1"/>
        <v>I</v>
      </c>
    </row>
    <row r="42" spans="1:9" x14ac:dyDescent="0.2">
      <c r="A42" t="s">
        <v>27</v>
      </c>
      <c r="B42" t="s">
        <v>41</v>
      </c>
      <c r="C42" t="s">
        <v>1407</v>
      </c>
      <c r="D42" t="s">
        <v>9</v>
      </c>
      <c r="E42" t="s">
        <v>3</v>
      </c>
      <c r="F42" t="s">
        <v>1398</v>
      </c>
      <c r="G42" t="s">
        <v>1281</v>
      </c>
      <c r="H42">
        <f t="shared" si="2"/>
        <v>153</v>
      </c>
      <c r="I42" s="4" t="str">
        <f t="shared" si="1"/>
        <v>I</v>
      </c>
    </row>
    <row r="43" spans="1:9" x14ac:dyDescent="0.2">
      <c r="A43" t="s">
        <v>27</v>
      </c>
      <c r="B43" t="s">
        <v>41</v>
      </c>
      <c r="C43" t="s">
        <v>1408</v>
      </c>
      <c r="D43" t="s">
        <v>10</v>
      </c>
      <c r="E43" t="s">
        <v>3</v>
      </c>
      <c r="F43" t="s">
        <v>1398</v>
      </c>
      <c r="G43" t="s">
        <v>1281</v>
      </c>
      <c r="H43">
        <f t="shared" si="2"/>
        <v>63</v>
      </c>
      <c r="I43" s="4" t="str">
        <f t="shared" si="1"/>
        <v>I</v>
      </c>
    </row>
    <row r="44" spans="1:9" x14ac:dyDescent="0.2">
      <c r="A44" t="s">
        <v>27</v>
      </c>
      <c r="B44" t="s">
        <v>42</v>
      </c>
      <c r="C44" t="s">
        <v>1420</v>
      </c>
      <c r="D44" t="s">
        <v>9</v>
      </c>
      <c r="E44" t="s">
        <v>3</v>
      </c>
      <c r="F44" t="s">
        <v>1412</v>
      </c>
      <c r="G44" t="s">
        <v>1281</v>
      </c>
      <c r="H44">
        <f t="shared" si="2"/>
        <v>153</v>
      </c>
      <c r="I44" s="4" t="str">
        <f t="shared" si="1"/>
        <v>I</v>
      </c>
    </row>
    <row r="45" spans="1:9" x14ac:dyDescent="0.2">
      <c r="A45" t="s">
        <v>27</v>
      </c>
      <c r="B45" t="s">
        <v>42</v>
      </c>
      <c r="C45" t="s">
        <v>1421</v>
      </c>
      <c r="D45" t="s">
        <v>10</v>
      </c>
      <c r="E45" t="s">
        <v>3</v>
      </c>
      <c r="F45" t="s">
        <v>1412</v>
      </c>
      <c r="G45" t="s">
        <v>1281</v>
      </c>
      <c r="H45">
        <f t="shared" si="2"/>
        <v>63</v>
      </c>
      <c r="I45" s="4" t="str">
        <f t="shared" si="1"/>
        <v>I</v>
      </c>
    </row>
    <row r="46" spans="1:9" x14ac:dyDescent="0.2">
      <c r="A46" t="s">
        <v>27</v>
      </c>
      <c r="B46" t="s">
        <v>43</v>
      </c>
      <c r="C46" t="s">
        <v>1433</v>
      </c>
      <c r="D46" t="s">
        <v>9</v>
      </c>
      <c r="E46" t="s">
        <v>3</v>
      </c>
      <c r="F46" t="s">
        <v>1424</v>
      </c>
      <c r="G46" t="s">
        <v>1281</v>
      </c>
      <c r="H46">
        <f t="shared" si="2"/>
        <v>153</v>
      </c>
      <c r="I46" s="4" t="str">
        <f t="shared" si="1"/>
        <v>I</v>
      </c>
    </row>
    <row r="47" spans="1:9" x14ac:dyDescent="0.2">
      <c r="A47" t="s">
        <v>27</v>
      </c>
      <c r="B47" t="s">
        <v>43</v>
      </c>
      <c r="C47" t="s">
        <v>1434</v>
      </c>
      <c r="D47" t="s">
        <v>10</v>
      </c>
      <c r="E47" t="s">
        <v>3</v>
      </c>
      <c r="F47" t="s">
        <v>1424</v>
      </c>
      <c r="G47" t="s">
        <v>1281</v>
      </c>
      <c r="H47">
        <f t="shared" si="2"/>
        <v>63</v>
      </c>
      <c r="I47" s="4" t="str">
        <f t="shared" si="1"/>
        <v>I</v>
      </c>
    </row>
    <row r="48" spans="1:9" x14ac:dyDescent="0.2">
      <c r="A48" t="s">
        <v>27</v>
      </c>
      <c r="B48" t="s">
        <v>44</v>
      </c>
      <c r="C48" t="s">
        <v>1449</v>
      </c>
      <c r="D48" t="s">
        <v>9</v>
      </c>
      <c r="E48" t="s">
        <v>3</v>
      </c>
      <c r="F48" t="s">
        <v>1438</v>
      </c>
      <c r="G48" t="s">
        <v>1281</v>
      </c>
      <c r="H48">
        <f t="shared" si="2"/>
        <v>153</v>
      </c>
      <c r="I48" s="4" t="str">
        <f t="shared" si="1"/>
        <v>I</v>
      </c>
    </row>
    <row r="49" spans="1:9" x14ac:dyDescent="0.2">
      <c r="A49" t="s">
        <v>27</v>
      </c>
      <c r="B49" t="s">
        <v>44</v>
      </c>
      <c r="C49" t="s">
        <v>1450</v>
      </c>
      <c r="D49" t="s">
        <v>10</v>
      </c>
      <c r="E49" t="s">
        <v>3</v>
      </c>
      <c r="F49" t="s">
        <v>1438</v>
      </c>
      <c r="G49" t="s">
        <v>1281</v>
      </c>
      <c r="H49">
        <f t="shared" si="2"/>
        <v>63</v>
      </c>
      <c r="I49" s="4" t="str">
        <f t="shared" si="1"/>
        <v>I</v>
      </c>
    </row>
    <row r="50" spans="1:9" x14ac:dyDescent="0.2">
      <c r="A50" t="s">
        <v>27</v>
      </c>
      <c r="B50" t="s">
        <v>45</v>
      </c>
      <c r="C50" t="s">
        <v>1462</v>
      </c>
      <c r="D50" t="s">
        <v>9</v>
      </c>
      <c r="E50" t="s">
        <v>3</v>
      </c>
      <c r="F50" t="s">
        <v>1454</v>
      </c>
      <c r="G50" t="s">
        <v>1281</v>
      </c>
      <c r="H50">
        <f t="shared" si="2"/>
        <v>153</v>
      </c>
      <c r="I50" s="4" t="str">
        <f t="shared" si="1"/>
        <v>I</v>
      </c>
    </row>
    <row r="51" spans="1:9" x14ac:dyDescent="0.2">
      <c r="A51" t="s">
        <v>27</v>
      </c>
      <c r="B51" t="s">
        <v>45</v>
      </c>
      <c r="C51" t="s">
        <v>1463</v>
      </c>
      <c r="D51" t="s">
        <v>10</v>
      </c>
      <c r="E51" t="s">
        <v>3</v>
      </c>
      <c r="F51" t="s">
        <v>1454</v>
      </c>
      <c r="G51" t="s">
        <v>1281</v>
      </c>
      <c r="H51">
        <f t="shared" si="2"/>
        <v>63</v>
      </c>
      <c r="I51" s="4" t="str">
        <f t="shared" si="1"/>
        <v>I</v>
      </c>
    </row>
    <row r="52" spans="1:9" x14ac:dyDescent="0.2">
      <c r="A52" t="s">
        <v>46</v>
      </c>
      <c r="B52" t="s">
        <v>47</v>
      </c>
      <c r="C52" t="s">
        <v>1483</v>
      </c>
      <c r="D52" t="s">
        <v>9</v>
      </c>
      <c r="E52" t="s">
        <v>3</v>
      </c>
      <c r="F52" t="s">
        <v>1473</v>
      </c>
      <c r="G52" t="s">
        <v>1474</v>
      </c>
      <c r="H52">
        <f t="shared" si="2"/>
        <v>153</v>
      </c>
      <c r="I52" s="4" t="str">
        <f t="shared" si="1"/>
        <v>I</v>
      </c>
    </row>
    <row r="53" spans="1:9" x14ac:dyDescent="0.2">
      <c r="A53" t="s">
        <v>46</v>
      </c>
      <c r="B53" t="s">
        <v>47</v>
      </c>
      <c r="C53" t="s">
        <v>1484</v>
      </c>
      <c r="D53" t="s">
        <v>10</v>
      </c>
      <c r="E53" t="s">
        <v>3</v>
      </c>
      <c r="F53" t="s">
        <v>1473</v>
      </c>
      <c r="G53" t="s">
        <v>1474</v>
      </c>
      <c r="H53">
        <f t="shared" si="2"/>
        <v>63</v>
      </c>
      <c r="I53" s="4" t="str">
        <f t="shared" si="1"/>
        <v>I</v>
      </c>
    </row>
    <row r="54" spans="1:9" x14ac:dyDescent="0.2">
      <c r="A54" t="s">
        <v>46</v>
      </c>
      <c r="B54" t="s">
        <v>48</v>
      </c>
      <c r="C54" t="s">
        <v>1496</v>
      </c>
      <c r="D54" t="s">
        <v>9</v>
      </c>
      <c r="E54" t="s">
        <v>3</v>
      </c>
      <c r="F54" t="s">
        <v>1488</v>
      </c>
      <c r="G54" t="s">
        <v>1474</v>
      </c>
      <c r="H54">
        <f t="shared" si="2"/>
        <v>153</v>
      </c>
      <c r="I54" s="4" t="str">
        <f t="shared" si="1"/>
        <v>I</v>
      </c>
    </row>
    <row r="55" spans="1:9" x14ac:dyDescent="0.2">
      <c r="A55" t="s">
        <v>46</v>
      </c>
      <c r="B55" t="s">
        <v>48</v>
      </c>
      <c r="C55" t="s">
        <v>1497</v>
      </c>
      <c r="D55" t="s">
        <v>10</v>
      </c>
      <c r="E55" t="s">
        <v>3</v>
      </c>
      <c r="F55" t="s">
        <v>1488</v>
      </c>
      <c r="G55" t="s">
        <v>1474</v>
      </c>
      <c r="H55">
        <f t="shared" si="2"/>
        <v>63</v>
      </c>
      <c r="I55" s="4" t="str">
        <f t="shared" si="1"/>
        <v>I</v>
      </c>
    </row>
    <row r="56" spans="1:9" x14ac:dyDescent="0.2">
      <c r="A56" t="s">
        <v>46</v>
      </c>
      <c r="B56" t="s">
        <v>49</v>
      </c>
      <c r="C56" t="s">
        <v>1508</v>
      </c>
      <c r="D56" t="s">
        <v>9</v>
      </c>
      <c r="E56" t="s">
        <v>3</v>
      </c>
      <c r="F56" t="s">
        <v>1500</v>
      </c>
      <c r="G56" t="s">
        <v>1474</v>
      </c>
      <c r="H56">
        <f t="shared" si="2"/>
        <v>153</v>
      </c>
      <c r="I56" s="4" t="str">
        <f t="shared" si="1"/>
        <v>I</v>
      </c>
    </row>
    <row r="57" spans="1:9" x14ac:dyDescent="0.2">
      <c r="A57" t="s">
        <v>46</v>
      </c>
      <c r="B57" t="s">
        <v>49</v>
      </c>
      <c r="C57" t="s">
        <v>1509</v>
      </c>
      <c r="D57" t="s">
        <v>10</v>
      </c>
      <c r="E57" t="s">
        <v>3</v>
      </c>
      <c r="F57" t="s">
        <v>1500</v>
      </c>
      <c r="G57" t="s">
        <v>1474</v>
      </c>
      <c r="H57">
        <f t="shared" si="2"/>
        <v>63</v>
      </c>
      <c r="I57" s="4" t="str">
        <f t="shared" si="1"/>
        <v>I</v>
      </c>
    </row>
    <row r="58" spans="1:9" x14ac:dyDescent="0.2">
      <c r="A58" t="s">
        <v>46</v>
      </c>
      <c r="B58" t="s">
        <v>50</v>
      </c>
      <c r="C58" t="s">
        <v>1521</v>
      </c>
      <c r="D58" t="s">
        <v>9</v>
      </c>
      <c r="E58" t="s">
        <v>3</v>
      </c>
      <c r="F58" t="s">
        <v>1513</v>
      </c>
      <c r="G58" t="s">
        <v>1474</v>
      </c>
      <c r="H58">
        <f t="shared" si="2"/>
        <v>153</v>
      </c>
      <c r="I58" s="4" t="str">
        <f t="shared" si="1"/>
        <v>I</v>
      </c>
    </row>
    <row r="59" spans="1:9" x14ac:dyDescent="0.2">
      <c r="A59" t="s">
        <v>46</v>
      </c>
      <c r="B59" t="s">
        <v>50</v>
      </c>
      <c r="C59" t="s">
        <v>1522</v>
      </c>
      <c r="D59" t="s">
        <v>10</v>
      </c>
      <c r="E59" t="s">
        <v>3</v>
      </c>
      <c r="F59" t="s">
        <v>1513</v>
      </c>
      <c r="G59" t="s">
        <v>1474</v>
      </c>
      <c r="H59">
        <f t="shared" si="2"/>
        <v>63</v>
      </c>
      <c r="I59" s="4" t="str">
        <f t="shared" si="1"/>
        <v>I</v>
      </c>
    </row>
    <row r="60" spans="1:9" x14ac:dyDescent="0.2">
      <c r="A60" t="s">
        <v>23</v>
      </c>
      <c r="B60" t="s">
        <v>51</v>
      </c>
      <c r="C60" t="s">
        <v>1532</v>
      </c>
      <c r="D60" t="s">
        <v>9</v>
      </c>
      <c r="E60" t="s">
        <v>3</v>
      </c>
      <c r="F60" t="s">
        <v>1526</v>
      </c>
      <c r="G60" t="s">
        <v>1474</v>
      </c>
      <c r="H60">
        <f t="shared" si="2"/>
        <v>153</v>
      </c>
      <c r="I60" s="4" t="str">
        <f t="shared" si="1"/>
        <v>I</v>
      </c>
    </row>
    <row r="61" spans="1:9" x14ac:dyDescent="0.2">
      <c r="A61" t="s">
        <v>23</v>
      </c>
      <c r="B61" t="s">
        <v>51</v>
      </c>
      <c r="C61" t="s">
        <v>1533</v>
      </c>
      <c r="D61" t="s">
        <v>10</v>
      </c>
      <c r="E61" t="s">
        <v>3</v>
      </c>
      <c r="F61" t="s">
        <v>1526</v>
      </c>
      <c r="G61" t="s">
        <v>1474</v>
      </c>
      <c r="H61">
        <f t="shared" si="2"/>
        <v>63</v>
      </c>
      <c r="I61" s="4" t="str">
        <f t="shared" si="1"/>
        <v>I</v>
      </c>
    </row>
    <row r="62" spans="1:9" x14ac:dyDescent="0.2">
      <c r="A62" t="s">
        <v>23</v>
      </c>
      <c r="B62" t="s">
        <v>52</v>
      </c>
      <c r="C62" t="s">
        <v>1541</v>
      </c>
      <c r="D62" t="s">
        <v>9</v>
      </c>
      <c r="E62" t="s">
        <v>3</v>
      </c>
      <c r="F62" t="s">
        <v>1535</v>
      </c>
      <c r="G62" t="s">
        <v>1474</v>
      </c>
      <c r="H62">
        <f t="shared" si="2"/>
        <v>153</v>
      </c>
      <c r="I62" s="4" t="str">
        <f t="shared" si="1"/>
        <v>I</v>
      </c>
    </row>
    <row r="63" spans="1:9" x14ac:dyDescent="0.2">
      <c r="A63" t="s">
        <v>23</v>
      </c>
      <c r="B63" t="s">
        <v>52</v>
      </c>
      <c r="C63" t="s">
        <v>1542</v>
      </c>
      <c r="D63" t="s">
        <v>10</v>
      </c>
      <c r="E63" t="s">
        <v>3</v>
      </c>
      <c r="F63" t="s">
        <v>1535</v>
      </c>
      <c r="G63" t="s">
        <v>1474</v>
      </c>
      <c r="H63">
        <f t="shared" si="2"/>
        <v>63</v>
      </c>
      <c r="I63" s="4" t="str">
        <f t="shared" si="1"/>
        <v>I</v>
      </c>
    </row>
    <row r="64" spans="1:9" x14ac:dyDescent="0.2">
      <c r="A64" t="s">
        <v>23</v>
      </c>
      <c r="B64" t="s">
        <v>53</v>
      </c>
      <c r="C64" t="s">
        <v>1550</v>
      </c>
      <c r="D64" t="s">
        <v>9</v>
      </c>
      <c r="E64" t="s">
        <v>3</v>
      </c>
      <c r="F64" t="s">
        <v>1544</v>
      </c>
      <c r="G64" t="s">
        <v>1474</v>
      </c>
      <c r="H64">
        <f t="shared" si="2"/>
        <v>153</v>
      </c>
      <c r="I64" s="4" t="str">
        <f t="shared" si="1"/>
        <v>I</v>
      </c>
    </row>
    <row r="65" spans="1:9" x14ac:dyDescent="0.2">
      <c r="A65" t="s">
        <v>23</v>
      </c>
      <c r="B65" t="s">
        <v>53</v>
      </c>
      <c r="C65" t="s">
        <v>1551</v>
      </c>
      <c r="D65" t="s">
        <v>10</v>
      </c>
      <c r="E65" t="s">
        <v>3</v>
      </c>
      <c r="F65" t="s">
        <v>1544</v>
      </c>
      <c r="G65" t="s">
        <v>1474</v>
      </c>
      <c r="H65">
        <f t="shared" si="2"/>
        <v>63</v>
      </c>
      <c r="I65" s="4" t="str">
        <f t="shared" si="1"/>
        <v>I</v>
      </c>
    </row>
    <row r="66" spans="1:9" x14ac:dyDescent="0.2">
      <c r="A66" t="s">
        <v>23</v>
      </c>
      <c r="B66" t="s">
        <v>54</v>
      </c>
      <c r="C66" t="s">
        <v>1559</v>
      </c>
      <c r="D66" t="s">
        <v>9</v>
      </c>
      <c r="E66" t="s">
        <v>3</v>
      </c>
      <c r="F66" t="s">
        <v>1553</v>
      </c>
      <c r="G66" t="s">
        <v>1474</v>
      </c>
      <c r="H66">
        <f t="shared" si="2"/>
        <v>153</v>
      </c>
      <c r="I66" s="4" t="str">
        <f t="shared" si="1"/>
        <v>I</v>
      </c>
    </row>
    <row r="67" spans="1:9" x14ac:dyDescent="0.2">
      <c r="A67" t="s">
        <v>23</v>
      </c>
      <c r="B67" t="s">
        <v>54</v>
      </c>
      <c r="C67" t="s">
        <v>1560</v>
      </c>
      <c r="D67" t="s">
        <v>10</v>
      </c>
      <c r="E67" t="s">
        <v>3</v>
      </c>
      <c r="F67" t="s">
        <v>1553</v>
      </c>
      <c r="G67" t="s">
        <v>1474</v>
      </c>
      <c r="H67">
        <f t="shared" si="2"/>
        <v>63</v>
      </c>
      <c r="I67" s="4" t="str">
        <f t="shared" ref="I67:I130" si="3">MID(C67,7,1)</f>
        <v>I</v>
      </c>
    </row>
    <row r="68" spans="1:9" x14ac:dyDescent="0.2">
      <c r="A68" t="s">
        <v>23</v>
      </c>
      <c r="B68" t="s">
        <v>55</v>
      </c>
      <c r="C68" t="s">
        <v>1567</v>
      </c>
      <c r="D68" t="s">
        <v>9</v>
      </c>
      <c r="E68" t="s">
        <v>3</v>
      </c>
      <c r="F68" t="s">
        <v>1562</v>
      </c>
      <c r="G68" t="s">
        <v>1474</v>
      </c>
      <c r="H68">
        <f t="shared" si="2"/>
        <v>153</v>
      </c>
      <c r="I68" s="4" t="str">
        <f t="shared" si="3"/>
        <v>I</v>
      </c>
    </row>
    <row r="69" spans="1:9" x14ac:dyDescent="0.2">
      <c r="A69" t="s">
        <v>23</v>
      </c>
      <c r="B69" t="s">
        <v>55</v>
      </c>
      <c r="C69" t="s">
        <v>1568</v>
      </c>
      <c r="D69" t="s">
        <v>10</v>
      </c>
      <c r="E69" t="s">
        <v>3</v>
      </c>
      <c r="F69" t="s">
        <v>1562</v>
      </c>
      <c r="G69" t="s">
        <v>1474</v>
      </c>
      <c r="H69">
        <f t="shared" si="2"/>
        <v>63</v>
      </c>
      <c r="I69" s="4" t="str">
        <f t="shared" si="3"/>
        <v>I</v>
      </c>
    </row>
    <row r="70" spans="1:9" x14ac:dyDescent="0.2">
      <c r="A70" t="s">
        <v>23</v>
      </c>
      <c r="B70" t="s">
        <v>56</v>
      </c>
      <c r="C70" t="s">
        <v>1576</v>
      </c>
      <c r="D70" t="s">
        <v>9</v>
      </c>
      <c r="E70" t="s">
        <v>3</v>
      </c>
      <c r="F70" t="s">
        <v>1570</v>
      </c>
      <c r="G70" t="s">
        <v>1474</v>
      </c>
      <c r="H70">
        <f t="shared" si="2"/>
        <v>153</v>
      </c>
      <c r="I70" s="4" t="str">
        <f t="shared" si="3"/>
        <v>I</v>
      </c>
    </row>
    <row r="71" spans="1:9" x14ac:dyDescent="0.2">
      <c r="A71" t="s">
        <v>23</v>
      </c>
      <c r="B71" t="s">
        <v>56</v>
      </c>
      <c r="C71" t="s">
        <v>1577</v>
      </c>
      <c r="D71" t="s">
        <v>10</v>
      </c>
      <c r="E71" t="s">
        <v>3</v>
      </c>
      <c r="F71" t="s">
        <v>1570</v>
      </c>
      <c r="G71" t="s">
        <v>1474</v>
      </c>
      <c r="H71">
        <f t="shared" si="2"/>
        <v>63</v>
      </c>
      <c r="I71" s="4" t="str">
        <f t="shared" si="3"/>
        <v>I</v>
      </c>
    </row>
    <row r="72" spans="1:9" x14ac:dyDescent="0.2">
      <c r="A72" t="s">
        <v>23</v>
      </c>
      <c r="B72" t="s">
        <v>57</v>
      </c>
      <c r="C72" t="s">
        <v>1584</v>
      </c>
      <c r="D72" t="s">
        <v>9</v>
      </c>
      <c r="E72" t="s">
        <v>3</v>
      </c>
      <c r="F72" t="s">
        <v>1579</v>
      </c>
      <c r="G72" t="s">
        <v>1474</v>
      </c>
      <c r="H72">
        <f t="shared" ref="H72:H89" si="4">IF(RIGHT(C72,1)="4",63,153)</f>
        <v>153</v>
      </c>
      <c r="I72" s="4" t="str">
        <f t="shared" si="3"/>
        <v>I</v>
      </c>
    </row>
    <row r="73" spans="1:9" x14ac:dyDescent="0.2">
      <c r="A73" t="s">
        <v>23</v>
      </c>
      <c r="B73" t="s">
        <v>57</v>
      </c>
      <c r="C73" t="s">
        <v>1585</v>
      </c>
      <c r="D73" t="s">
        <v>10</v>
      </c>
      <c r="E73" t="s">
        <v>3</v>
      </c>
      <c r="F73" t="s">
        <v>1579</v>
      </c>
      <c r="G73" t="s">
        <v>1474</v>
      </c>
      <c r="H73">
        <f t="shared" si="4"/>
        <v>63</v>
      </c>
      <c r="I73" s="4" t="str">
        <f t="shared" si="3"/>
        <v>I</v>
      </c>
    </row>
    <row r="74" spans="1:9" x14ac:dyDescent="0.2">
      <c r="A74" t="s">
        <v>23</v>
      </c>
      <c r="B74" t="s">
        <v>58</v>
      </c>
      <c r="C74" t="s">
        <v>1593</v>
      </c>
      <c r="D74" t="s">
        <v>9</v>
      </c>
      <c r="E74" t="s">
        <v>3</v>
      </c>
      <c r="F74" t="s">
        <v>1587</v>
      </c>
      <c r="G74" t="s">
        <v>1474</v>
      </c>
      <c r="H74">
        <f t="shared" si="4"/>
        <v>153</v>
      </c>
      <c r="I74" s="4" t="str">
        <f t="shared" si="3"/>
        <v>I</v>
      </c>
    </row>
    <row r="75" spans="1:9" x14ac:dyDescent="0.2">
      <c r="A75" t="s">
        <v>23</v>
      </c>
      <c r="B75" t="s">
        <v>58</v>
      </c>
      <c r="C75" t="s">
        <v>1594</v>
      </c>
      <c r="D75" t="s">
        <v>10</v>
      </c>
      <c r="E75" t="s">
        <v>3</v>
      </c>
      <c r="F75" t="s">
        <v>1587</v>
      </c>
      <c r="G75" t="s">
        <v>1474</v>
      </c>
      <c r="H75">
        <f t="shared" si="4"/>
        <v>63</v>
      </c>
      <c r="I75" s="4" t="str">
        <f t="shared" si="3"/>
        <v>I</v>
      </c>
    </row>
    <row r="76" spans="1:9" x14ac:dyDescent="0.2">
      <c r="A76" t="s">
        <v>23</v>
      </c>
      <c r="B76" t="s">
        <v>59</v>
      </c>
      <c r="C76" t="s">
        <v>1602</v>
      </c>
      <c r="D76" t="s">
        <v>9</v>
      </c>
      <c r="E76" t="s">
        <v>3</v>
      </c>
      <c r="F76" t="s">
        <v>1596</v>
      </c>
      <c r="G76" t="s">
        <v>1474</v>
      </c>
      <c r="H76">
        <f t="shared" si="4"/>
        <v>153</v>
      </c>
      <c r="I76" s="4" t="str">
        <f t="shared" si="3"/>
        <v>I</v>
      </c>
    </row>
    <row r="77" spans="1:9" x14ac:dyDescent="0.2">
      <c r="A77" t="s">
        <v>23</v>
      </c>
      <c r="B77" t="s">
        <v>59</v>
      </c>
      <c r="C77" t="s">
        <v>1603</v>
      </c>
      <c r="D77" t="s">
        <v>10</v>
      </c>
      <c r="E77" t="s">
        <v>3</v>
      </c>
      <c r="F77" t="s">
        <v>1596</v>
      </c>
      <c r="G77" t="s">
        <v>1474</v>
      </c>
      <c r="H77">
        <f t="shared" si="4"/>
        <v>63</v>
      </c>
      <c r="I77" s="4" t="str">
        <f t="shared" si="3"/>
        <v>I</v>
      </c>
    </row>
    <row r="78" spans="1:9" x14ac:dyDescent="0.2">
      <c r="A78" t="s">
        <v>23</v>
      </c>
      <c r="B78" t="s">
        <v>60</v>
      </c>
      <c r="C78" t="s">
        <v>1611</v>
      </c>
      <c r="D78" t="s">
        <v>9</v>
      </c>
      <c r="E78" t="s">
        <v>3</v>
      </c>
      <c r="F78" t="s">
        <v>1605</v>
      </c>
      <c r="G78" t="s">
        <v>1474</v>
      </c>
      <c r="H78">
        <f t="shared" si="4"/>
        <v>153</v>
      </c>
      <c r="I78" s="4" t="str">
        <f t="shared" si="3"/>
        <v>I</v>
      </c>
    </row>
    <row r="79" spans="1:9" x14ac:dyDescent="0.2">
      <c r="A79" t="s">
        <v>23</v>
      </c>
      <c r="B79" t="s">
        <v>60</v>
      </c>
      <c r="C79" t="s">
        <v>1612</v>
      </c>
      <c r="D79" t="s">
        <v>10</v>
      </c>
      <c r="E79" t="s">
        <v>3</v>
      </c>
      <c r="F79" t="s">
        <v>1605</v>
      </c>
      <c r="G79" t="s">
        <v>1474</v>
      </c>
      <c r="H79">
        <f t="shared" si="4"/>
        <v>63</v>
      </c>
      <c r="I79" s="4" t="str">
        <f t="shared" si="3"/>
        <v>I</v>
      </c>
    </row>
    <row r="80" spans="1:9" x14ac:dyDescent="0.2">
      <c r="A80" t="s">
        <v>61</v>
      </c>
      <c r="B80" t="s">
        <v>62</v>
      </c>
      <c r="C80" t="s">
        <v>1620</v>
      </c>
      <c r="D80" t="s">
        <v>9</v>
      </c>
      <c r="E80" t="s">
        <v>3</v>
      </c>
      <c r="F80" t="s">
        <v>1614</v>
      </c>
      <c r="G80" t="s">
        <v>1474</v>
      </c>
      <c r="H80">
        <f t="shared" si="4"/>
        <v>153</v>
      </c>
      <c r="I80" s="4" t="str">
        <f t="shared" si="3"/>
        <v>I</v>
      </c>
    </row>
    <row r="81" spans="1:9" x14ac:dyDescent="0.2">
      <c r="A81" t="s">
        <v>61</v>
      </c>
      <c r="B81" t="s">
        <v>62</v>
      </c>
      <c r="C81" t="s">
        <v>1621</v>
      </c>
      <c r="D81" t="s">
        <v>10</v>
      </c>
      <c r="E81" t="s">
        <v>3</v>
      </c>
      <c r="F81" t="s">
        <v>1614</v>
      </c>
      <c r="G81" t="s">
        <v>1474</v>
      </c>
      <c r="H81">
        <f t="shared" si="4"/>
        <v>63</v>
      </c>
      <c r="I81" s="4" t="str">
        <f t="shared" si="3"/>
        <v>I</v>
      </c>
    </row>
    <row r="82" spans="1:9" x14ac:dyDescent="0.2">
      <c r="A82" t="s">
        <v>61</v>
      </c>
      <c r="B82" t="s">
        <v>63</v>
      </c>
      <c r="C82" t="s">
        <v>1628</v>
      </c>
      <c r="D82" t="s">
        <v>9</v>
      </c>
      <c r="E82" t="s">
        <v>3</v>
      </c>
      <c r="F82" t="s">
        <v>1622</v>
      </c>
      <c r="G82" t="s">
        <v>1474</v>
      </c>
      <c r="H82">
        <f t="shared" si="4"/>
        <v>153</v>
      </c>
      <c r="I82" s="4" t="str">
        <f t="shared" si="3"/>
        <v>I</v>
      </c>
    </row>
    <row r="83" spans="1:9" x14ac:dyDescent="0.2">
      <c r="A83" t="s">
        <v>61</v>
      </c>
      <c r="B83" t="s">
        <v>63</v>
      </c>
      <c r="C83" t="s">
        <v>1629</v>
      </c>
      <c r="D83" t="s">
        <v>10</v>
      </c>
      <c r="E83" t="s">
        <v>3</v>
      </c>
      <c r="F83" t="s">
        <v>1622</v>
      </c>
      <c r="G83" t="s">
        <v>1474</v>
      </c>
      <c r="H83">
        <f t="shared" si="4"/>
        <v>63</v>
      </c>
      <c r="I83" s="4" t="str">
        <f t="shared" si="3"/>
        <v>I</v>
      </c>
    </row>
    <row r="84" spans="1:9" x14ac:dyDescent="0.2">
      <c r="A84" t="s">
        <v>61</v>
      </c>
      <c r="B84" t="s">
        <v>64</v>
      </c>
      <c r="C84" t="s">
        <v>1637</v>
      </c>
      <c r="D84" t="s">
        <v>9</v>
      </c>
      <c r="E84" t="s">
        <v>3</v>
      </c>
      <c r="F84" t="s">
        <v>1631</v>
      </c>
      <c r="G84" t="s">
        <v>1474</v>
      </c>
      <c r="H84">
        <f t="shared" si="4"/>
        <v>153</v>
      </c>
      <c r="I84" s="4" t="str">
        <f t="shared" si="3"/>
        <v>I</v>
      </c>
    </row>
    <row r="85" spans="1:9" x14ac:dyDescent="0.2">
      <c r="A85" t="s">
        <v>61</v>
      </c>
      <c r="B85" t="s">
        <v>64</v>
      </c>
      <c r="C85" t="s">
        <v>1638</v>
      </c>
      <c r="D85" t="s">
        <v>10</v>
      </c>
      <c r="E85" t="s">
        <v>3</v>
      </c>
      <c r="F85" t="s">
        <v>1631</v>
      </c>
      <c r="G85" t="s">
        <v>1474</v>
      </c>
      <c r="H85">
        <f t="shared" si="4"/>
        <v>63</v>
      </c>
      <c r="I85" s="4" t="str">
        <f t="shared" si="3"/>
        <v>I</v>
      </c>
    </row>
    <row r="86" spans="1:9" x14ac:dyDescent="0.2">
      <c r="A86" t="s">
        <v>61</v>
      </c>
      <c r="B86" t="s">
        <v>65</v>
      </c>
      <c r="C86" t="s">
        <v>1646</v>
      </c>
      <c r="D86" t="s">
        <v>9</v>
      </c>
      <c r="E86" t="s">
        <v>3</v>
      </c>
      <c r="F86" t="s">
        <v>1640</v>
      </c>
      <c r="G86" t="s">
        <v>1474</v>
      </c>
      <c r="H86">
        <f t="shared" si="4"/>
        <v>153</v>
      </c>
      <c r="I86" s="4" t="str">
        <f t="shared" si="3"/>
        <v>I</v>
      </c>
    </row>
    <row r="87" spans="1:9" x14ac:dyDescent="0.2">
      <c r="A87" t="s">
        <v>61</v>
      </c>
      <c r="B87" t="s">
        <v>65</v>
      </c>
      <c r="C87" t="s">
        <v>1647</v>
      </c>
      <c r="D87" t="s">
        <v>10</v>
      </c>
      <c r="E87" t="s">
        <v>3</v>
      </c>
      <c r="F87" t="s">
        <v>1640</v>
      </c>
      <c r="G87" t="s">
        <v>1474</v>
      </c>
      <c r="H87">
        <f t="shared" si="4"/>
        <v>63</v>
      </c>
      <c r="I87" s="4" t="str">
        <f t="shared" si="3"/>
        <v>I</v>
      </c>
    </row>
    <row r="88" spans="1:9" x14ac:dyDescent="0.2">
      <c r="A88" t="s">
        <v>61</v>
      </c>
      <c r="B88" t="s">
        <v>66</v>
      </c>
      <c r="C88" t="s">
        <v>1657</v>
      </c>
      <c r="D88" t="s">
        <v>9</v>
      </c>
      <c r="E88" t="s">
        <v>3</v>
      </c>
      <c r="F88" t="s">
        <v>1653</v>
      </c>
      <c r="G88" t="s">
        <v>1474</v>
      </c>
      <c r="H88">
        <f t="shared" si="4"/>
        <v>153</v>
      </c>
      <c r="I88" s="4" t="str">
        <f t="shared" si="3"/>
        <v>I</v>
      </c>
    </row>
    <row r="89" spans="1:9" x14ac:dyDescent="0.2">
      <c r="A89" t="s">
        <v>61</v>
      </c>
      <c r="B89" t="s">
        <v>66</v>
      </c>
      <c r="C89" t="s">
        <v>1658</v>
      </c>
      <c r="D89" t="s">
        <v>10</v>
      </c>
      <c r="E89" t="s">
        <v>3</v>
      </c>
      <c r="F89" t="s">
        <v>1653</v>
      </c>
      <c r="G89" t="s">
        <v>1474</v>
      </c>
      <c r="H89">
        <f t="shared" si="4"/>
        <v>63</v>
      </c>
      <c r="I89" s="4" t="str">
        <f t="shared" si="3"/>
        <v>I</v>
      </c>
    </row>
    <row r="90" spans="1:9" x14ac:dyDescent="0.2">
      <c r="A90" t="s">
        <v>61</v>
      </c>
      <c r="B90" t="s">
        <v>67</v>
      </c>
      <c r="C90" t="s">
        <v>1670</v>
      </c>
      <c r="D90" t="s">
        <v>9</v>
      </c>
      <c r="E90" t="s">
        <v>3</v>
      </c>
      <c r="F90" t="s">
        <v>1664</v>
      </c>
      <c r="G90" t="s">
        <v>1474</v>
      </c>
      <c r="H90">
        <f t="shared" ref="H90:H102" si="5">IF(RIGHT(C90,1)="4",63,153)</f>
        <v>153</v>
      </c>
      <c r="I90" s="4" t="str">
        <f t="shared" si="3"/>
        <v>I</v>
      </c>
    </row>
    <row r="91" spans="1:9" x14ac:dyDescent="0.2">
      <c r="A91" t="s">
        <v>61</v>
      </c>
      <c r="B91" t="s">
        <v>67</v>
      </c>
      <c r="C91" t="s">
        <v>1671</v>
      </c>
      <c r="D91" t="s">
        <v>10</v>
      </c>
      <c r="E91" t="s">
        <v>3</v>
      </c>
      <c r="F91" t="s">
        <v>1664</v>
      </c>
      <c r="G91" t="s">
        <v>1474</v>
      </c>
      <c r="H91">
        <f t="shared" si="5"/>
        <v>63</v>
      </c>
      <c r="I91" s="4" t="str">
        <f t="shared" si="3"/>
        <v>I</v>
      </c>
    </row>
    <row r="92" spans="1:9" x14ac:dyDescent="0.2">
      <c r="A92" t="s">
        <v>46</v>
      </c>
      <c r="B92" t="s">
        <v>68</v>
      </c>
      <c r="C92" t="s">
        <v>1682</v>
      </c>
      <c r="D92" t="s">
        <v>9</v>
      </c>
      <c r="E92" t="s">
        <v>3</v>
      </c>
      <c r="F92" t="s">
        <v>1673</v>
      </c>
      <c r="G92" t="s">
        <v>1674</v>
      </c>
      <c r="H92">
        <f t="shared" si="5"/>
        <v>153</v>
      </c>
      <c r="I92" s="4" t="str">
        <f t="shared" si="3"/>
        <v>I</v>
      </c>
    </row>
    <row r="93" spans="1:9" x14ac:dyDescent="0.2">
      <c r="A93" t="s">
        <v>46</v>
      </c>
      <c r="B93" t="s">
        <v>68</v>
      </c>
      <c r="C93" t="s">
        <v>1683</v>
      </c>
      <c r="D93" t="s">
        <v>10</v>
      </c>
      <c r="E93" t="s">
        <v>3</v>
      </c>
      <c r="F93" t="s">
        <v>1673</v>
      </c>
      <c r="G93" t="s">
        <v>1674</v>
      </c>
      <c r="H93">
        <f t="shared" si="5"/>
        <v>63</v>
      </c>
      <c r="I93" s="4" t="str">
        <f t="shared" si="3"/>
        <v>I</v>
      </c>
    </row>
    <row r="94" spans="1:9" x14ac:dyDescent="0.2">
      <c r="A94" t="s">
        <v>46</v>
      </c>
      <c r="B94" t="s">
        <v>69</v>
      </c>
      <c r="C94" t="s">
        <v>1698</v>
      </c>
      <c r="D94" t="s">
        <v>9</v>
      </c>
      <c r="E94" t="s">
        <v>3</v>
      </c>
      <c r="F94" t="s">
        <v>1686</v>
      </c>
      <c r="G94" t="s">
        <v>1674</v>
      </c>
      <c r="H94">
        <f t="shared" si="5"/>
        <v>153</v>
      </c>
      <c r="I94" s="4" t="str">
        <f t="shared" si="3"/>
        <v>I</v>
      </c>
    </row>
    <row r="95" spans="1:9" x14ac:dyDescent="0.2">
      <c r="A95" t="s">
        <v>46</v>
      </c>
      <c r="B95" t="s">
        <v>69</v>
      </c>
      <c r="C95" t="s">
        <v>1699</v>
      </c>
      <c r="D95" t="s">
        <v>10</v>
      </c>
      <c r="E95" t="s">
        <v>3</v>
      </c>
      <c r="F95" t="s">
        <v>1686</v>
      </c>
      <c r="G95" t="s">
        <v>1674</v>
      </c>
      <c r="H95">
        <f t="shared" si="5"/>
        <v>63</v>
      </c>
      <c r="I95" s="4" t="str">
        <f t="shared" si="3"/>
        <v>I</v>
      </c>
    </row>
    <row r="96" spans="1:9" x14ac:dyDescent="0.2">
      <c r="A96" t="s">
        <v>46</v>
      </c>
      <c r="B96" t="s">
        <v>70</v>
      </c>
      <c r="C96" t="s">
        <v>1711</v>
      </c>
      <c r="D96" t="s">
        <v>9</v>
      </c>
      <c r="E96" t="s">
        <v>3</v>
      </c>
      <c r="F96" t="s">
        <v>1703</v>
      </c>
      <c r="G96" t="s">
        <v>1674</v>
      </c>
      <c r="H96">
        <f t="shared" si="5"/>
        <v>153</v>
      </c>
      <c r="I96" s="4" t="str">
        <f t="shared" si="3"/>
        <v>I</v>
      </c>
    </row>
    <row r="97" spans="1:9" x14ac:dyDescent="0.2">
      <c r="A97" t="s">
        <v>46</v>
      </c>
      <c r="B97" t="s">
        <v>70</v>
      </c>
      <c r="C97" t="s">
        <v>1712</v>
      </c>
      <c r="D97" t="s">
        <v>10</v>
      </c>
      <c r="E97" t="s">
        <v>3</v>
      </c>
      <c r="F97" t="s">
        <v>1703</v>
      </c>
      <c r="G97" t="s">
        <v>1674</v>
      </c>
      <c r="H97">
        <f t="shared" si="5"/>
        <v>63</v>
      </c>
      <c r="I97" s="4" t="str">
        <f t="shared" si="3"/>
        <v>I</v>
      </c>
    </row>
    <row r="98" spans="1:9" x14ac:dyDescent="0.2">
      <c r="A98" t="s">
        <v>46</v>
      </c>
      <c r="B98" t="s">
        <v>71</v>
      </c>
      <c r="C98" t="s">
        <v>1723</v>
      </c>
      <c r="D98" t="s">
        <v>9</v>
      </c>
      <c r="E98" t="s">
        <v>3</v>
      </c>
      <c r="F98" t="s">
        <v>1716</v>
      </c>
      <c r="G98" t="s">
        <v>1674</v>
      </c>
      <c r="H98">
        <f t="shared" si="5"/>
        <v>153</v>
      </c>
      <c r="I98" s="4" t="str">
        <f t="shared" si="3"/>
        <v>I</v>
      </c>
    </row>
    <row r="99" spans="1:9" x14ac:dyDescent="0.2">
      <c r="A99" t="s">
        <v>46</v>
      </c>
      <c r="B99" t="s">
        <v>71</v>
      </c>
      <c r="C99" t="s">
        <v>1724</v>
      </c>
      <c r="D99" t="s">
        <v>10</v>
      </c>
      <c r="E99" t="s">
        <v>3</v>
      </c>
      <c r="F99" t="s">
        <v>1716</v>
      </c>
      <c r="G99" t="s">
        <v>1674</v>
      </c>
      <c r="H99">
        <f t="shared" si="5"/>
        <v>63</v>
      </c>
      <c r="I99" s="4" t="str">
        <f t="shared" si="3"/>
        <v>I</v>
      </c>
    </row>
    <row r="100" spans="1:9" x14ac:dyDescent="0.2">
      <c r="A100" t="s">
        <v>61</v>
      </c>
      <c r="B100" t="s">
        <v>72</v>
      </c>
      <c r="C100" t="s">
        <v>1736</v>
      </c>
      <c r="D100" t="s">
        <v>9</v>
      </c>
      <c r="E100" t="s">
        <v>3</v>
      </c>
      <c r="F100" t="s">
        <v>1728</v>
      </c>
      <c r="G100" t="s">
        <v>1674</v>
      </c>
      <c r="H100">
        <f t="shared" si="5"/>
        <v>153</v>
      </c>
      <c r="I100" s="4" t="str">
        <f t="shared" si="3"/>
        <v>I</v>
      </c>
    </row>
    <row r="101" spans="1:9" x14ac:dyDescent="0.2">
      <c r="A101" t="s">
        <v>61</v>
      </c>
      <c r="B101" t="s">
        <v>72</v>
      </c>
      <c r="C101" t="s">
        <v>1737</v>
      </c>
      <c r="D101" t="s">
        <v>10</v>
      </c>
      <c r="E101" t="s">
        <v>3</v>
      </c>
      <c r="F101" t="s">
        <v>1728</v>
      </c>
      <c r="G101" t="s">
        <v>1674</v>
      </c>
      <c r="H101">
        <f t="shared" si="5"/>
        <v>63</v>
      </c>
      <c r="I101" s="4" t="str">
        <f t="shared" si="3"/>
        <v>I</v>
      </c>
    </row>
    <row r="102" spans="1:9" x14ac:dyDescent="0.2">
      <c r="A102" t="s">
        <v>61</v>
      </c>
      <c r="B102" t="s">
        <v>73</v>
      </c>
      <c r="C102" t="s">
        <v>1749</v>
      </c>
      <c r="D102" t="s">
        <v>9</v>
      </c>
      <c r="E102" t="s">
        <v>3</v>
      </c>
      <c r="F102" t="s">
        <v>1741</v>
      </c>
      <c r="G102" t="s">
        <v>1674</v>
      </c>
      <c r="H102">
        <f t="shared" si="5"/>
        <v>153</v>
      </c>
      <c r="I102" s="4" t="str">
        <f t="shared" si="3"/>
        <v>I</v>
      </c>
    </row>
    <row r="103" spans="1:9" x14ac:dyDescent="0.2">
      <c r="A103" t="s">
        <v>61</v>
      </c>
      <c r="B103" t="s">
        <v>73</v>
      </c>
      <c r="C103" t="s">
        <v>1750</v>
      </c>
      <c r="D103" t="s">
        <v>10</v>
      </c>
      <c r="E103" t="s">
        <v>3</v>
      </c>
      <c r="F103" t="s">
        <v>1741</v>
      </c>
      <c r="G103" t="s">
        <v>1674</v>
      </c>
      <c r="H103">
        <f t="shared" ref="H103:H108" si="6">IF(RIGHT(C103,1)="4",63,153)</f>
        <v>63</v>
      </c>
      <c r="I103" s="4" t="str">
        <f t="shared" si="3"/>
        <v>I</v>
      </c>
    </row>
    <row r="104" spans="1:9" x14ac:dyDescent="0.2">
      <c r="A104" t="s">
        <v>61</v>
      </c>
      <c r="B104" t="s">
        <v>74</v>
      </c>
      <c r="C104" t="s">
        <v>1765</v>
      </c>
      <c r="D104" t="s">
        <v>9</v>
      </c>
      <c r="E104" t="s">
        <v>3</v>
      </c>
      <c r="F104" t="s">
        <v>1754</v>
      </c>
      <c r="G104" t="s">
        <v>1674</v>
      </c>
      <c r="H104">
        <f t="shared" si="6"/>
        <v>153</v>
      </c>
      <c r="I104" s="4" t="str">
        <f t="shared" si="3"/>
        <v>I</v>
      </c>
    </row>
    <row r="105" spans="1:9" x14ac:dyDescent="0.2">
      <c r="A105" t="s">
        <v>61</v>
      </c>
      <c r="B105" t="s">
        <v>74</v>
      </c>
      <c r="C105" t="s">
        <v>1766</v>
      </c>
      <c r="D105" t="s">
        <v>10</v>
      </c>
      <c r="E105" t="s">
        <v>3</v>
      </c>
      <c r="F105" t="s">
        <v>1754</v>
      </c>
      <c r="G105" t="s">
        <v>1674</v>
      </c>
      <c r="H105">
        <f t="shared" si="6"/>
        <v>63</v>
      </c>
      <c r="I105" s="4" t="str">
        <f t="shared" si="3"/>
        <v>I</v>
      </c>
    </row>
    <row r="106" spans="1:9" x14ac:dyDescent="0.2">
      <c r="A106" t="s">
        <v>61</v>
      </c>
      <c r="B106" t="s">
        <v>75</v>
      </c>
      <c r="C106" t="s">
        <v>1777</v>
      </c>
      <c r="D106" t="s">
        <v>9</v>
      </c>
      <c r="E106" t="s">
        <v>3</v>
      </c>
      <c r="F106" t="s">
        <v>1770</v>
      </c>
      <c r="G106" t="s">
        <v>1674</v>
      </c>
      <c r="H106">
        <f t="shared" si="6"/>
        <v>153</v>
      </c>
      <c r="I106" s="4" t="str">
        <f t="shared" si="3"/>
        <v>I</v>
      </c>
    </row>
    <row r="107" spans="1:9" x14ac:dyDescent="0.2">
      <c r="A107" t="s">
        <v>61</v>
      </c>
      <c r="B107" t="s">
        <v>75</v>
      </c>
      <c r="C107" t="s">
        <v>1778</v>
      </c>
      <c r="D107" t="s">
        <v>10</v>
      </c>
      <c r="E107" t="s">
        <v>3</v>
      </c>
      <c r="F107" t="s">
        <v>1770</v>
      </c>
      <c r="G107" t="s">
        <v>1674</v>
      </c>
      <c r="H107">
        <f t="shared" si="6"/>
        <v>63</v>
      </c>
      <c r="I107" s="4" t="str">
        <f t="shared" si="3"/>
        <v>I</v>
      </c>
    </row>
    <row r="108" spans="1:9" x14ac:dyDescent="0.2">
      <c r="A108" t="s">
        <v>46</v>
      </c>
      <c r="B108" t="s">
        <v>76</v>
      </c>
      <c r="C108" t="s">
        <v>1792</v>
      </c>
      <c r="D108" t="s">
        <v>9</v>
      </c>
      <c r="E108" t="s">
        <v>3</v>
      </c>
      <c r="F108" t="s">
        <v>1782</v>
      </c>
      <c r="G108" t="s">
        <v>1783</v>
      </c>
      <c r="H108">
        <f t="shared" si="6"/>
        <v>153</v>
      </c>
      <c r="I108" s="4" t="str">
        <f t="shared" si="3"/>
        <v>I</v>
      </c>
    </row>
    <row r="109" spans="1:9" x14ac:dyDescent="0.2">
      <c r="A109" t="s">
        <v>46</v>
      </c>
      <c r="B109" t="s">
        <v>76</v>
      </c>
      <c r="C109" t="s">
        <v>1793</v>
      </c>
      <c r="D109" t="s">
        <v>10</v>
      </c>
      <c r="E109" t="s">
        <v>3</v>
      </c>
      <c r="F109" t="s">
        <v>1782</v>
      </c>
      <c r="G109" t="s">
        <v>1783</v>
      </c>
      <c r="H109">
        <f t="shared" ref="H109:H131" si="7">IF(RIGHT(C109,1)="4",63,153)</f>
        <v>63</v>
      </c>
      <c r="I109" s="4" t="str">
        <f t="shared" si="3"/>
        <v>I</v>
      </c>
    </row>
    <row r="110" spans="1:9" x14ac:dyDescent="0.2">
      <c r="A110" t="s">
        <v>46</v>
      </c>
      <c r="B110" t="s">
        <v>77</v>
      </c>
      <c r="C110" t="s">
        <v>1805</v>
      </c>
      <c r="D110" t="s">
        <v>9</v>
      </c>
      <c r="E110" t="s">
        <v>3</v>
      </c>
      <c r="F110" t="s">
        <v>1797</v>
      </c>
      <c r="G110" t="s">
        <v>1783</v>
      </c>
      <c r="H110">
        <f t="shared" si="7"/>
        <v>153</v>
      </c>
      <c r="I110" s="4" t="str">
        <f t="shared" si="3"/>
        <v>I</v>
      </c>
    </row>
    <row r="111" spans="1:9" x14ac:dyDescent="0.2">
      <c r="A111" t="s">
        <v>46</v>
      </c>
      <c r="B111" t="s">
        <v>77</v>
      </c>
      <c r="C111" t="s">
        <v>1806</v>
      </c>
      <c r="D111" t="s">
        <v>10</v>
      </c>
      <c r="E111" t="s">
        <v>3</v>
      </c>
      <c r="F111" t="s">
        <v>1797</v>
      </c>
      <c r="G111" t="s">
        <v>1783</v>
      </c>
      <c r="H111">
        <f t="shared" si="7"/>
        <v>63</v>
      </c>
      <c r="I111" s="4" t="str">
        <f t="shared" si="3"/>
        <v>I</v>
      </c>
    </row>
    <row r="112" spans="1:9" x14ac:dyDescent="0.2">
      <c r="A112" t="s">
        <v>46</v>
      </c>
      <c r="B112" t="s">
        <v>78</v>
      </c>
      <c r="C112" t="s">
        <v>1818</v>
      </c>
      <c r="D112" t="s">
        <v>9</v>
      </c>
      <c r="E112" t="s">
        <v>3</v>
      </c>
      <c r="F112" t="s">
        <v>1810</v>
      </c>
      <c r="G112" t="s">
        <v>1783</v>
      </c>
      <c r="H112">
        <f t="shared" si="7"/>
        <v>153</v>
      </c>
      <c r="I112" s="4" t="str">
        <f t="shared" si="3"/>
        <v>I</v>
      </c>
    </row>
    <row r="113" spans="1:9" x14ac:dyDescent="0.2">
      <c r="A113" t="s">
        <v>46</v>
      </c>
      <c r="B113" t="s">
        <v>78</v>
      </c>
      <c r="C113" t="s">
        <v>1819</v>
      </c>
      <c r="D113" t="s">
        <v>9</v>
      </c>
      <c r="E113" t="s">
        <v>3</v>
      </c>
      <c r="F113" t="s">
        <v>1810</v>
      </c>
      <c r="G113" t="s">
        <v>1783</v>
      </c>
      <c r="H113">
        <f t="shared" si="7"/>
        <v>153</v>
      </c>
      <c r="I113" s="4" t="str">
        <f t="shared" si="3"/>
        <v>F</v>
      </c>
    </row>
    <row r="114" spans="1:9" x14ac:dyDescent="0.2">
      <c r="A114" t="s">
        <v>46</v>
      </c>
      <c r="B114" t="s">
        <v>78</v>
      </c>
      <c r="C114" t="s">
        <v>1820</v>
      </c>
      <c r="D114" t="s">
        <v>10</v>
      </c>
      <c r="E114" t="s">
        <v>3</v>
      </c>
      <c r="F114" t="s">
        <v>1810</v>
      </c>
      <c r="G114" t="s">
        <v>1783</v>
      </c>
      <c r="H114">
        <f t="shared" si="7"/>
        <v>63</v>
      </c>
      <c r="I114" s="4" t="str">
        <f t="shared" si="3"/>
        <v>I</v>
      </c>
    </row>
    <row r="115" spans="1:9" x14ac:dyDescent="0.2">
      <c r="A115" t="s">
        <v>46</v>
      </c>
      <c r="B115" t="s">
        <v>79</v>
      </c>
      <c r="C115" t="s">
        <v>1832</v>
      </c>
      <c r="D115" t="s">
        <v>9</v>
      </c>
      <c r="E115" t="s">
        <v>3</v>
      </c>
      <c r="F115" t="s">
        <v>1824</v>
      </c>
      <c r="G115" t="s">
        <v>1783</v>
      </c>
      <c r="H115">
        <f t="shared" si="7"/>
        <v>153</v>
      </c>
      <c r="I115" s="4" t="str">
        <f t="shared" si="3"/>
        <v>I</v>
      </c>
    </row>
    <row r="116" spans="1:9" x14ac:dyDescent="0.2">
      <c r="A116" t="s">
        <v>46</v>
      </c>
      <c r="B116" t="s">
        <v>79</v>
      </c>
      <c r="C116" t="s">
        <v>1833</v>
      </c>
      <c r="D116" t="s">
        <v>10</v>
      </c>
      <c r="E116" t="s">
        <v>3</v>
      </c>
      <c r="F116" t="s">
        <v>1824</v>
      </c>
      <c r="G116" t="s">
        <v>1783</v>
      </c>
      <c r="H116">
        <f t="shared" si="7"/>
        <v>63</v>
      </c>
      <c r="I116" s="4" t="str">
        <f t="shared" si="3"/>
        <v>I</v>
      </c>
    </row>
    <row r="117" spans="1:9" x14ac:dyDescent="0.2">
      <c r="A117" t="s">
        <v>46</v>
      </c>
      <c r="B117" t="s">
        <v>80</v>
      </c>
      <c r="C117" t="s">
        <v>1845</v>
      </c>
      <c r="D117" t="s">
        <v>9</v>
      </c>
      <c r="E117" t="s">
        <v>3</v>
      </c>
      <c r="F117" t="s">
        <v>1837</v>
      </c>
      <c r="G117" t="s">
        <v>1783</v>
      </c>
      <c r="H117">
        <f t="shared" si="7"/>
        <v>153</v>
      </c>
      <c r="I117" s="4" t="str">
        <f t="shared" si="3"/>
        <v>I</v>
      </c>
    </row>
    <row r="118" spans="1:9" x14ac:dyDescent="0.2">
      <c r="A118" t="s">
        <v>46</v>
      </c>
      <c r="B118" t="s">
        <v>80</v>
      </c>
      <c r="C118" t="s">
        <v>1846</v>
      </c>
      <c r="D118" t="s">
        <v>9</v>
      </c>
      <c r="E118" t="s">
        <v>3</v>
      </c>
      <c r="F118" t="s">
        <v>1837</v>
      </c>
      <c r="G118" t="s">
        <v>1783</v>
      </c>
      <c r="H118">
        <f t="shared" si="7"/>
        <v>153</v>
      </c>
      <c r="I118" s="4" t="str">
        <f t="shared" si="3"/>
        <v>F</v>
      </c>
    </row>
    <row r="119" spans="1:9" x14ac:dyDescent="0.2">
      <c r="A119" t="s">
        <v>46</v>
      </c>
      <c r="B119" t="s">
        <v>80</v>
      </c>
      <c r="C119" t="s">
        <v>1847</v>
      </c>
      <c r="D119" t="s">
        <v>10</v>
      </c>
      <c r="E119" t="s">
        <v>3</v>
      </c>
      <c r="F119" t="s">
        <v>1837</v>
      </c>
      <c r="G119" t="s">
        <v>1783</v>
      </c>
      <c r="H119">
        <f t="shared" si="7"/>
        <v>63</v>
      </c>
      <c r="I119" s="4" t="str">
        <f t="shared" si="3"/>
        <v>I</v>
      </c>
    </row>
    <row r="120" spans="1:9" x14ac:dyDescent="0.2">
      <c r="A120" t="s">
        <v>23</v>
      </c>
      <c r="B120" t="s">
        <v>81</v>
      </c>
      <c r="C120" t="s">
        <v>1859</v>
      </c>
      <c r="D120" t="s">
        <v>9</v>
      </c>
      <c r="E120" t="s">
        <v>3</v>
      </c>
      <c r="F120" t="s">
        <v>1851</v>
      </c>
      <c r="G120" t="s">
        <v>1783</v>
      </c>
      <c r="H120">
        <f t="shared" si="7"/>
        <v>153</v>
      </c>
      <c r="I120" s="4" t="str">
        <f t="shared" si="3"/>
        <v>I</v>
      </c>
    </row>
    <row r="121" spans="1:9" x14ac:dyDescent="0.2">
      <c r="A121" t="s">
        <v>23</v>
      </c>
      <c r="B121" t="s">
        <v>81</v>
      </c>
      <c r="C121" t="s">
        <v>1860</v>
      </c>
      <c r="D121" t="s">
        <v>10</v>
      </c>
      <c r="E121" t="s">
        <v>3</v>
      </c>
      <c r="F121" t="s">
        <v>1851</v>
      </c>
      <c r="G121" t="s">
        <v>1783</v>
      </c>
      <c r="H121">
        <f t="shared" si="7"/>
        <v>63</v>
      </c>
      <c r="I121" s="4" t="str">
        <f t="shared" si="3"/>
        <v>I</v>
      </c>
    </row>
    <row r="122" spans="1:9" x14ac:dyDescent="0.2">
      <c r="A122" t="s">
        <v>23</v>
      </c>
      <c r="B122" t="s">
        <v>82</v>
      </c>
      <c r="C122" t="s">
        <v>1872</v>
      </c>
      <c r="D122" t="s">
        <v>9</v>
      </c>
      <c r="E122" t="s">
        <v>3</v>
      </c>
      <c r="F122" t="s">
        <v>1864</v>
      </c>
      <c r="G122" t="s">
        <v>1783</v>
      </c>
      <c r="H122">
        <f t="shared" si="7"/>
        <v>153</v>
      </c>
      <c r="I122" s="4" t="str">
        <f t="shared" si="3"/>
        <v>I</v>
      </c>
    </row>
    <row r="123" spans="1:9" x14ac:dyDescent="0.2">
      <c r="A123" t="s">
        <v>23</v>
      </c>
      <c r="B123" t="s">
        <v>82</v>
      </c>
      <c r="C123" t="s">
        <v>1873</v>
      </c>
      <c r="D123" t="s">
        <v>9</v>
      </c>
      <c r="E123" t="s">
        <v>3</v>
      </c>
      <c r="F123" t="s">
        <v>1864</v>
      </c>
      <c r="G123" t="s">
        <v>1783</v>
      </c>
      <c r="H123">
        <f t="shared" si="7"/>
        <v>153</v>
      </c>
      <c r="I123" s="4" t="str">
        <f t="shared" si="3"/>
        <v>F</v>
      </c>
    </row>
    <row r="124" spans="1:9" x14ac:dyDescent="0.2">
      <c r="A124" t="s">
        <v>23</v>
      </c>
      <c r="B124" t="s">
        <v>82</v>
      </c>
      <c r="C124" t="s">
        <v>1874</v>
      </c>
      <c r="D124" t="s">
        <v>10</v>
      </c>
      <c r="E124" t="s">
        <v>3</v>
      </c>
      <c r="F124" t="s">
        <v>1864</v>
      </c>
      <c r="G124" t="s">
        <v>1783</v>
      </c>
      <c r="H124">
        <f t="shared" si="7"/>
        <v>63</v>
      </c>
      <c r="I124" s="4" t="str">
        <f t="shared" si="3"/>
        <v>I</v>
      </c>
    </row>
    <row r="125" spans="1:9" x14ac:dyDescent="0.2">
      <c r="A125" t="s">
        <v>23</v>
      </c>
      <c r="B125" t="s">
        <v>83</v>
      </c>
      <c r="C125" t="s">
        <v>1890</v>
      </c>
      <c r="D125" t="s">
        <v>9</v>
      </c>
      <c r="E125" t="s">
        <v>3</v>
      </c>
      <c r="F125" t="s">
        <v>1878</v>
      </c>
      <c r="G125" t="s">
        <v>1783</v>
      </c>
      <c r="H125">
        <f t="shared" si="7"/>
        <v>153</v>
      </c>
      <c r="I125" s="4" t="str">
        <f t="shared" si="3"/>
        <v>I</v>
      </c>
    </row>
    <row r="126" spans="1:9" x14ac:dyDescent="0.2">
      <c r="A126" t="s">
        <v>23</v>
      </c>
      <c r="B126" t="s">
        <v>83</v>
      </c>
      <c r="C126" t="s">
        <v>1891</v>
      </c>
      <c r="D126" t="s">
        <v>10</v>
      </c>
      <c r="E126" t="s">
        <v>3</v>
      </c>
      <c r="F126" t="s">
        <v>1878</v>
      </c>
      <c r="G126" t="s">
        <v>1783</v>
      </c>
      <c r="H126">
        <f t="shared" si="7"/>
        <v>63</v>
      </c>
      <c r="I126" s="4" t="str">
        <f t="shared" si="3"/>
        <v>I</v>
      </c>
    </row>
    <row r="127" spans="1:9" x14ac:dyDescent="0.2">
      <c r="A127" t="s">
        <v>23</v>
      </c>
      <c r="B127" t="s">
        <v>84</v>
      </c>
      <c r="C127" t="s">
        <v>1903</v>
      </c>
      <c r="D127" t="s">
        <v>9</v>
      </c>
      <c r="E127" t="s">
        <v>3</v>
      </c>
      <c r="F127" t="s">
        <v>1895</v>
      </c>
      <c r="G127" t="s">
        <v>1783</v>
      </c>
      <c r="H127">
        <f t="shared" si="7"/>
        <v>153</v>
      </c>
      <c r="I127" s="4" t="str">
        <f t="shared" si="3"/>
        <v>I</v>
      </c>
    </row>
    <row r="128" spans="1:9" x14ac:dyDescent="0.2">
      <c r="A128" t="s">
        <v>23</v>
      </c>
      <c r="B128" t="s">
        <v>84</v>
      </c>
      <c r="C128" t="s">
        <v>1904</v>
      </c>
      <c r="D128" t="s">
        <v>9</v>
      </c>
      <c r="E128" t="s">
        <v>3</v>
      </c>
      <c r="F128" t="s">
        <v>1895</v>
      </c>
      <c r="G128" t="s">
        <v>1783</v>
      </c>
      <c r="H128">
        <f t="shared" si="7"/>
        <v>153</v>
      </c>
      <c r="I128" s="4" t="str">
        <f t="shared" si="3"/>
        <v>F</v>
      </c>
    </row>
    <row r="129" spans="1:9" x14ac:dyDescent="0.2">
      <c r="A129" t="s">
        <v>23</v>
      </c>
      <c r="B129" t="s">
        <v>84</v>
      </c>
      <c r="C129" t="s">
        <v>1905</v>
      </c>
      <c r="D129" t="s">
        <v>10</v>
      </c>
      <c r="E129" t="s">
        <v>3</v>
      </c>
      <c r="F129" t="s">
        <v>1895</v>
      </c>
      <c r="G129" t="s">
        <v>1783</v>
      </c>
      <c r="H129">
        <f t="shared" si="7"/>
        <v>63</v>
      </c>
      <c r="I129" s="4" t="str">
        <f t="shared" si="3"/>
        <v>I</v>
      </c>
    </row>
    <row r="130" spans="1:9" x14ac:dyDescent="0.2">
      <c r="A130" t="s">
        <v>23</v>
      </c>
      <c r="B130" t="s">
        <v>85</v>
      </c>
      <c r="C130" t="s">
        <v>1917</v>
      </c>
      <c r="D130" t="s">
        <v>9</v>
      </c>
      <c r="E130" t="s">
        <v>3</v>
      </c>
      <c r="F130" t="s">
        <v>1909</v>
      </c>
      <c r="G130" t="s">
        <v>1783</v>
      </c>
      <c r="H130">
        <f t="shared" si="7"/>
        <v>153</v>
      </c>
      <c r="I130" s="4" t="str">
        <f t="shared" si="3"/>
        <v>I</v>
      </c>
    </row>
    <row r="131" spans="1:9" x14ac:dyDescent="0.2">
      <c r="A131" t="s">
        <v>23</v>
      </c>
      <c r="B131" t="s">
        <v>85</v>
      </c>
      <c r="C131" t="s">
        <v>1918</v>
      </c>
      <c r="D131" t="s">
        <v>10</v>
      </c>
      <c r="E131" t="s">
        <v>3</v>
      </c>
      <c r="F131" t="s">
        <v>1909</v>
      </c>
      <c r="G131" t="s">
        <v>1783</v>
      </c>
      <c r="H131">
        <f t="shared" si="7"/>
        <v>63</v>
      </c>
      <c r="I131" s="4" t="str">
        <f t="shared" ref="I131:I154" si="8">MID(C131,7,1)</f>
        <v>I</v>
      </c>
    </row>
    <row r="132" spans="1:9" x14ac:dyDescent="0.2">
      <c r="A132" t="s">
        <v>23</v>
      </c>
      <c r="B132" t="s">
        <v>86</v>
      </c>
      <c r="C132" t="s">
        <v>1929</v>
      </c>
      <c r="D132" t="s">
        <v>9</v>
      </c>
      <c r="E132" t="s">
        <v>3</v>
      </c>
      <c r="F132" t="s">
        <v>1922</v>
      </c>
      <c r="G132" t="s">
        <v>1783</v>
      </c>
      <c r="H132">
        <f t="shared" ref="H132:H154" si="9">IF(RIGHT(C132,1)="4",63,153)</f>
        <v>153</v>
      </c>
      <c r="I132" s="4" t="str">
        <f t="shared" si="8"/>
        <v>I</v>
      </c>
    </row>
    <row r="133" spans="1:9" x14ac:dyDescent="0.2">
      <c r="A133" t="s">
        <v>23</v>
      </c>
      <c r="B133" t="s">
        <v>86</v>
      </c>
      <c r="C133" t="s">
        <v>1930</v>
      </c>
      <c r="D133" t="s">
        <v>9</v>
      </c>
      <c r="E133" t="s">
        <v>3</v>
      </c>
      <c r="F133" t="s">
        <v>1922</v>
      </c>
      <c r="G133" t="s">
        <v>1783</v>
      </c>
      <c r="H133">
        <f t="shared" si="9"/>
        <v>153</v>
      </c>
      <c r="I133" s="4" t="str">
        <f t="shared" si="8"/>
        <v>F</v>
      </c>
    </row>
    <row r="134" spans="1:9" x14ac:dyDescent="0.2">
      <c r="A134" t="s">
        <v>23</v>
      </c>
      <c r="B134" t="s">
        <v>86</v>
      </c>
      <c r="C134" t="s">
        <v>1931</v>
      </c>
      <c r="D134" t="s">
        <v>10</v>
      </c>
      <c r="E134" t="s">
        <v>3</v>
      </c>
      <c r="F134" t="s">
        <v>1922</v>
      </c>
      <c r="G134" t="s">
        <v>1783</v>
      </c>
      <c r="H134">
        <f t="shared" si="9"/>
        <v>63</v>
      </c>
      <c r="I134" s="4" t="str">
        <f t="shared" si="8"/>
        <v>I</v>
      </c>
    </row>
    <row r="135" spans="1:9" x14ac:dyDescent="0.2">
      <c r="A135" t="s">
        <v>23</v>
      </c>
      <c r="B135" t="s">
        <v>87</v>
      </c>
      <c r="C135" t="s">
        <v>1943</v>
      </c>
      <c r="D135" t="s">
        <v>9</v>
      </c>
      <c r="E135" t="s">
        <v>3</v>
      </c>
      <c r="F135" t="s">
        <v>1935</v>
      </c>
      <c r="G135" t="s">
        <v>1783</v>
      </c>
      <c r="H135">
        <f t="shared" si="9"/>
        <v>153</v>
      </c>
      <c r="I135" s="4" t="str">
        <f t="shared" si="8"/>
        <v>I</v>
      </c>
    </row>
    <row r="136" spans="1:9" x14ac:dyDescent="0.2">
      <c r="A136" t="s">
        <v>23</v>
      </c>
      <c r="B136" t="s">
        <v>87</v>
      </c>
      <c r="C136" t="s">
        <v>1944</v>
      </c>
      <c r="D136" t="s">
        <v>10</v>
      </c>
      <c r="E136" t="s">
        <v>3</v>
      </c>
      <c r="F136" t="s">
        <v>1935</v>
      </c>
      <c r="G136" t="s">
        <v>1783</v>
      </c>
      <c r="H136">
        <f t="shared" si="9"/>
        <v>63</v>
      </c>
      <c r="I136" s="4" t="str">
        <f t="shared" si="8"/>
        <v>I</v>
      </c>
    </row>
    <row r="137" spans="1:9" x14ac:dyDescent="0.2">
      <c r="A137" t="s">
        <v>23</v>
      </c>
      <c r="B137" t="s">
        <v>88</v>
      </c>
      <c r="C137" t="s">
        <v>1956</v>
      </c>
      <c r="D137" t="s">
        <v>9</v>
      </c>
      <c r="E137" t="s">
        <v>3</v>
      </c>
      <c r="F137" t="s">
        <v>1948</v>
      </c>
      <c r="G137" t="s">
        <v>1783</v>
      </c>
      <c r="H137">
        <f t="shared" si="9"/>
        <v>153</v>
      </c>
      <c r="I137" s="4" t="str">
        <f t="shared" si="8"/>
        <v>I</v>
      </c>
    </row>
    <row r="138" spans="1:9" x14ac:dyDescent="0.2">
      <c r="A138" t="s">
        <v>23</v>
      </c>
      <c r="B138" t="s">
        <v>88</v>
      </c>
      <c r="C138" t="s">
        <v>1957</v>
      </c>
      <c r="D138" t="s">
        <v>9</v>
      </c>
      <c r="E138" t="s">
        <v>3</v>
      </c>
      <c r="F138" t="s">
        <v>1948</v>
      </c>
      <c r="G138" t="s">
        <v>1783</v>
      </c>
      <c r="H138">
        <f t="shared" si="9"/>
        <v>153</v>
      </c>
      <c r="I138" s="4" t="str">
        <f t="shared" si="8"/>
        <v>F</v>
      </c>
    </row>
    <row r="139" spans="1:9" x14ac:dyDescent="0.2">
      <c r="A139" t="s">
        <v>23</v>
      </c>
      <c r="B139" t="s">
        <v>88</v>
      </c>
      <c r="C139" t="s">
        <v>1958</v>
      </c>
      <c r="D139" t="s">
        <v>10</v>
      </c>
      <c r="E139" t="s">
        <v>3</v>
      </c>
      <c r="F139" t="s">
        <v>1948</v>
      </c>
      <c r="G139" t="s">
        <v>1783</v>
      </c>
      <c r="H139">
        <f t="shared" si="9"/>
        <v>63</v>
      </c>
      <c r="I139" s="4" t="str">
        <f t="shared" si="8"/>
        <v>I</v>
      </c>
    </row>
    <row r="140" spans="1:9" x14ac:dyDescent="0.2">
      <c r="A140" t="s">
        <v>23</v>
      </c>
      <c r="B140" t="s">
        <v>89</v>
      </c>
      <c r="C140" t="s">
        <v>1970</v>
      </c>
      <c r="D140" t="s">
        <v>9</v>
      </c>
      <c r="E140" t="s">
        <v>3</v>
      </c>
      <c r="F140" t="s">
        <v>1962</v>
      </c>
      <c r="G140" t="s">
        <v>1783</v>
      </c>
      <c r="H140">
        <f t="shared" si="9"/>
        <v>153</v>
      </c>
      <c r="I140" s="4" t="str">
        <f t="shared" si="8"/>
        <v>I</v>
      </c>
    </row>
    <row r="141" spans="1:9" x14ac:dyDescent="0.2">
      <c r="A141" t="s">
        <v>23</v>
      </c>
      <c r="B141" t="s">
        <v>89</v>
      </c>
      <c r="C141" t="s">
        <v>1971</v>
      </c>
      <c r="D141" t="s">
        <v>10</v>
      </c>
      <c r="E141" t="s">
        <v>3</v>
      </c>
      <c r="F141" t="s">
        <v>1962</v>
      </c>
      <c r="G141" t="s">
        <v>1783</v>
      </c>
      <c r="H141">
        <f t="shared" si="9"/>
        <v>63</v>
      </c>
      <c r="I141" s="4" t="str">
        <f t="shared" si="8"/>
        <v>I</v>
      </c>
    </row>
    <row r="142" spans="1:9" x14ac:dyDescent="0.2">
      <c r="A142" t="s">
        <v>61</v>
      </c>
      <c r="B142" t="s">
        <v>90</v>
      </c>
      <c r="C142" t="s">
        <v>1983</v>
      </c>
      <c r="D142" t="s">
        <v>9</v>
      </c>
      <c r="E142" t="s">
        <v>3</v>
      </c>
      <c r="F142" t="s">
        <v>1975</v>
      </c>
      <c r="G142" t="s">
        <v>1783</v>
      </c>
      <c r="H142">
        <f t="shared" si="9"/>
        <v>153</v>
      </c>
      <c r="I142" s="4" t="str">
        <f t="shared" si="8"/>
        <v>I</v>
      </c>
    </row>
    <row r="143" spans="1:9" x14ac:dyDescent="0.2">
      <c r="A143" t="s">
        <v>61</v>
      </c>
      <c r="B143" t="s">
        <v>90</v>
      </c>
      <c r="C143" t="s">
        <v>1984</v>
      </c>
      <c r="D143" t="s">
        <v>9</v>
      </c>
      <c r="E143" t="s">
        <v>3</v>
      </c>
      <c r="F143" t="s">
        <v>1975</v>
      </c>
      <c r="G143" t="s">
        <v>1783</v>
      </c>
      <c r="H143">
        <f t="shared" si="9"/>
        <v>153</v>
      </c>
      <c r="I143" s="4" t="str">
        <f t="shared" si="8"/>
        <v>F</v>
      </c>
    </row>
    <row r="144" spans="1:9" x14ac:dyDescent="0.2">
      <c r="A144" t="s">
        <v>61</v>
      </c>
      <c r="B144" t="s">
        <v>90</v>
      </c>
      <c r="C144" t="s">
        <v>1985</v>
      </c>
      <c r="D144" t="s">
        <v>10</v>
      </c>
      <c r="E144" t="s">
        <v>3</v>
      </c>
      <c r="F144" t="s">
        <v>1975</v>
      </c>
      <c r="G144" t="s">
        <v>1783</v>
      </c>
      <c r="H144">
        <f t="shared" si="9"/>
        <v>63</v>
      </c>
      <c r="I144" s="4" t="str">
        <f t="shared" si="8"/>
        <v>I</v>
      </c>
    </row>
    <row r="145" spans="1:9" x14ac:dyDescent="0.2">
      <c r="A145" t="s">
        <v>61</v>
      </c>
      <c r="B145" t="s">
        <v>91</v>
      </c>
      <c r="C145" t="s">
        <v>1997</v>
      </c>
      <c r="D145" t="s">
        <v>9</v>
      </c>
      <c r="E145" t="s">
        <v>3</v>
      </c>
      <c r="F145" t="s">
        <v>1989</v>
      </c>
      <c r="G145" t="s">
        <v>1783</v>
      </c>
      <c r="H145">
        <f t="shared" si="9"/>
        <v>153</v>
      </c>
      <c r="I145" s="4" t="str">
        <f t="shared" si="8"/>
        <v>I</v>
      </c>
    </row>
    <row r="146" spans="1:9" x14ac:dyDescent="0.2">
      <c r="A146" t="s">
        <v>61</v>
      </c>
      <c r="B146" t="s">
        <v>91</v>
      </c>
      <c r="C146" t="s">
        <v>1998</v>
      </c>
      <c r="D146" t="s">
        <v>10</v>
      </c>
      <c r="E146" t="s">
        <v>3</v>
      </c>
      <c r="F146" t="s">
        <v>1989</v>
      </c>
      <c r="G146" t="s">
        <v>1783</v>
      </c>
      <c r="H146">
        <f t="shared" si="9"/>
        <v>63</v>
      </c>
      <c r="I146" s="4" t="str">
        <f t="shared" si="8"/>
        <v>I</v>
      </c>
    </row>
    <row r="147" spans="1:9" x14ac:dyDescent="0.2">
      <c r="A147" t="s">
        <v>61</v>
      </c>
      <c r="B147" t="s">
        <v>92</v>
      </c>
      <c r="C147" t="s">
        <v>2013</v>
      </c>
      <c r="D147" t="s">
        <v>9</v>
      </c>
      <c r="E147" t="s">
        <v>3</v>
      </c>
      <c r="F147" t="s">
        <v>2002</v>
      </c>
      <c r="G147" t="s">
        <v>1783</v>
      </c>
      <c r="H147">
        <f t="shared" si="9"/>
        <v>153</v>
      </c>
      <c r="I147" s="4" t="str">
        <f t="shared" si="8"/>
        <v>I</v>
      </c>
    </row>
    <row r="148" spans="1:9" x14ac:dyDescent="0.2">
      <c r="A148" t="s">
        <v>61</v>
      </c>
      <c r="B148" t="s">
        <v>92</v>
      </c>
      <c r="C148" t="s">
        <v>2014</v>
      </c>
      <c r="D148" t="s">
        <v>9</v>
      </c>
      <c r="E148" t="s">
        <v>3</v>
      </c>
      <c r="F148" t="s">
        <v>2002</v>
      </c>
      <c r="G148" t="s">
        <v>1783</v>
      </c>
      <c r="H148">
        <f t="shared" si="9"/>
        <v>153</v>
      </c>
      <c r="I148" s="4" t="str">
        <f t="shared" si="8"/>
        <v>F</v>
      </c>
    </row>
    <row r="149" spans="1:9" x14ac:dyDescent="0.2">
      <c r="A149" t="s">
        <v>61</v>
      </c>
      <c r="B149" t="s">
        <v>92</v>
      </c>
      <c r="C149" t="s">
        <v>2015</v>
      </c>
      <c r="D149" t="s">
        <v>10</v>
      </c>
      <c r="E149" t="s">
        <v>3</v>
      </c>
      <c r="F149" t="s">
        <v>2002</v>
      </c>
      <c r="G149" t="s">
        <v>1783</v>
      </c>
      <c r="H149">
        <f t="shared" si="9"/>
        <v>63</v>
      </c>
      <c r="I149" s="4" t="str">
        <f t="shared" si="8"/>
        <v>I</v>
      </c>
    </row>
    <row r="150" spans="1:9" x14ac:dyDescent="0.2">
      <c r="A150" t="s">
        <v>61</v>
      </c>
      <c r="B150" t="s">
        <v>93</v>
      </c>
      <c r="C150" t="s">
        <v>2027</v>
      </c>
      <c r="D150" t="s">
        <v>9</v>
      </c>
      <c r="E150" t="s">
        <v>3</v>
      </c>
      <c r="F150" t="s">
        <v>2019</v>
      </c>
      <c r="G150" t="s">
        <v>1783</v>
      </c>
      <c r="H150">
        <f t="shared" si="9"/>
        <v>153</v>
      </c>
      <c r="I150" s="4" t="str">
        <f t="shared" si="8"/>
        <v>I</v>
      </c>
    </row>
    <row r="151" spans="1:9" x14ac:dyDescent="0.2">
      <c r="A151" t="s">
        <v>61</v>
      </c>
      <c r="B151" t="s">
        <v>93</v>
      </c>
      <c r="C151" t="s">
        <v>2028</v>
      </c>
      <c r="D151" t="s">
        <v>10</v>
      </c>
      <c r="E151" t="s">
        <v>3</v>
      </c>
      <c r="F151" t="s">
        <v>2019</v>
      </c>
      <c r="G151" t="s">
        <v>1783</v>
      </c>
      <c r="H151">
        <f t="shared" si="9"/>
        <v>63</v>
      </c>
      <c r="I151" s="4" t="str">
        <f t="shared" si="8"/>
        <v>I</v>
      </c>
    </row>
    <row r="152" spans="1:9" x14ac:dyDescent="0.2">
      <c r="A152" t="s">
        <v>61</v>
      </c>
      <c r="B152" t="s">
        <v>94</v>
      </c>
      <c r="C152" t="s">
        <v>2039</v>
      </c>
      <c r="D152" t="s">
        <v>9</v>
      </c>
      <c r="E152" t="s">
        <v>3</v>
      </c>
      <c r="F152" t="s">
        <v>2031</v>
      </c>
      <c r="G152" t="s">
        <v>1783</v>
      </c>
      <c r="H152">
        <f t="shared" si="9"/>
        <v>153</v>
      </c>
      <c r="I152" s="4" t="str">
        <f t="shared" si="8"/>
        <v>I</v>
      </c>
    </row>
    <row r="153" spans="1:9" x14ac:dyDescent="0.2">
      <c r="A153" t="s">
        <v>61</v>
      </c>
      <c r="B153" t="s">
        <v>94</v>
      </c>
      <c r="C153" t="s">
        <v>2040</v>
      </c>
      <c r="D153" t="s">
        <v>9</v>
      </c>
      <c r="E153" t="s">
        <v>3</v>
      </c>
      <c r="F153" t="s">
        <v>2031</v>
      </c>
      <c r="G153" t="s">
        <v>1783</v>
      </c>
      <c r="H153">
        <f t="shared" si="9"/>
        <v>153</v>
      </c>
      <c r="I153" s="4" t="str">
        <f t="shared" si="8"/>
        <v>F</v>
      </c>
    </row>
    <row r="154" spans="1:9" x14ac:dyDescent="0.2">
      <c r="A154" t="s">
        <v>61</v>
      </c>
      <c r="B154" t="s">
        <v>94</v>
      </c>
      <c r="C154" t="s">
        <v>2041</v>
      </c>
      <c r="D154" t="s">
        <v>10</v>
      </c>
      <c r="E154" t="s">
        <v>3</v>
      </c>
      <c r="F154" t="s">
        <v>2031</v>
      </c>
      <c r="G154" t="s">
        <v>1783</v>
      </c>
      <c r="H154">
        <f t="shared" si="9"/>
        <v>63</v>
      </c>
      <c r="I154" s="4" t="str">
        <f t="shared" si="8"/>
        <v>I</v>
      </c>
    </row>
    <row r="155" spans="1:9" x14ac:dyDescent="0.2">
      <c r="A155" t="s">
        <v>1058</v>
      </c>
      <c r="B155" t="s">
        <v>2044</v>
      </c>
      <c r="C155" t="s">
        <v>2051</v>
      </c>
      <c r="D155" t="s">
        <v>10</v>
      </c>
      <c r="E155" t="s">
        <v>3</v>
      </c>
      <c r="F155" t="s">
        <v>2046</v>
      </c>
      <c r="G155" t="s">
        <v>1474</v>
      </c>
      <c r="H155">
        <f t="shared" ref="H155:H166" si="10">IF(RIGHT(C155,1)="4",63,153)</f>
        <v>63</v>
      </c>
      <c r="I155" s="4" t="str">
        <f t="shared" ref="I155:I166" si="11">MID(C155,7,1)</f>
        <v>I</v>
      </c>
    </row>
    <row r="156" spans="1:9" x14ac:dyDescent="0.2">
      <c r="A156" t="s">
        <v>1058</v>
      </c>
      <c r="B156" t="s">
        <v>2052</v>
      </c>
      <c r="C156" t="s">
        <v>2059</v>
      </c>
      <c r="D156" t="s">
        <v>10</v>
      </c>
      <c r="E156" t="s">
        <v>3</v>
      </c>
      <c r="F156" t="s">
        <v>2054</v>
      </c>
      <c r="G156" t="s">
        <v>1474</v>
      </c>
      <c r="H156">
        <f t="shared" si="10"/>
        <v>63</v>
      </c>
      <c r="I156" s="4" t="str">
        <f t="shared" si="11"/>
        <v>I</v>
      </c>
    </row>
    <row r="157" spans="1:9" x14ac:dyDescent="0.2">
      <c r="A157" t="s">
        <v>1058</v>
      </c>
      <c r="B157" t="s">
        <v>2060</v>
      </c>
      <c r="C157" t="s">
        <v>2067</v>
      </c>
      <c r="D157" t="s">
        <v>10</v>
      </c>
      <c r="E157" t="s">
        <v>3</v>
      </c>
      <c r="F157" t="s">
        <v>2062</v>
      </c>
      <c r="G157" t="s">
        <v>1474</v>
      </c>
      <c r="H157">
        <f t="shared" si="10"/>
        <v>63</v>
      </c>
      <c r="I157" s="4" t="str">
        <f t="shared" si="11"/>
        <v>I</v>
      </c>
    </row>
    <row r="158" spans="1:9" x14ac:dyDescent="0.2">
      <c r="A158" t="s">
        <v>1058</v>
      </c>
      <c r="B158" t="s">
        <v>2068</v>
      </c>
      <c r="C158" t="s">
        <v>2075</v>
      </c>
      <c r="D158" t="s">
        <v>10</v>
      </c>
      <c r="E158" t="s">
        <v>3</v>
      </c>
      <c r="F158" t="s">
        <v>2070</v>
      </c>
      <c r="G158" t="s">
        <v>1474</v>
      </c>
      <c r="H158">
        <f t="shared" si="10"/>
        <v>63</v>
      </c>
      <c r="I158" s="4" t="str">
        <f t="shared" si="11"/>
        <v>I</v>
      </c>
    </row>
    <row r="159" spans="1:9" x14ac:dyDescent="0.2">
      <c r="A159" t="s">
        <v>1058</v>
      </c>
      <c r="B159" t="s">
        <v>2076</v>
      </c>
      <c r="C159" t="s">
        <v>2083</v>
      </c>
      <c r="D159" t="s">
        <v>10</v>
      </c>
      <c r="E159" t="s">
        <v>3</v>
      </c>
      <c r="F159" t="s">
        <v>2078</v>
      </c>
      <c r="G159" t="s">
        <v>1474</v>
      </c>
      <c r="H159">
        <f t="shared" si="10"/>
        <v>63</v>
      </c>
      <c r="I159" s="4" t="str">
        <f t="shared" si="11"/>
        <v>I</v>
      </c>
    </row>
    <row r="160" spans="1:9" x14ac:dyDescent="0.2">
      <c r="A160" t="s">
        <v>1058</v>
      </c>
      <c r="B160" t="s">
        <v>2084</v>
      </c>
      <c r="C160" t="s">
        <v>2091</v>
      </c>
      <c r="D160" t="s">
        <v>10</v>
      </c>
      <c r="E160" t="s">
        <v>3</v>
      </c>
      <c r="F160" t="s">
        <v>2086</v>
      </c>
      <c r="G160" t="s">
        <v>1474</v>
      </c>
      <c r="H160">
        <f t="shared" si="10"/>
        <v>63</v>
      </c>
      <c r="I160" s="4" t="str">
        <f t="shared" si="11"/>
        <v>I</v>
      </c>
    </row>
    <row r="161" spans="1:9" x14ac:dyDescent="0.2">
      <c r="A161" t="s">
        <v>1058</v>
      </c>
      <c r="B161" t="s">
        <v>2092</v>
      </c>
      <c r="C161" t="s">
        <v>2099</v>
      </c>
      <c r="D161" t="s">
        <v>10</v>
      </c>
      <c r="E161" t="s">
        <v>3</v>
      </c>
      <c r="F161" t="s">
        <v>2094</v>
      </c>
      <c r="G161" t="s">
        <v>1474</v>
      </c>
      <c r="H161">
        <f t="shared" si="10"/>
        <v>63</v>
      </c>
      <c r="I161" s="4" t="str">
        <f t="shared" si="11"/>
        <v>I</v>
      </c>
    </row>
    <row r="162" spans="1:9" x14ac:dyDescent="0.2">
      <c r="A162" t="s">
        <v>1058</v>
      </c>
      <c r="B162" t="s">
        <v>2100</v>
      </c>
      <c r="C162" t="s">
        <v>2107</v>
      </c>
      <c r="D162" t="s">
        <v>10</v>
      </c>
      <c r="E162" t="s">
        <v>3</v>
      </c>
      <c r="F162" t="s">
        <v>2102</v>
      </c>
      <c r="G162" t="s">
        <v>1474</v>
      </c>
      <c r="H162">
        <f t="shared" si="10"/>
        <v>63</v>
      </c>
      <c r="I162" s="4" t="str">
        <f t="shared" si="11"/>
        <v>I</v>
      </c>
    </row>
    <row r="163" spans="1:9" x14ac:dyDescent="0.2">
      <c r="A163" t="s">
        <v>1058</v>
      </c>
      <c r="B163" t="s">
        <v>2108</v>
      </c>
      <c r="C163" t="s">
        <v>2115</v>
      </c>
      <c r="D163" t="s">
        <v>10</v>
      </c>
      <c r="E163" t="s">
        <v>3</v>
      </c>
      <c r="F163" t="s">
        <v>2110</v>
      </c>
      <c r="G163" t="s">
        <v>1474</v>
      </c>
      <c r="H163">
        <f t="shared" si="10"/>
        <v>63</v>
      </c>
      <c r="I163" s="4" t="str">
        <f t="shared" si="11"/>
        <v>I</v>
      </c>
    </row>
    <row r="164" spans="1:9" x14ac:dyDescent="0.2">
      <c r="A164" t="s">
        <v>1058</v>
      </c>
      <c r="B164" t="s">
        <v>2116</v>
      </c>
      <c r="C164" t="s">
        <v>2123</v>
      </c>
      <c r="D164" t="s">
        <v>10</v>
      </c>
      <c r="E164" t="s">
        <v>3</v>
      </c>
      <c r="F164" t="s">
        <v>2118</v>
      </c>
      <c r="G164" t="s">
        <v>1474</v>
      </c>
      <c r="H164">
        <f t="shared" si="10"/>
        <v>63</v>
      </c>
      <c r="I164" s="4" t="str">
        <f t="shared" si="11"/>
        <v>I</v>
      </c>
    </row>
    <row r="165" spans="1:9" x14ac:dyDescent="0.2">
      <c r="A165" t="s">
        <v>1058</v>
      </c>
      <c r="B165" t="s">
        <v>2124</v>
      </c>
      <c r="C165" t="s">
        <v>2175</v>
      </c>
      <c r="D165" t="s">
        <v>10</v>
      </c>
      <c r="E165" t="s">
        <v>3</v>
      </c>
      <c r="F165" t="s">
        <v>2125</v>
      </c>
      <c r="G165" t="s">
        <v>1474</v>
      </c>
      <c r="H165">
        <f t="shared" si="10"/>
        <v>63</v>
      </c>
      <c r="I165" s="4" t="str">
        <f t="shared" si="11"/>
        <v>I</v>
      </c>
    </row>
    <row r="166" spans="1:9" x14ac:dyDescent="0.2">
      <c r="A166" t="s">
        <v>1058</v>
      </c>
      <c r="B166" t="s">
        <v>2126</v>
      </c>
      <c r="C166" t="s">
        <v>2181</v>
      </c>
      <c r="D166" t="s">
        <v>10</v>
      </c>
      <c r="E166" t="s">
        <v>3</v>
      </c>
      <c r="F166" t="s">
        <v>2127</v>
      </c>
      <c r="G166" t="s">
        <v>1474</v>
      </c>
      <c r="H166">
        <f t="shared" si="10"/>
        <v>63</v>
      </c>
      <c r="I166" s="4" t="str">
        <f t="shared" si="11"/>
        <v>I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1"/>
  <dimension ref="A1:H85"/>
  <sheetViews>
    <sheetView workbookViewId="0">
      <pane ySplit="1" topLeftCell="A68" activePane="bottomLeft" state="frozen"/>
      <selection activeCell="H9" sqref="H9"/>
      <selection pane="bottomLeft" activeCell="C84" sqref="C84:C85"/>
    </sheetView>
  </sheetViews>
  <sheetFormatPr defaultRowHeight="12.75" x14ac:dyDescent="0.2"/>
  <cols>
    <col min="2" max="3" width="12.42578125" customWidth="1"/>
  </cols>
  <sheetData>
    <row r="1" spans="1:8" s="3" customFormat="1" ht="25.5" x14ac:dyDescent="0.2">
      <c r="A1" s="11" t="s">
        <v>197</v>
      </c>
      <c r="B1" s="11" t="s">
        <v>95</v>
      </c>
      <c r="C1" s="11" t="s">
        <v>100</v>
      </c>
      <c r="D1" s="11" t="s">
        <v>198</v>
      </c>
      <c r="E1" s="11" t="s">
        <v>101</v>
      </c>
      <c r="F1" s="11" t="s">
        <v>114</v>
      </c>
      <c r="G1" s="11" t="s">
        <v>115</v>
      </c>
      <c r="H1" s="3" t="s">
        <v>1060</v>
      </c>
    </row>
    <row r="2" spans="1:8" x14ac:dyDescent="0.2">
      <c r="A2" t="s">
        <v>0</v>
      </c>
      <c r="B2" t="s">
        <v>1</v>
      </c>
      <c r="C2" t="s">
        <v>1138</v>
      </c>
      <c r="D2" t="s">
        <v>8</v>
      </c>
      <c r="E2" t="s">
        <v>3</v>
      </c>
      <c r="F2" t="s">
        <v>1129</v>
      </c>
      <c r="G2" t="s">
        <v>1130</v>
      </c>
      <c r="H2" s="4">
        <v>2</v>
      </c>
    </row>
    <row r="3" spans="1:8" x14ac:dyDescent="0.2">
      <c r="A3" t="s">
        <v>0</v>
      </c>
      <c r="B3" t="s">
        <v>11</v>
      </c>
      <c r="C3" t="s">
        <v>1151</v>
      </c>
      <c r="D3" t="s">
        <v>8</v>
      </c>
      <c r="E3" t="s">
        <v>3</v>
      </c>
      <c r="F3" t="s">
        <v>1144</v>
      </c>
      <c r="G3" t="s">
        <v>1130</v>
      </c>
      <c r="H3" s="4">
        <v>2</v>
      </c>
    </row>
    <row r="4" spans="1:8" x14ac:dyDescent="0.2">
      <c r="A4" t="s">
        <v>0</v>
      </c>
      <c r="B4" t="s">
        <v>13</v>
      </c>
      <c r="C4" t="s">
        <v>1166</v>
      </c>
      <c r="D4" t="s">
        <v>8</v>
      </c>
      <c r="E4" t="s">
        <v>3</v>
      </c>
      <c r="F4" t="s">
        <v>1157</v>
      </c>
      <c r="G4" t="s">
        <v>1130</v>
      </c>
      <c r="H4" s="4">
        <v>2</v>
      </c>
    </row>
    <row r="5" spans="1:8" x14ac:dyDescent="0.2">
      <c r="A5" t="s">
        <v>0</v>
      </c>
      <c r="B5" t="s">
        <v>21</v>
      </c>
      <c r="C5" t="s">
        <v>1179</v>
      </c>
      <c r="D5" t="s">
        <v>8</v>
      </c>
      <c r="E5" t="s">
        <v>3</v>
      </c>
      <c r="F5" t="s">
        <v>1172</v>
      </c>
      <c r="G5" t="s">
        <v>1130</v>
      </c>
      <c r="H5" s="4">
        <v>2</v>
      </c>
    </row>
    <row r="6" spans="1:8" x14ac:dyDescent="0.2">
      <c r="A6" t="s">
        <v>0</v>
      </c>
      <c r="B6" t="s">
        <v>22</v>
      </c>
      <c r="C6" t="s">
        <v>1192</v>
      </c>
      <c r="D6" t="s">
        <v>8</v>
      </c>
      <c r="E6" t="s">
        <v>3</v>
      </c>
      <c r="F6" t="s">
        <v>1185</v>
      </c>
      <c r="G6" t="s">
        <v>1130</v>
      </c>
      <c r="H6" s="4">
        <v>2</v>
      </c>
    </row>
    <row r="7" spans="1:8" x14ac:dyDescent="0.2">
      <c r="A7" t="s">
        <v>23</v>
      </c>
      <c r="B7" t="s">
        <v>24</v>
      </c>
      <c r="C7" t="s">
        <v>1206</v>
      </c>
      <c r="D7" t="s">
        <v>8</v>
      </c>
      <c r="E7" t="s">
        <v>3</v>
      </c>
      <c r="F7" t="s">
        <v>1197</v>
      </c>
      <c r="G7" t="s">
        <v>1130</v>
      </c>
      <c r="H7" s="4">
        <v>2</v>
      </c>
    </row>
    <row r="8" spans="1:8" x14ac:dyDescent="0.2">
      <c r="A8" t="s">
        <v>23</v>
      </c>
      <c r="B8" t="s">
        <v>25</v>
      </c>
      <c r="C8" t="s">
        <v>1219</v>
      </c>
      <c r="D8" t="s">
        <v>8</v>
      </c>
      <c r="E8" t="s">
        <v>3</v>
      </c>
      <c r="F8" t="s">
        <v>1212</v>
      </c>
      <c r="G8" t="s">
        <v>1130</v>
      </c>
      <c r="H8" s="4">
        <v>2</v>
      </c>
    </row>
    <row r="9" spans="1:8" x14ac:dyDescent="0.2">
      <c r="A9" t="s">
        <v>23</v>
      </c>
      <c r="B9" t="s">
        <v>26</v>
      </c>
      <c r="C9" t="s">
        <v>1232</v>
      </c>
      <c r="D9" t="s">
        <v>8</v>
      </c>
      <c r="E9" t="s">
        <v>3</v>
      </c>
      <c r="F9" t="s">
        <v>1225</v>
      </c>
      <c r="G9" t="s">
        <v>1130</v>
      </c>
      <c r="H9" s="4">
        <v>2</v>
      </c>
    </row>
    <row r="10" spans="1:8" x14ac:dyDescent="0.2">
      <c r="A10" t="s">
        <v>27</v>
      </c>
      <c r="B10" t="s">
        <v>28</v>
      </c>
      <c r="C10" t="s">
        <v>1244</v>
      </c>
      <c r="D10" t="s">
        <v>8</v>
      </c>
      <c r="E10" t="s">
        <v>3</v>
      </c>
      <c r="F10" t="s">
        <v>1238</v>
      </c>
      <c r="G10" t="s">
        <v>1130</v>
      </c>
      <c r="H10" s="4">
        <v>2</v>
      </c>
    </row>
    <row r="11" spans="1:8" x14ac:dyDescent="0.2">
      <c r="A11" t="s">
        <v>27</v>
      </c>
      <c r="B11" t="s">
        <v>29</v>
      </c>
      <c r="C11" t="s">
        <v>1261</v>
      </c>
      <c r="D11" t="s">
        <v>8</v>
      </c>
      <c r="E11" t="s">
        <v>3</v>
      </c>
      <c r="F11" t="s">
        <v>1250</v>
      </c>
      <c r="G11" t="s">
        <v>1130</v>
      </c>
      <c r="H11" s="4">
        <v>2</v>
      </c>
    </row>
    <row r="12" spans="1:8" x14ac:dyDescent="0.2">
      <c r="A12" t="s">
        <v>27</v>
      </c>
      <c r="B12" t="s">
        <v>31</v>
      </c>
      <c r="C12" t="s">
        <v>1274</v>
      </c>
      <c r="D12" t="s">
        <v>8</v>
      </c>
      <c r="E12" t="s">
        <v>3</v>
      </c>
      <c r="F12" t="s">
        <v>1267</v>
      </c>
      <c r="G12" t="s">
        <v>1130</v>
      </c>
      <c r="H12" s="4">
        <v>2</v>
      </c>
    </row>
    <row r="13" spans="1:8" x14ac:dyDescent="0.2">
      <c r="A13" t="s">
        <v>0</v>
      </c>
      <c r="B13" t="s">
        <v>32</v>
      </c>
      <c r="C13" t="s">
        <v>1288</v>
      </c>
      <c r="D13" t="s">
        <v>8</v>
      </c>
      <c r="E13" t="s">
        <v>3</v>
      </c>
      <c r="F13" t="s">
        <v>1280</v>
      </c>
      <c r="G13" t="s">
        <v>1281</v>
      </c>
      <c r="H13" s="4">
        <v>2</v>
      </c>
    </row>
    <row r="14" spans="1:8" x14ac:dyDescent="0.2">
      <c r="A14" t="s">
        <v>0</v>
      </c>
      <c r="B14" t="s">
        <v>33</v>
      </c>
      <c r="C14" t="s">
        <v>1301</v>
      </c>
      <c r="D14" t="s">
        <v>8</v>
      </c>
      <c r="E14" t="s">
        <v>3</v>
      </c>
      <c r="F14" t="s">
        <v>1294</v>
      </c>
      <c r="G14" t="s">
        <v>1281</v>
      </c>
      <c r="H14" s="4">
        <v>2</v>
      </c>
    </row>
    <row r="15" spans="1:8" x14ac:dyDescent="0.2">
      <c r="A15" t="s">
        <v>0</v>
      </c>
      <c r="B15" t="s">
        <v>34</v>
      </c>
      <c r="C15" t="s">
        <v>1313</v>
      </c>
      <c r="D15" t="s">
        <v>8</v>
      </c>
      <c r="E15" t="s">
        <v>3</v>
      </c>
      <c r="F15" t="s">
        <v>1307</v>
      </c>
      <c r="G15" t="s">
        <v>1281</v>
      </c>
      <c r="H15" s="4">
        <v>2</v>
      </c>
    </row>
    <row r="16" spans="1:8" x14ac:dyDescent="0.2">
      <c r="A16" t="s">
        <v>0</v>
      </c>
      <c r="B16" t="s">
        <v>35</v>
      </c>
      <c r="C16" t="s">
        <v>1328</v>
      </c>
      <c r="D16" t="s">
        <v>8</v>
      </c>
      <c r="E16" t="s">
        <v>3</v>
      </c>
      <c r="F16" t="s">
        <v>1319</v>
      </c>
      <c r="G16" t="s">
        <v>1281</v>
      </c>
      <c r="H16" s="4">
        <v>2</v>
      </c>
    </row>
    <row r="17" spans="1:8" x14ac:dyDescent="0.2">
      <c r="A17" t="s">
        <v>0</v>
      </c>
      <c r="B17" t="s">
        <v>36</v>
      </c>
      <c r="C17" t="s">
        <v>1341</v>
      </c>
      <c r="D17" t="s">
        <v>8</v>
      </c>
      <c r="E17" t="s">
        <v>3</v>
      </c>
      <c r="F17" t="s">
        <v>1334</v>
      </c>
      <c r="G17" t="s">
        <v>1281</v>
      </c>
      <c r="H17" s="4">
        <v>2</v>
      </c>
    </row>
    <row r="18" spans="1:8" x14ac:dyDescent="0.2">
      <c r="A18" t="s">
        <v>0</v>
      </c>
      <c r="B18" t="s">
        <v>37</v>
      </c>
      <c r="C18" t="s">
        <v>1354</v>
      </c>
      <c r="D18" t="s">
        <v>8</v>
      </c>
      <c r="E18" t="s">
        <v>3</v>
      </c>
      <c r="F18" t="s">
        <v>1347</v>
      </c>
      <c r="G18" t="s">
        <v>1281</v>
      </c>
      <c r="H18" s="4">
        <v>2</v>
      </c>
    </row>
    <row r="19" spans="1:8" x14ac:dyDescent="0.2">
      <c r="A19" t="s">
        <v>23</v>
      </c>
      <c r="B19" t="s">
        <v>38</v>
      </c>
      <c r="C19" t="s">
        <v>1367</v>
      </c>
      <c r="D19" t="s">
        <v>8</v>
      </c>
      <c r="E19" t="s">
        <v>3</v>
      </c>
      <c r="F19" t="s">
        <v>1360</v>
      </c>
      <c r="G19" t="s">
        <v>1281</v>
      </c>
      <c r="H19" s="4">
        <v>2</v>
      </c>
    </row>
    <row r="20" spans="1:8" x14ac:dyDescent="0.2">
      <c r="A20" t="s">
        <v>23</v>
      </c>
      <c r="B20" t="s">
        <v>39</v>
      </c>
      <c r="C20" t="s">
        <v>1379</v>
      </c>
      <c r="D20" t="s">
        <v>8</v>
      </c>
      <c r="E20" t="s">
        <v>3</v>
      </c>
      <c r="F20" t="s">
        <v>1373</v>
      </c>
      <c r="G20" t="s">
        <v>1281</v>
      </c>
      <c r="H20" s="4">
        <v>2</v>
      </c>
    </row>
    <row r="21" spans="1:8" x14ac:dyDescent="0.2">
      <c r="A21" t="s">
        <v>23</v>
      </c>
      <c r="B21" t="s">
        <v>40</v>
      </c>
      <c r="C21" t="s">
        <v>1392</v>
      </c>
      <c r="D21" t="s">
        <v>8</v>
      </c>
      <c r="E21" t="s">
        <v>3</v>
      </c>
      <c r="F21" t="s">
        <v>1384</v>
      </c>
      <c r="G21" t="s">
        <v>1281</v>
      </c>
      <c r="H21" s="4">
        <v>2</v>
      </c>
    </row>
    <row r="22" spans="1:8" x14ac:dyDescent="0.2">
      <c r="A22" t="s">
        <v>27</v>
      </c>
      <c r="B22" t="s">
        <v>41</v>
      </c>
      <c r="C22" t="s">
        <v>1406</v>
      </c>
      <c r="D22" t="s">
        <v>8</v>
      </c>
      <c r="E22" t="s">
        <v>3</v>
      </c>
      <c r="F22" t="s">
        <v>1398</v>
      </c>
      <c r="G22" t="s">
        <v>1281</v>
      </c>
      <c r="H22" s="4">
        <v>2</v>
      </c>
    </row>
    <row r="23" spans="1:8" x14ac:dyDescent="0.2">
      <c r="A23" t="s">
        <v>27</v>
      </c>
      <c r="B23" t="s">
        <v>42</v>
      </c>
      <c r="C23" t="s">
        <v>1419</v>
      </c>
      <c r="D23" t="s">
        <v>8</v>
      </c>
      <c r="E23" t="s">
        <v>3</v>
      </c>
      <c r="F23" t="s">
        <v>1412</v>
      </c>
      <c r="G23" t="s">
        <v>1281</v>
      </c>
      <c r="H23" s="4">
        <v>2</v>
      </c>
    </row>
    <row r="24" spans="1:8" x14ac:dyDescent="0.2">
      <c r="A24" t="s">
        <v>27</v>
      </c>
      <c r="B24" t="s">
        <v>43</v>
      </c>
      <c r="C24" t="s">
        <v>1432</v>
      </c>
      <c r="D24" t="s">
        <v>8</v>
      </c>
      <c r="E24" t="s">
        <v>3</v>
      </c>
      <c r="F24" t="s">
        <v>1424</v>
      </c>
      <c r="G24" t="s">
        <v>1281</v>
      </c>
      <c r="H24" s="4">
        <v>2</v>
      </c>
    </row>
    <row r="25" spans="1:8" x14ac:dyDescent="0.2">
      <c r="A25" t="s">
        <v>27</v>
      </c>
      <c r="B25" t="s">
        <v>44</v>
      </c>
      <c r="C25" t="s">
        <v>1448</v>
      </c>
      <c r="D25" t="s">
        <v>8</v>
      </c>
      <c r="E25" t="s">
        <v>3</v>
      </c>
      <c r="F25" t="s">
        <v>1438</v>
      </c>
      <c r="G25" t="s">
        <v>1281</v>
      </c>
      <c r="H25" s="4">
        <v>2</v>
      </c>
    </row>
    <row r="26" spans="1:8" x14ac:dyDescent="0.2">
      <c r="A26" t="s">
        <v>27</v>
      </c>
      <c r="B26" t="s">
        <v>45</v>
      </c>
      <c r="C26" t="s">
        <v>1461</v>
      </c>
      <c r="D26" t="s">
        <v>8</v>
      </c>
      <c r="E26" t="s">
        <v>3</v>
      </c>
      <c r="F26" t="s">
        <v>1454</v>
      </c>
      <c r="G26" t="s">
        <v>1281</v>
      </c>
      <c r="H26" s="4">
        <v>2</v>
      </c>
    </row>
    <row r="27" spans="1:8" x14ac:dyDescent="0.2">
      <c r="A27" t="s">
        <v>46</v>
      </c>
      <c r="B27" t="s">
        <v>47</v>
      </c>
      <c r="C27" t="s">
        <v>1482</v>
      </c>
      <c r="D27" t="s">
        <v>8</v>
      </c>
      <c r="E27" t="s">
        <v>3</v>
      </c>
      <c r="F27" t="s">
        <v>1473</v>
      </c>
      <c r="G27" t="s">
        <v>1474</v>
      </c>
      <c r="H27" s="4">
        <v>1</v>
      </c>
    </row>
    <row r="28" spans="1:8" x14ac:dyDescent="0.2">
      <c r="A28" t="s">
        <v>46</v>
      </c>
      <c r="B28" t="s">
        <v>48</v>
      </c>
      <c r="C28" t="s">
        <v>1495</v>
      </c>
      <c r="D28" t="s">
        <v>8</v>
      </c>
      <c r="E28" t="s">
        <v>3</v>
      </c>
      <c r="F28" t="s">
        <v>1488</v>
      </c>
      <c r="G28" t="s">
        <v>1474</v>
      </c>
      <c r="H28" s="4">
        <v>1</v>
      </c>
    </row>
    <row r="29" spans="1:8" x14ac:dyDescent="0.2">
      <c r="A29" t="s">
        <v>46</v>
      </c>
      <c r="B29" t="s">
        <v>49</v>
      </c>
      <c r="C29" t="s">
        <v>1507</v>
      </c>
      <c r="D29" t="s">
        <v>8</v>
      </c>
      <c r="E29" t="s">
        <v>3</v>
      </c>
      <c r="F29" t="s">
        <v>1500</v>
      </c>
      <c r="G29" t="s">
        <v>1474</v>
      </c>
      <c r="H29" s="4">
        <v>1</v>
      </c>
    </row>
    <row r="30" spans="1:8" x14ac:dyDescent="0.2">
      <c r="A30" t="s">
        <v>46</v>
      </c>
      <c r="B30" t="s">
        <v>50</v>
      </c>
      <c r="C30" t="s">
        <v>1520</v>
      </c>
      <c r="D30" t="s">
        <v>8</v>
      </c>
      <c r="E30" t="s">
        <v>3</v>
      </c>
      <c r="F30" t="s">
        <v>1513</v>
      </c>
      <c r="G30" t="s">
        <v>1474</v>
      </c>
      <c r="H30" s="4">
        <v>1</v>
      </c>
    </row>
    <row r="31" spans="1:8" x14ac:dyDescent="0.2">
      <c r="A31" t="s">
        <v>23</v>
      </c>
      <c r="B31" t="s">
        <v>51</v>
      </c>
      <c r="C31" t="s">
        <v>1531</v>
      </c>
      <c r="D31" t="s">
        <v>8</v>
      </c>
      <c r="E31" t="s">
        <v>3</v>
      </c>
      <c r="F31" t="s">
        <v>1526</v>
      </c>
      <c r="G31" t="s">
        <v>1474</v>
      </c>
      <c r="H31" s="4">
        <v>1</v>
      </c>
    </row>
    <row r="32" spans="1:8" x14ac:dyDescent="0.2">
      <c r="A32" t="s">
        <v>23</v>
      </c>
      <c r="B32" t="s">
        <v>52</v>
      </c>
      <c r="C32" t="s">
        <v>1540</v>
      </c>
      <c r="D32" t="s">
        <v>8</v>
      </c>
      <c r="E32" t="s">
        <v>3</v>
      </c>
      <c r="F32" t="s">
        <v>1535</v>
      </c>
      <c r="G32" t="s">
        <v>1474</v>
      </c>
      <c r="H32" s="4">
        <v>1</v>
      </c>
    </row>
    <row r="33" spans="1:8" x14ac:dyDescent="0.2">
      <c r="A33" t="s">
        <v>23</v>
      </c>
      <c r="B33" t="s">
        <v>53</v>
      </c>
      <c r="C33" t="s">
        <v>1549</v>
      </c>
      <c r="D33" t="s">
        <v>8</v>
      </c>
      <c r="E33" t="s">
        <v>3</v>
      </c>
      <c r="F33" t="s">
        <v>1544</v>
      </c>
      <c r="G33" t="s">
        <v>1474</v>
      </c>
      <c r="H33" s="4">
        <v>1</v>
      </c>
    </row>
    <row r="34" spans="1:8" x14ac:dyDescent="0.2">
      <c r="A34" t="s">
        <v>23</v>
      </c>
      <c r="B34" t="s">
        <v>54</v>
      </c>
      <c r="C34" t="s">
        <v>1558</v>
      </c>
      <c r="D34" t="s">
        <v>8</v>
      </c>
      <c r="E34" t="s">
        <v>3</v>
      </c>
      <c r="F34" t="s">
        <v>1553</v>
      </c>
      <c r="G34" t="s">
        <v>1474</v>
      </c>
      <c r="H34" s="4">
        <v>1</v>
      </c>
    </row>
    <row r="35" spans="1:8" x14ac:dyDescent="0.2">
      <c r="A35" t="s">
        <v>23</v>
      </c>
      <c r="B35" t="s">
        <v>55</v>
      </c>
      <c r="C35" t="s">
        <v>1566</v>
      </c>
      <c r="D35" t="s">
        <v>8</v>
      </c>
      <c r="E35" t="s">
        <v>3</v>
      </c>
      <c r="F35" t="s">
        <v>1562</v>
      </c>
      <c r="G35" t="s">
        <v>1474</v>
      </c>
      <c r="H35" s="4">
        <v>1</v>
      </c>
    </row>
    <row r="36" spans="1:8" x14ac:dyDescent="0.2">
      <c r="A36" t="s">
        <v>23</v>
      </c>
      <c r="B36" t="s">
        <v>56</v>
      </c>
      <c r="C36" t="s">
        <v>1575</v>
      </c>
      <c r="D36" t="s">
        <v>8</v>
      </c>
      <c r="E36" t="s">
        <v>3</v>
      </c>
      <c r="F36" t="s">
        <v>1570</v>
      </c>
      <c r="G36" t="s">
        <v>1474</v>
      </c>
      <c r="H36" s="4">
        <v>1</v>
      </c>
    </row>
    <row r="37" spans="1:8" x14ac:dyDescent="0.2">
      <c r="A37" t="s">
        <v>23</v>
      </c>
      <c r="B37" t="s">
        <v>57</v>
      </c>
      <c r="C37" t="s">
        <v>1583</v>
      </c>
      <c r="D37" t="s">
        <v>8</v>
      </c>
      <c r="E37" t="s">
        <v>3</v>
      </c>
      <c r="F37" t="s">
        <v>1579</v>
      </c>
      <c r="G37" t="s">
        <v>1474</v>
      </c>
      <c r="H37" s="4">
        <v>1</v>
      </c>
    </row>
    <row r="38" spans="1:8" x14ac:dyDescent="0.2">
      <c r="A38" t="s">
        <v>23</v>
      </c>
      <c r="B38" t="s">
        <v>58</v>
      </c>
      <c r="C38" t="s">
        <v>1592</v>
      </c>
      <c r="D38" t="s">
        <v>8</v>
      </c>
      <c r="E38" t="s">
        <v>3</v>
      </c>
      <c r="F38" t="s">
        <v>1587</v>
      </c>
      <c r="G38" t="s">
        <v>1474</v>
      </c>
      <c r="H38" s="4">
        <v>1</v>
      </c>
    </row>
    <row r="39" spans="1:8" x14ac:dyDescent="0.2">
      <c r="A39" t="s">
        <v>23</v>
      </c>
      <c r="B39" t="s">
        <v>59</v>
      </c>
      <c r="C39" t="s">
        <v>1601</v>
      </c>
      <c r="D39" t="s">
        <v>8</v>
      </c>
      <c r="E39" t="s">
        <v>3</v>
      </c>
      <c r="F39" t="s">
        <v>1596</v>
      </c>
      <c r="G39" t="s">
        <v>1474</v>
      </c>
      <c r="H39" s="4">
        <v>1</v>
      </c>
    </row>
    <row r="40" spans="1:8" x14ac:dyDescent="0.2">
      <c r="A40" t="s">
        <v>23</v>
      </c>
      <c r="B40" t="s">
        <v>60</v>
      </c>
      <c r="C40" t="s">
        <v>1610</v>
      </c>
      <c r="D40" t="s">
        <v>8</v>
      </c>
      <c r="E40" t="s">
        <v>3</v>
      </c>
      <c r="F40" t="s">
        <v>1605</v>
      </c>
      <c r="G40" t="s">
        <v>1474</v>
      </c>
      <c r="H40" s="4">
        <v>1</v>
      </c>
    </row>
    <row r="41" spans="1:8" x14ac:dyDescent="0.2">
      <c r="A41" t="s">
        <v>61</v>
      </c>
      <c r="B41" t="s">
        <v>62</v>
      </c>
      <c r="C41" t="s">
        <v>1619</v>
      </c>
      <c r="D41" t="s">
        <v>8</v>
      </c>
      <c r="E41" t="s">
        <v>3</v>
      </c>
      <c r="F41" t="s">
        <v>1614</v>
      </c>
      <c r="G41" t="s">
        <v>1474</v>
      </c>
      <c r="H41" s="4">
        <v>1</v>
      </c>
    </row>
    <row r="42" spans="1:8" x14ac:dyDescent="0.2">
      <c r="A42" t="s">
        <v>61</v>
      </c>
      <c r="B42" t="s">
        <v>63</v>
      </c>
      <c r="C42" t="s">
        <v>1627</v>
      </c>
      <c r="D42" t="s">
        <v>8</v>
      </c>
      <c r="E42" t="s">
        <v>3</v>
      </c>
      <c r="F42" t="s">
        <v>1622</v>
      </c>
      <c r="G42" t="s">
        <v>1474</v>
      </c>
      <c r="H42" s="4">
        <v>1</v>
      </c>
    </row>
    <row r="43" spans="1:8" x14ac:dyDescent="0.2">
      <c r="A43" t="s">
        <v>61</v>
      </c>
      <c r="B43" t="s">
        <v>64</v>
      </c>
      <c r="C43" t="s">
        <v>1636</v>
      </c>
      <c r="D43" t="s">
        <v>8</v>
      </c>
      <c r="E43" t="s">
        <v>3</v>
      </c>
      <c r="F43" t="s">
        <v>1631</v>
      </c>
      <c r="G43" t="s">
        <v>1474</v>
      </c>
      <c r="H43" s="4">
        <v>1</v>
      </c>
    </row>
    <row r="44" spans="1:8" x14ac:dyDescent="0.2">
      <c r="A44" t="s">
        <v>61</v>
      </c>
      <c r="B44" t="s">
        <v>65</v>
      </c>
      <c r="C44" t="s">
        <v>1645</v>
      </c>
      <c r="D44" t="s">
        <v>8</v>
      </c>
      <c r="E44" t="s">
        <v>3</v>
      </c>
      <c r="F44" t="s">
        <v>1640</v>
      </c>
      <c r="G44" t="s">
        <v>1474</v>
      </c>
      <c r="H44" s="4">
        <v>1</v>
      </c>
    </row>
    <row r="45" spans="1:8" x14ac:dyDescent="0.2">
      <c r="A45" t="s">
        <v>61</v>
      </c>
      <c r="B45" t="s">
        <v>66</v>
      </c>
      <c r="C45" t="s">
        <v>1656</v>
      </c>
      <c r="D45" t="s">
        <v>8</v>
      </c>
      <c r="E45" t="s">
        <v>3</v>
      </c>
      <c r="F45" t="s">
        <v>1653</v>
      </c>
      <c r="G45" t="s">
        <v>1474</v>
      </c>
      <c r="H45" s="4">
        <v>1</v>
      </c>
    </row>
    <row r="46" spans="1:8" x14ac:dyDescent="0.2">
      <c r="A46" t="s">
        <v>61</v>
      </c>
      <c r="B46" t="s">
        <v>67</v>
      </c>
      <c r="C46" t="s">
        <v>1669</v>
      </c>
      <c r="D46" t="s">
        <v>8</v>
      </c>
      <c r="E46" t="s">
        <v>3</v>
      </c>
      <c r="F46" t="s">
        <v>1664</v>
      </c>
      <c r="G46" t="s">
        <v>1474</v>
      </c>
      <c r="H46" s="4">
        <v>1</v>
      </c>
    </row>
    <row r="47" spans="1:8" x14ac:dyDescent="0.2">
      <c r="A47" t="s">
        <v>46</v>
      </c>
      <c r="B47" t="s">
        <v>68</v>
      </c>
      <c r="C47" t="s">
        <v>1681</v>
      </c>
      <c r="D47" t="s">
        <v>8</v>
      </c>
      <c r="E47" t="s">
        <v>3</v>
      </c>
      <c r="F47" t="s">
        <v>1673</v>
      </c>
      <c r="G47" t="s">
        <v>1674</v>
      </c>
      <c r="H47" s="4">
        <v>2</v>
      </c>
    </row>
    <row r="48" spans="1:8" x14ac:dyDescent="0.2">
      <c r="A48" t="s">
        <v>46</v>
      </c>
      <c r="B48" t="s">
        <v>69</v>
      </c>
      <c r="C48" t="s">
        <v>1697</v>
      </c>
      <c r="D48" t="s">
        <v>8</v>
      </c>
      <c r="E48" t="s">
        <v>3</v>
      </c>
      <c r="F48" t="s">
        <v>1686</v>
      </c>
      <c r="G48" t="s">
        <v>1674</v>
      </c>
      <c r="H48" s="4">
        <v>2</v>
      </c>
    </row>
    <row r="49" spans="1:8" x14ac:dyDescent="0.2">
      <c r="A49" t="s">
        <v>46</v>
      </c>
      <c r="B49" t="s">
        <v>70</v>
      </c>
      <c r="C49" t="s">
        <v>1710</v>
      </c>
      <c r="D49" t="s">
        <v>8</v>
      </c>
      <c r="E49" t="s">
        <v>3</v>
      </c>
      <c r="F49" t="s">
        <v>1703</v>
      </c>
      <c r="G49" t="s">
        <v>1674</v>
      </c>
      <c r="H49" s="4">
        <v>2</v>
      </c>
    </row>
    <row r="50" spans="1:8" x14ac:dyDescent="0.2">
      <c r="A50" t="s">
        <v>46</v>
      </c>
      <c r="B50" t="s">
        <v>71</v>
      </c>
      <c r="C50" t="s">
        <v>1722</v>
      </c>
      <c r="D50" t="s">
        <v>8</v>
      </c>
      <c r="E50" t="s">
        <v>3</v>
      </c>
      <c r="F50" t="s">
        <v>1716</v>
      </c>
      <c r="G50" t="s">
        <v>1674</v>
      </c>
      <c r="H50" s="4">
        <v>2</v>
      </c>
    </row>
    <row r="51" spans="1:8" x14ac:dyDescent="0.2">
      <c r="A51" t="s">
        <v>61</v>
      </c>
      <c r="B51" t="s">
        <v>72</v>
      </c>
      <c r="C51" t="s">
        <v>1735</v>
      </c>
      <c r="D51" t="s">
        <v>8</v>
      </c>
      <c r="E51" t="s">
        <v>3</v>
      </c>
      <c r="F51" t="s">
        <v>1728</v>
      </c>
      <c r="G51" t="s">
        <v>1674</v>
      </c>
      <c r="H51" s="4">
        <v>2</v>
      </c>
    </row>
    <row r="52" spans="1:8" x14ac:dyDescent="0.2">
      <c r="A52" t="s">
        <v>61</v>
      </c>
      <c r="B52" t="s">
        <v>73</v>
      </c>
      <c r="C52" t="s">
        <v>1748</v>
      </c>
      <c r="D52" t="s">
        <v>8</v>
      </c>
      <c r="E52" t="s">
        <v>3</v>
      </c>
      <c r="F52" t="s">
        <v>1741</v>
      </c>
      <c r="G52" t="s">
        <v>1674</v>
      </c>
      <c r="H52" s="4">
        <v>2</v>
      </c>
    </row>
    <row r="53" spans="1:8" x14ac:dyDescent="0.2">
      <c r="A53" t="s">
        <v>61</v>
      </c>
      <c r="B53" t="s">
        <v>74</v>
      </c>
      <c r="C53" t="s">
        <v>1764</v>
      </c>
      <c r="D53" t="s">
        <v>8</v>
      </c>
      <c r="E53" t="s">
        <v>3</v>
      </c>
      <c r="F53" t="s">
        <v>1754</v>
      </c>
      <c r="G53" t="s">
        <v>1674</v>
      </c>
      <c r="H53" s="4">
        <v>2</v>
      </c>
    </row>
    <row r="54" spans="1:8" x14ac:dyDescent="0.2">
      <c r="A54" t="s">
        <v>61</v>
      </c>
      <c r="B54" t="s">
        <v>75</v>
      </c>
      <c r="C54" t="s">
        <v>1776</v>
      </c>
      <c r="D54" t="s">
        <v>8</v>
      </c>
      <c r="E54" t="s">
        <v>3</v>
      </c>
      <c r="F54" t="s">
        <v>1770</v>
      </c>
      <c r="G54" t="s">
        <v>1674</v>
      </c>
      <c r="H54" s="4">
        <v>2</v>
      </c>
    </row>
    <row r="55" spans="1:8" x14ac:dyDescent="0.2">
      <c r="A55" t="s">
        <v>46</v>
      </c>
      <c r="B55" t="s">
        <v>76</v>
      </c>
      <c r="C55" t="s">
        <v>1791</v>
      </c>
      <c r="D55" t="s">
        <v>8</v>
      </c>
      <c r="E55" t="s">
        <v>3</v>
      </c>
      <c r="F55" t="s">
        <v>1782</v>
      </c>
      <c r="G55" t="s">
        <v>1783</v>
      </c>
      <c r="H55" s="4">
        <v>2</v>
      </c>
    </row>
    <row r="56" spans="1:8" x14ac:dyDescent="0.2">
      <c r="A56" t="s">
        <v>46</v>
      </c>
      <c r="B56" t="s">
        <v>77</v>
      </c>
      <c r="C56" t="s">
        <v>1804</v>
      </c>
      <c r="D56" t="s">
        <v>8</v>
      </c>
      <c r="E56" t="s">
        <v>3</v>
      </c>
      <c r="F56" t="s">
        <v>1797</v>
      </c>
      <c r="G56" t="s">
        <v>1783</v>
      </c>
      <c r="H56" s="4">
        <v>2</v>
      </c>
    </row>
    <row r="57" spans="1:8" x14ac:dyDescent="0.2">
      <c r="A57" t="s">
        <v>46</v>
      </c>
      <c r="B57" t="s">
        <v>78</v>
      </c>
      <c r="C57" t="s">
        <v>1817</v>
      </c>
      <c r="D57" t="s">
        <v>8</v>
      </c>
      <c r="E57" t="s">
        <v>3</v>
      </c>
      <c r="F57" t="s">
        <v>1810</v>
      </c>
      <c r="G57" t="s">
        <v>1783</v>
      </c>
      <c r="H57" s="4">
        <v>2</v>
      </c>
    </row>
    <row r="58" spans="1:8" x14ac:dyDescent="0.2">
      <c r="A58" t="s">
        <v>46</v>
      </c>
      <c r="B58" t="s">
        <v>79</v>
      </c>
      <c r="C58" t="s">
        <v>1831</v>
      </c>
      <c r="D58" t="s">
        <v>8</v>
      </c>
      <c r="E58" t="s">
        <v>3</v>
      </c>
      <c r="F58" t="s">
        <v>1824</v>
      </c>
      <c r="G58" t="s">
        <v>1783</v>
      </c>
      <c r="H58" s="4">
        <v>2</v>
      </c>
    </row>
    <row r="59" spans="1:8" x14ac:dyDescent="0.2">
      <c r="A59" t="s">
        <v>46</v>
      </c>
      <c r="B59" t="s">
        <v>80</v>
      </c>
      <c r="C59" t="s">
        <v>1844</v>
      </c>
      <c r="D59" t="s">
        <v>8</v>
      </c>
      <c r="E59" t="s">
        <v>3</v>
      </c>
      <c r="F59" t="s">
        <v>1837</v>
      </c>
      <c r="G59" t="s">
        <v>1783</v>
      </c>
      <c r="H59" s="4">
        <v>2</v>
      </c>
    </row>
    <row r="60" spans="1:8" x14ac:dyDescent="0.2">
      <c r="A60" t="s">
        <v>23</v>
      </c>
      <c r="B60" t="s">
        <v>81</v>
      </c>
      <c r="C60" t="s">
        <v>1858</v>
      </c>
      <c r="D60" t="s">
        <v>8</v>
      </c>
      <c r="E60" t="s">
        <v>3</v>
      </c>
      <c r="F60" t="s">
        <v>1851</v>
      </c>
      <c r="G60" t="s">
        <v>1783</v>
      </c>
      <c r="H60" s="4">
        <v>2</v>
      </c>
    </row>
    <row r="61" spans="1:8" x14ac:dyDescent="0.2">
      <c r="A61" t="s">
        <v>23</v>
      </c>
      <c r="B61" t="s">
        <v>82</v>
      </c>
      <c r="C61" t="s">
        <v>1871</v>
      </c>
      <c r="D61" t="s">
        <v>8</v>
      </c>
      <c r="E61" t="s">
        <v>3</v>
      </c>
      <c r="F61" t="s">
        <v>1864</v>
      </c>
      <c r="G61" t="s">
        <v>1783</v>
      </c>
      <c r="H61" s="4">
        <v>2</v>
      </c>
    </row>
    <row r="62" spans="1:8" x14ac:dyDescent="0.2">
      <c r="A62" t="s">
        <v>23</v>
      </c>
      <c r="B62" t="s">
        <v>83</v>
      </c>
      <c r="C62" t="s">
        <v>1889</v>
      </c>
      <c r="D62" t="s">
        <v>8</v>
      </c>
      <c r="E62" t="s">
        <v>3</v>
      </c>
      <c r="F62" t="s">
        <v>1878</v>
      </c>
      <c r="G62" t="s">
        <v>1783</v>
      </c>
      <c r="H62" s="4">
        <v>2</v>
      </c>
    </row>
    <row r="63" spans="1:8" x14ac:dyDescent="0.2">
      <c r="A63" t="s">
        <v>23</v>
      </c>
      <c r="B63" t="s">
        <v>84</v>
      </c>
      <c r="C63" t="s">
        <v>1902</v>
      </c>
      <c r="D63" t="s">
        <v>8</v>
      </c>
      <c r="E63" t="s">
        <v>3</v>
      </c>
      <c r="F63" t="s">
        <v>1895</v>
      </c>
      <c r="G63" t="s">
        <v>1783</v>
      </c>
      <c r="H63" s="4">
        <v>2</v>
      </c>
    </row>
    <row r="64" spans="1:8" x14ac:dyDescent="0.2">
      <c r="A64" t="s">
        <v>23</v>
      </c>
      <c r="B64" t="s">
        <v>85</v>
      </c>
      <c r="C64" t="s">
        <v>1916</v>
      </c>
      <c r="D64" t="s">
        <v>8</v>
      </c>
      <c r="E64" t="s">
        <v>3</v>
      </c>
      <c r="F64" t="s">
        <v>1909</v>
      </c>
      <c r="G64" t="s">
        <v>1783</v>
      </c>
      <c r="H64" s="4">
        <v>2</v>
      </c>
    </row>
    <row r="65" spans="1:8" x14ac:dyDescent="0.2">
      <c r="A65" t="s">
        <v>23</v>
      </c>
      <c r="B65" t="s">
        <v>86</v>
      </c>
      <c r="C65" t="s">
        <v>1928</v>
      </c>
      <c r="D65" t="s">
        <v>8</v>
      </c>
      <c r="E65" t="s">
        <v>3</v>
      </c>
      <c r="F65" t="s">
        <v>1922</v>
      </c>
      <c r="G65" t="s">
        <v>1783</v>
      </c>
      <c r="H65" s="4">
        <v>2</v>
      </c>
    </row>
    <row r="66" spans="1:8" x14ac:dyDescent="0.2">
      <c r="A66" t="s">
        <v>23</v>
      </c>
      <c r="B66" t="s">
        <v>87</v>
      </c>
      <c r="C66" t="s">
        <v>1942</v>
      </c>
      <c r="D66" t="s">
        <v>8</v>
      </c>
      <c r="E66" t="s">
        <v>3</v>
      </c>
      <c r="F66" t="s">
        <v>1935</v>
      </c>
      <c r="G66" t="s">
        <v>1783</v>
      </c>
      <c r="H66" s="4">
        <v>2</v>
      </c>
    </row>
    <row r="67" spans="1:8" x14ac:dyDescent="0.2">
      <c r="A67" t="s">
        <v>23</v>
      </c>
      <c r="B67" t="s">
        <v>88</v>
      </c>
      <c r="C67" t="s">
        <v>1955</v>
      </c>
      <c r="D67" t="s">
        <v>8</v>
      </c>
      <c r="E67" t="s">
        <v>3</v>
      </c>
      <c r="F67" t="s">
        <v>1948</v>
      </c>
      <c r="G67" t="s">
        <v>1783</v>
      </c>
      <c r="H67" s="4">
        <v>2</v>
      </c>
    </row>
    <row r="68" spans="1:8" x14ac:dyDescent="0.2">
      <c r="A68" t="s">
        <v>23</v>
      </c>
      <c r="B68" t="s">
        <v>89</v>
      </c>
      <c r="C68" t="s">
        <v>1969</v>
      </c>
      <c r="D68" t="s">
        <v>8</v>
      </c>
      <c r="E68" t="s">
        <v>3</v>
      </c>
      <c r="F68" t="s">
        <v>1962</v>
      </c>
      <c r="G68" t="s">
        <v>1783</v>
      </c>
      <c r="H68" s="4">
        <v>2</v>
      </c>
    </row>
    <row r="69" spans="1:8" x14ac:dyDescent="0.2">
      <c r="A69" t="s">
        <v>61</v>
      </c>
      <c r="B69" t="s">
        <v>90</v>
      </c>
      <c r="C69" t="s">
        <v>1982</v>
      </c>
      <c r="D69" t="s">
        <v>8</v>
      </c>
      <c r="E69" t="s">
        <v>3</v>
      </c>
      <c r="F69" t="s">
        <v>1975</v>
      </c>
      <c r="G69" t="s">
        <v>1783</v>
      </c>
      <c r="H69" s="4">
        <v>2</v>
      </c>
    </row>
    <row r="70" spans="1:8" x14ac:dyDescent="0.2">
      <c r="A70" t="s">
        <v>61</v>
      </c>
      <c r="B70" t="s">
        <v>91</v>
      </c>
      <c r="C70" t="s">
        <v>1996</v>
      </c>
      <c r="D70" t="s">
        <v>8</v>
      </c>
      <c r="E70" t="s">
        <v>3</v>
      </c>
      <c r="F70" t="s">
        <v>1989</v>
      </c>
      <c r="G70" t="s">
        <v>1783</v>
      </c>
      <c r="H70" s="4">
        <v>2</v>
      </c>
    </row>
    <row r="71" spans="1:8" x14ac:dyDescent="0.2">
      <c r="A71" t="s">
        <v>61</v>
      </c>
      <c r="B71" t="s">
        <v>92</v>
      </c>
      <c r="C71" t="s">
        <v>2012</v>
      </c>
      <c r="D71" t="s">
        <v>8</v>
      </c>
      <c r="E71" t="s">
        <v>3</v>
      </c>
      <c r="F71" t="s">
        <v>2002</v>
      </c>
      <c r="G71" t="s">
        <v>1783</v>
      </c>
      <c r="H71" s="4">
        <v>2</v>
      </c>
    </row>
    <row r="72" spans="1:8" x14ac:dyDescent="0.2">
      <c r="A72" t="s">
        <v>61</v>
      </c>
      <c r="B72" t="s">
        <v>93</v>
      </c>
      <c r="C72" t="s">
        <v>2026</v>
      </c>
      <c r="D72" t="s">
        <v>8</v>
      </c>
      <c r="E72" t="s">
        <v>3</v>
      </c>
      <c r="F72" t="s">
        <v>2019</v>
      </c>
      <c r="G72" t="s">
        <v>1783</v>
      </c>
      <c r="H72" s="4">
        <v>2</v>
      </c>
    </row>
    <row r="73" spans="1:8" x14ac:dyDescent="0.2">
      <c r="A73" t="s">
        <v>61</v>
      </c>
      <c r="B73" t="s">
        <v>94</v>
      </c>
      <c r="C73" t="s">
        <v>2038</v>
      </c>
      <c r="D73" t="s">
        <v>8</v>
      </c>
      <c r="E73" t="s">
        <v>3</v>
      </c>
      <c r="F73" t="s">
        <v>2031</v>
      </c>
      <c r="G73" t="s">
        <v>1783</v>
      </c>
      <c r="H73" s="4">
        <v>2</v>
      </c>
    </row>
    <row r="74" spans="1:8" x14ac:dyDescent="0.2">
      <c r="A74" t="s">
        <v>1058</v>
      </c>
      <c r="B74" t="s">
        <v>2044</v>
      </c>
      <c r="C74" t="s">
        <v>2050</v>
      </c>
      <c r="D74" t="s">
        <v>8</v>
      </c>
      <c r="E74" t="s">
        <v>3</v>
      </c>
      <c r="F74" t="s">
        <v>2046</v>
      </c>
      <c r="G74" t="s">
        <v>1474</v>
      </c>
      <c r="H74" s="4">
        <v>1</v>
      </c>
    </row>
    <row r="75" spans="1:8" x14ac:dyDescent="0.2">
      <c r="A75" t="s">
        <v>1058</v>
      </c>
      <c r="B75" t="s">
        <v>2052</v>
      </c>
      <c r="C75" t="s">
        <v>2058</v>
      </c>
      <c r="D75" t="s">
        <v>8</v>
      </c>
      <c r="E75" t="s">
        <v>3</v>
      </c>
      <c r="F75" t="s">
        <v>2054</v>
      </c>
      <c r="G75" t="s">
        <v>1474</v>
      </c>
      <c r="H75" s="4">
        <v>1</v>
      </c>
    </row>
    <row r="76" spans="1:8" x14ac:dyDescent="0.2">
      <c r="A76" t="s">
        <v>1058</v>
      </c>
      <c r="B76" t="s">
        <v>2060</v>
      </c>
      <c r="C76" t="s">
        <v>2066</v>
      </c>
      <c r="D76" t="s">
        <v>8</v>
      </c>
      <c r="E76" t="s">
        <v>3</v>
      </c>
      <c r="F76" t="s">
        <v>2062</v>
      </c>
      <c r="G76" t="s">
        <v>1474</v>
      </c>
      <c r="H76" s="4">
        <v>1</v>
      </c>
    </row>
    <row r="77" spans="1:8" x14ac:dyDescent="0.2">
      <c r="A77" t="s">
        <v>1058</v>
      </c>
      <c r="B77" t="s">
        <v>2068</v>
      </c>
      <c r="C77" t="s">
        <v>2074</v>
      </c>
      <c r="D77" t="s">
        <v>8</v>
      </c>
      <c r="E77" t="s">
        <v>3</v>
      </c>
      <c r="F77" t="s">
        <v>2070</v>
      </c>
      <c r="G77" t="s">
        <v>1474</v>
      </c>
      <c r="H77" s="4">
        <v>1</v>
      </c>
    </row>
    <row r="78" spans="1:8" x14ac:dyDescent="0.2">
      <c r="A78" t="s">
        <v>1058</v>
      </c>
      <c r="B78" t="s">
        <v>2076</v>
      </c>
      <c r="C78" t="s">
        <v>2082</v>
      </c>
      <c r="D78" t="s">
        <v>8</v>
      </c>
      <c r="E78" t="s">
        <v>3</v>
      </c>
      <c r="F78" t="s">
        <v>2078</v>
      </c>
      <c r="G78" t="s">
        <v>1474</v>
      </c>
      <c r="H78" s="4">
        <v>1</v>
      </c>
    </row>
    <row r="79" spans="1:8" x14ac:dyDescent="0.2">
      <c r="A79" t="s">
        <v>1058</v>
      </c>
      <c r="B79" t="s">
        <v>2084</v>
      </c>
      <c r="C79" t="s">
        <v>2090</v>
      </c>
      <c r="D79" t="s">
        <v>8</v>
      </c>
      <c r="E79" t="s">
        <v>3</v>
      </c>
      <c r="F79" t="s">
        <v>2086</v>
      </c>
      <c r="G79" t="s">
        <v>1474</v>
      </c>
      <c r="H79" s="4">
        <v>1</v>
      </c>
    </row>
    <row r="80" spans="1:8" x14ac:dyDescent="0.2">
      <c r="A80" t="s">
        <v>1058</v>
      </c>
      <c r="B80" t="s">
        <v>2092</v>
      </c>
      <c r="C80" t="s">
        <v>2098</v>
      </c>
      <c r="D80" t="s">
        <v>8</v>
      </c>
      <c r="E80" t="s">
        <v>3</v>
      </c>
      <c r="F80" t="s">
        <v>2094</v>
      </c>
      <c r="G80" t="s">
        <v>1474</v>
      </c>
      <c r="H80" s="4">
        <v>1</v>
      </c>
    </row>
    <row r="81" spans="1:8" x14ac:dyDescent="0.2">
      <c r="A81" t="s">
        <v>1058</v>
      </c>
      <c r="B81" t="s">
        <v>2100</v>
      </c>
      <c r="C81" t="s">
        <v>2106</v>
      </c>
      <c r="D81" t="s">
        <v>8</v>
      </c>
      <c r="E81" t="s">
        <v>3</v>
      </c>
      <c r="F81" t="s">
        <v>2102</v>
      </c>
      <c r="G81" t="s">
        <v>1474</v>
      </c>
      <c r="H81" s="4">
        <v>1</v>
      </c>
    </row>
    <row r="82" spans="1:8" x14ac:dyDescent="0.2">
      <c r="A82" t="s">
        <v>1058</v>
      </c>
      <c r="B82" t="s">
        <v>2108</v>
      </c>
      <c r="C82" t="s">
        <v>2114</v>
      </c>
      <c r="D82" t="s">
        <v>8</v>
      </c>
      <c r="E82" t="s">
        <v>3</v>
      </c>
      <c r="F82" t="s">
        <v>2110</v>
      </c>
      <c r="G82" t="s">
        <v>1474</v>
      </c>
      <c r="H82" s="4">
        <v>1</v>
      </c>
    </row>
    <row r="83" spans="1:8" x14ac:dyDescent="0.2">
      <c r="A83" t="s">
        <v>1058</v>
      </c>
      <c r="B83" t="s">
        <v>2116</v>
      </c>
      <c r="C83" t="s">
        <v>2122</v>
      </c>
      <c r="D83" t="s">
        <v>8</v>
      </c>
      <c r="E83" t="s">
        <v>3</v>
      </c>
      <c r="F83" t="s">
        <v>2118</v>
      </c>
      <c r="G83" t="s">
        <v>1474</v>
      </c>
      <c r="H83" s="4">
        <v>1</v>
      </c>
    </row>
    <row r="84" spans="1:8" x14ac:dyDescent="0.2">
      <c r="A84" t="s">
        <v>1058</v>
      </c>
      <c r="B84" t="s">
        <v>2124</v>
      </c>
      <c r="C84" t="s">
        <v>2174</v>
      </c>
      <c r="D84" t="s">
        <v>8</v>
      </c>
      <c r="E84" t="s">
        <v>3</v>
      </c>
      <c r="F84" t="s">
        <v>2125</v>
      </c>
      <c r="G84" t="s">
        <v>1474</v>
      </c>
      <c r="H84" s="4">
        <v>1</v>
      </c>
    </row>
    <row r="85" spans="1:8" x14ac:dyDescent="0.2">
      <c r="A85" t="s">
        <v>1058</v>
      </c>
      <c r="B85" t="s">
        <v>2126</v>
      </c>
      <c r="C85" t="s">
        <v>2180</v>
      </c>
      <c r="D85" t="s">
        <v>8</v>
      </c>
      <c r="E85" t="s">
        <v>3</v>
      </c>
      <c r="F85" t="s">
        <v>2127</v>
      </c>
      <c r="G85" t="s">
        <v>1474</v>
      </c>
      <c r="H85" s="4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P97"/>
  <sheetViews>
    <sheetView workbookViewId="0">
      <pane ySplit="1" topLeftCell="A10" activePane="bottomLeft" state="frozen"/>
      <selection pane="bottomLeft" activeCell="K31" sqref="K31:K32"/>
    </sheetView>
  </sheetViews>
  <sheetFormatPr defaultRowHeight="12.75" x14ac:dyDescent="0.2"/>
  <cols>
    <col min="1" max="2" width="9.140625" style="4"/>
    <col min="3" max="3" width="11.5703125" style="4" customWidth="1"/>
    <col min="4" max="4" width="11.42578125" style="4" customWidth="1"/>
    <col min="5" max="5" width="9.140625" style="4"/>
    <col min="6" max="6" width="11" style="4" customWidth="1"/>
    <col min="7" max="7" width="9.140625" style="4"/>
    <col min="11" max="11" width="14.42578125" customWidth="1"/>
    <col min="12" max="12" width="11.85546875" customWidth="1"/>
  </cols>
  <sheetData>
    <row r="1" spans="1:16" x14ac:dyDescent="0.2">
      <c r="A1" s="11" t="s">
        <v>197</v>
      </c>
      <c r="B1" s="11" t="s">
        <v>95</v>
      </c>
      <c r="C1" s="11" t="s">
        <v>100</v>
      </c>
      <c r="D1" s="11" t="s">
        <v>198</v>
      </c>
      <c r="E1" s="11" t="s">
        <v>101</v>
      </c>
      <c r="F1" s="11" t="s">
        <v>114</v>
      </c>
      <c r="G1" s="11" t="s">
        <v>115</v>
      </c>
    </row>
    <row r="2" spans="1:16" x14ac:dyDescent="0.2">
      <c r="A2" s="2" t="s">
        <v>0</v>
      </c>
      <c r="B2" s="2" t="s">
        <v>13</v>
      </c>
      <c r="C2" s="2" t="s">
        <v>1100</v>
      </c>
      <c r="D2" s="2" t="s">
        <v>17</v>
      </c>
      <c r="E2" s="2" t="s">
        <v>3</v>
      </c>
      <c r="F2" s="4" t="s">
        <v>1157</v>
      </c>
      <c r="G2" s="4" t="s">
        <v>1130</v>
      </c>
      <c r="J2" s="2"/>
      <c r="K2" s="2"/>
      <c r="L2" s="2"/>
      <c r="M2" s="2"/>
      <c r="N2" s="2"/>
      <c r="O2" s="4"/>
      <c r="P2" s="4"/>
    </row>
    <row r="3" spans="1:16" x14ac:dyDescent="0.2">
      <c r="A3" s="2" t="str">
        <f>A2</f>
        <v>S</v>
      </c>
      <c r="B3" s="2" t="str">
        <f>B2</f>
        <v>MI 18M</v>
      </c>
      <c r="C3" s="2" t="str">
        <f>CONCATENATE(LEFT(C2,6),"C",RIGHT(C2,2))</f>
        <v>24GM00C47</v>
      </c>
      <c r="D3" s="2" t="str">
        <f>D2</f>
        <v>50M</v>
      </c>
      <c r="E3" s="2" t="s">
        <v>1059</v>
      </c>
      <c r="F3" s="4" t="str">
        <f>F2</f>
        <v>M18MA24</v>
      </c>
      <c r="G3" s="4" t="str">
        <f>G2</f>
        <v>MI2411</v>
      </c>
      <c r="J3" s="2"/>
      <c r="K3" s="2"/>
      <c r="L3" s="2"/>
      <c r="M3" s="2"/>
      <c r="N3" s="2"/>
      <c r="O3" s="4"/>
      <c r="P3" s="4"/>
    </row>
    <row r="4" spans="1:16" x14ac:dyDescent="0.2">
      <c r="A4" s="2" t="str">
        <f>A3</f>
        <v>S</v>
      </c>
      <c r="B4" s="2" t="str">
        <f>B3</f>
        <v>MI 18M</v>
      </c>
      <c r="C4" s="2" t="str">
        <f>CONCATENATE(LEFT(C3,6),"D",RIGHT(C3,2))</f>
        <v>24GM00D47</v>
      </c>
      <c r="D4" s="2" t="str">
        <f>D3</f>
        <v>50M</v>
      </c>
      <c r="E4" s="2" t="s">
        <v>19</v>
      </c>
      <c r="F4" s="4" t="str">
        <f>F3</f>
        <v>M18MA24</v>
      </c>
      <c r="G4" s="4" t="str">
        <f>G3</f>
        <v>MI2411</v>
      </c>
      <c r="J4" s="2"/>
      <c r="K4" s="2"/>
      <c r="L4" s="2"/>
      <c r="M4" s="2"/>
      <c r="N4" s="2"/>
      <c r="O4" s="4"/>
      <c r="P4" s="4"/>
    </row>
    <row r="5" spans="1:16" x14ac:dyDescent="0.2">
      <c r="A5" s="2" t="s">
        <v>23</v>
      </c>
      <c r="B5" s="2" t="s">
        <v>24</v>
      </c>
      <c r="C5" s="2" t="s">
        <v>1104</v>
      </c>
      <c r="D5" s="2" t="s">
        <v>2</v>
      </c>
      <c r="E5" s="2" t="s">
        <v>3</v>
      </c>
      <c r="F5" s="4" t="s">
        <v>1197</v>
      </c>
      <c r="G5" s="4" t="s">
        <v>1130</v>
      </c>
      <c r="J5" s="2"/>
      <c r="K5" s="2"/>
      <c r="L5" s="2"/>
      <c r="M5" s="2"/>
      <c r="N5" s="2"/>
      <c r="O5" s="2"/>
      <c r="P5" s="2"/>
    </row>
    <row r="6" spans="1:16" x14ac:dyDescent="0.2">
      <c r="A6" s="2" t="str">
        <f>A5</f>
        <v>C</v>
      </c>
      <c r="B6" s="2" t="str">
        <f>B5</f>
        <v>MI 27M</v>
      </c>
      <c r="C6" s="2" t="str">
        <f>CONCATENATE(LEFT(C5,6),"C",RIGHT(C5,2))</f>
        <v>24GM01C01</v>
      </c>
      <c r="D6" s="2" t="str">
        <f>D5</f>
        <v>SRF</v>
      </c>
      <c r="E6" s="2" t="s">
        <v>1059</v>
      </c>
      <c r="F6" s="4" t="str">
        <f>F5</f>
        <v>M27MA24</v>
      </c>
      <c r="G6" s="4" t="str">
        <f>G5</f>
        <v>MI2411</v>
      </c>
      <c r="J6" s="2"/>
      <c r="K6" s="2"/>
      <c r="L6" s="2"/>
      <c r="M6" s="2"/>
      <c r="N6" s="2"/>
      <c r="O6" s="2"/>
      <c r="P6" s="2"/>
    </row>
    <row r="7" spans="1:16" x14ac:dyDescent="0.2">
      <c r="A7" s="2" t="str">
        <f>A6</f>
        <v>C</v>
      </c>
      <c r="B7" s="2" t="str">
        <f>B6</f>
        <v>MI 27M</v>
      </c>
      <c r="C7" s="2" t="str">
        <f>CONCATENATE(LEFT(C6,6),"D",RIGHT(C6,2))</f>
        <v>24GM01D01</v>
      </c>
      <c r="D7" s="2" t="str">
        <f>D6</f>
        <v>SRF</v>
      </c>
      <c r="E7" s="2" t="s">
        <v>19</v>
      </c>
      <c r="F7" s="4" t="str">
        <f>F6</f>
        <v>M27MA24</v>
      </c>
      <c r="G7" s="4" t="str">
        <f>G6</f>
        <v>MI2411</v>
      </c>
      <c r="J7" s="2"/>
      <c r="K7" s="2"/>
      <c r="L7" s="2"/>
      <c r="M7" s="2"/>
      <c r="N7" s="2"/>
      <c r="O7" s="2"/>
      <c r="P7" s="2"/>
    </row>
    <row r="8" spans="1:16" x14ac:dyDescent="0.2">
      <c r="A8" s="2" t="s">
        <v>27</v>
      </c>
      <c r="B8" s="2" t="s">
        <v>28</v>
      </c>
      <c r="C8" s="2" t="s">
        <v>1108</v>
      </c>
      <c r="D8" s="2" t="s">
        <v>6</v>
      </c>
      <c r="E8" s="2" t="s">
        <v>3</v>
      </c>
      <c r="F8" s="4" t="s">
        <v>1238</v>
      </c>
      <c r="G8" s="4" t="s">
        <v>1130</v>
      </c>
      <c r="J8" s="2"/>
      <c r="K8" s="2"/>
      <c r="L8" s="2"/>
      <c r="M8" s="2"/>
      <c r="N8" s="2"/>
      <c r="O8" s="2"/>
      <c r="P8" s="2"/>
    </row>
    <row r="9" spans="1:16" x14ac:dyDescent="0.2">
      <c r="A9" s="2" t="str">
        <f>A8</f>
        <v>N</v>
      </c>
      <c r="B9" s="2" t="str">
        <f>B8</f>
        <v>MI 40</v>
      </c>
      <c r="C9" s="2" t="str">
        <f>CONCATENATE(LEFT(C8,6),"C",RIGHT(C8,2))</f>
        <v>24GM01C71</v>
      </c>
      <c r="D9" s="2" t="str">
        <f>D8</f>
        <v>B-</v>
      </c>
      <c r="E9" s="2" t="s">
        <v>1059</v>
      </c>
      <c r="F9" s="4" t="str">
        <f>F8</f>
        <v>M040A24</v>
      </c>
      <c r="G9" s="4" t="str">
        <f>G8</f>
        <v>MI2411</v>
      </c>
      <c r="J9" s="2"/>
      <c r="K9" s="2"/>
      <c r="L9" s="2"/>
      <c r="M9" s="2"/>
      <c r="N9" s="2"/>
      <c r="O9" s="2"/>
      <c r="P9" s="2"/>
    </row>
    <row r="10" spans="1:16" x14ac:dyDescent="0.2">
      <c r="A10" s="2" t="str">
        <f>A9</f>
        <v>N</v>
      </c>
      <c r="B10" s="2" t="str">
        <f>B9</f>
        <v>MI 40</v>
      </c>
      <c r="C10" s="2" t="str">
        <f>CONCATENATE(LEFT(C9,6),"D",RIGHT(C9,2))</f>
        <v>24GM01D71</v>
      </c>
      <c r="D10" s="2" t="str">
        <f>D9</f>
        <v>B-</v>
      </c>
      <c r="E10" s="2" t="s">
        <v>19</v>
      </c>
      <c r="F10" s="4" t="str">
        <f>F9</f>
        <v>M040A24</v>
      </c>
      <c r="G10" s="4" t="str">
        <f>G9</f>
        <v>MI2411</v>
      </c>
      <c r="J10" s="2"/>
      <c r="K10" s="2"/>
      <c r="L10" s="2"/>
      <c r="M10" s="2"/>
      <c r="N10" s="2"/>
      <c r="O10" s="2"/>
      <c r="P10" s="2"/>
    </row>
    <row r="11" spans="1:16" x14ac:dyDescent="0.2">
      <c r="A11" s="2" t="s">
        <v>0</v>
      </c>
      <c r="B11" s="2" t="s">
        <v>34</v>
      </c>
      <c r="C11" s="2" t="s">
        <v>1088</v>
      </c>
      <c r="D11" s="2" t="s">
        <v>119</v>
      </c>
      <c r="E11" s="2" t="s">
        <v>3</v>
      </c>
      <c r="F11" s="4" t="s">
        <v>1307</v>
      </c>
      <c r="G11" s="4" t="s">
        <v>1281</v>
      </c>
      <c r="J11" s="2"/>
      <c r="K11" s="2"/>
      <c r="L11" s="2"/>
      <c r="M11" s="2"/>
      <c r="N11" s="2"/>
      <c r="O11" s="4"/>
      <c r="P11" s="4"/>
    </row>
    <row r="12" spans="1:16" x14ac:dyDescent="0.2">
      <c r="A12" s="2" t="str">
        <f>A11</f>
        <v>S</v>
      </c>
      <c r="B12" s="2" t="str">
        <f>B11</f>
        <v>HU 12</v>
      </c>
      <c r="C12" s="2" t="str">
        <f>CONCATENATE(LEFT(C11,6),"C",RIGHT(C11,2))</f>
        <v>24GH00C43</v>
      </c>
      <c r="D12" s="2" t="str">
        <f>D11</f>
        <v>MID</v>
      </c>
      <c r="E12" s="2" t="s">
        <v>1059</v>
      </c>
      <c r="F12" s="4" t="str">
        <f>F11</f>
        <v>H012A24</v>
      </c>
      <c r="G12" s="4" t="str">
        <f>G11</f>
        <v>HU2411</v>
      </c>
      <c r="J12" s="2"/>
      <c r="K12" s="2"/>
      <c r="L12" s="2"/>
      <c r="M12" s="2"/>
      <c r="N12" s="2"/>
      <c r="O12" s="4"/>
      <c r="P12" s="4"/>
    </row>
    <row r="13" spans="1:16" x14ac:dyDescent="0.2">
      <c r="A13" s="2" t="str">
        <f>A12</f>
        <v>S</v>
      </c>
      <c r="B13" s="2" t="str">
        <f>B12</f>
        <v>HU 12</v>
      </c>
      <c r="C13" s="2" t="str">
        <f>CONCATENATE(LEFT(C12,6),"D",RIGHT(C12,2))</f>
        <v>24GH00D43</v>
      </c>
      <c r="D13" s="2" t="str">
        <f>D12</f>
        <v>MID</v>
      </c>
      <c r="E13" s="2" t="s">
        <v>19</v>
      </c>
      <c r="F13" s="4" t="str">
        <f>F12</f>
        <v>H012A24</v>
      </c>
      <c r="G13" s="4" t="str">
        <f>G12</f>
        <v>HU2411</v>
      </c>
      <c r="J13" s="2"/>
      <c r="K13" s="2"/>
      <c r="L13" s="2"/>
      <c r="M13" s="2"/>
      <c r="N13" s="2"/>
      <c r="O13" s="4"/>
      <c r="P13" s="4"/>
    </row>
    <row r="14" spans="1:16" x14ac:dyDescent="0.2">
      <c r="A14" s="2" t="s">
        <v>23</v>
      </c>
      <c r="B14" s="2" t="s">
        <v>39</v>
      </c>
      <c r="C14" s="2" t="s">
        <v>1092</v>
      </c>
      <c r="D14" s="2" t="s">
        <v>5</v>
      </c>
      <c r="E14" s="2" t="s">
        <v>3</v>
      </c>
      <c r="F14" s="4" t="s">
        <v>1373</v>
      </c>
      <c r="G14" s="4" t="s">
        <v>1281</v>
      </c>
      <c r="J14" s="2"/>
      <c r="K14" s="2"/>
      <c r="L14" s="2"/>
      <c r="M14" s="2"/>
      <c r="N14" s="2"/>
      <c r="O14" s="2"/>
      <c r="P14" s="2"/>
    </row>
    <row r="15" spans="1:16" x14ac:dyDescent="0.2">
      <c r="A15" s="2" t="str">
        <f>A14</f>
        <v>C</v>
      </c>
      <c r="B15" s="2" t="str">
        <f>B14</f>
        <v>HU 37</v>
      </c>
      <c r="C15" s="2" t="str">
        <f>CONCATENATE(LEFT(C14,6),"C",RIGHT(C14,2))</f>
        <v>24GH01C50</v>
      </c>
      <c r="D15" s="2" t="str">
        <f>D14</f>
        <v>B10</v>
      </c>
      <c r="E15" s="2" t="s">
        <v>1059</v>
      </c>
      <c r="F15" s="4" t="str">
        <f>F14</f>
        <v>H037A24</v>
      </c>
      <c r="G15" s="4" t="str">
        <f>G14</f>
        <v>HU2411</v>
      </c>
      <c r="J15" s="2"/>
      <c r="K15" s="2"/>
      <c r="L15" s="2"/>
      <c r="M15" s="2"/>
      <c r="N15" s="2"/>
      <c r="O15" s="2"/>
      <c r="P15" s="2"/>
    </row>
    <row r="16" spans="1:16" x14ac:dyDescent="0.2">
      <c r="A16" s="2" t="str">
        <f>A15</f>
        <v>C</v>
      </c>
      <c r="B16" s="2" t="str">
        <f>B15</f>
        <v>HU 37</v>
      </c>
      <c r="C16" s="2" t="str">
        <f>CONCATENATE(LEFT(C15,6),"D",RIGHT(C15,2))</f>
        <v>24GH01D50</v>
      </c>
      <c r="D16" s="2" t="str">
        <f>D15</f>
        <v>B10</v>
      </c>
      <c r="E16" s="2" t="s">
        <v>19</v>
      </c>
      <c r="F16" s="4" t="str">
        <f>F15</f>
        <v>H037A24</v>
      </c>
      <c r="G16" s="4" t="str">
        <f>G15</f>
        <v>HU2411</v>
      </c>
      <c r="J16" s="2"/>
      <c r="K16" s="2"/>
      <c r="L16" s="2"/>
      <c r="M16" s="2"/>
      <c r="N16" s="2"/>
      <c r="O16" s="2"/>
      <c r="P16" s="2"/>
    </row>
    <row r="17" spans="1:16" x14ac:dyDescent="0.2">
      <c r="A17" s="2" t="s">
        <v>27</v>
      </c>
      <c r="B17" s="2" t="s">
        <v>41</v>
      </c>
      <c r="C17" s="2" t="s">
        <v>1096</v>
      </c>
      <c r="D17" s="2" t="s">
        <v>120</v>
      </c>
      <c r="E17" s="2" t="s">
        <v>3</v>
      </c>
      <c r="F17" s="4" t="s">
        <v>1398</v>
      </c>
      <c r="G17" s="4" t="s">
        <v>1281</v>
      </c>
      <c r="J17" s="2"/>
      <c r="K17" s="2"/>
      <c r="L17" s="2"/>
      <c r="M17" s="2"/>
      <c r="N17" s="2"/>
      <c r="O17" s="2"/>
      <c r="P17" s="2"/>
    </row>
    <row r="18" spans="1:16" x14ac:dyDescent="0.2">
      <c r="A18" s="2" t="str">
        <f>A17</f>
        <v>N</v>
      </c>
      <c r="B18" s="2" t="str">
        <f>B17</f>
        <v>HU 45M</v>
      </c>
      <c r="C18" s="2" t="str">
        <f>CONCATENATE(LEFT(C17,6),"C",RIGHT(C17,2))</f>
        <v>24GH01C85</v>
      </c>
      <c r="D18" s="2" t="str">
        <f>D17</f>
        <v>30M</v>
      </c>
      <c r="E18" s="2" t="s">
        <v>1059</v>
      </c>
      <c r="F18" s="4" t="str">
        <f>F17</f>
        <v>H45MA24</v>
      </c>
      <c r="G18" s="4" t="str">
        <f>G17</f>
        <v>HU2411</v>
      </c>
      <c r="J18" s="2"/>
      <c r="K18" s="2"/>
      <c r="L18" s="2"/>
      <c r="M18" s="2"/>
      <c r="N18" s="2"/>
      <c r="O18" s="2"/>
      <c r="P18" s="2"/>
    </row>
    <row r="19" spans="1:16" x14ac:dyDescent="0.2">
      <c r="A19" s="2" t="str">
        <f>A18</f>
        <v>N</v>
      </c>
      <c r="B19" s="2" t="str">
        <f>B18</f>
        <v>HU 45M</v>
      </c>
      <c r="C19" s="2" t="str">
        <f>CONCATENATE(LEFT(C18,6),"D",RIGHT(C18,2))</f>
        <v>24GH01D85</v>
      </c>
      <c r="D19" s="2" t="str">
        <f>D18</f>
        <v>30M</v>
      </c>
      <c r="E19" s="2" t="s">
        <v>19</v>
      </c>
      <c r="F19" s="4" t="str">
        <f>F18</f>
        <v>H45MA24</v>
      </c>
      <c r="G19" s="4" t="str">
        <f>G18</f>
        <v>HU2411</v>
      </c>
      <c r="J19" s="2"/>
      <c r="K19" s="2"/>
      <c r="L19" s="2"/>
      <c r="M19" s="2"/>
      <c r="N19" s="2"/>
      <c r="O19" s="2"/>
      <c r="P19" s="2"/>
    </row>
    <row r="20" spans="1:16" x14ac:dyDescent="0.2">
      <c r="A20" s="2" t="s">
        <v>46</v>
      </c>
      <c r="B20" s="2" t="s">
        <v>49</v>
      </c>
      <c r="C20" s="2" t="s">
        <v>1070</v>
      </c>
      <c r="D20" s="2" t="s">
        <v>2</v>
      </c>
      <c r="E20" s="2" t="s">
        <v>3</v>
      </c>
      <c r="F20" s="4" t="s">
        <v>1500</v>
      </c>
      <c r="G20" s="4" t="s">
        <v>1474</v>
      </c>
      <c r="J20" s="2"/>
      <c r="K20" s="2"/>
      <c r="L20" s="2"/>
      <c r="M20" s="2"/>
      <c r="N20" s="2"/>
      <c r="O20" s="4"/>
      <c r="P20" s="4"/>
    </row>
    <row r="21" spans="1:16" x14ac:dyDescent="0.2">
      <c r="A21" s="2" t="str">
        <f>A20</f>
        <v>E</v>
      </c>
      <c r="B21" s="2" t="str">
        <f>B20</f>
        <v>ER 09</v>
      </c>
      <c r="C21" s="2" t="str">
        <f>CONCATENATE(LEFT(C20,6),"C",RIGHT(C20,2))</f>
        <v>24GE00C41</v>
      </c>
      <c r="D21" s="2" t="str">
        <f>D20</f>
        <v>SRF</v>
      </c>
      <c r="E21" s="2" t="s">
        <v>1059</v>
      </c>
      <c r="F21" s="4" t="str">
        <f>F20</f>
        <v>E009A24</v>
      </c>
      <c r="G21" s="4" t="str">
        <f>G20</f>
        <v>ER2411</v>
      </c>
      <c r="J21" s="2"/>
      <c r="K21" s="2"/>
      <c r="L21" s="2"/>
      <c r="M21" s="2"/>
      <c r="N21" s="2"/>
      <c r="O21" s="4"/>
      <c r="P21" s="4"/>
    </row>
    <row r="22" spans="1:16" x14ac:dyDescent="0.2">
      <c r="A22" s="2" t="str">
        <f>A21</f>
        <v>E</v>
      </c>
      <c r="B22" s="2" t="str">
        <f>B21</f>
        <v>ER 09</v>
      </c>
      <c r="C22" s="2" t="str">
        <f>CONCATENATE(LEFT(C21,6),"D",RIGHT(C21,2))</f>
        <v>24GE00D41</v>
      </c>
      <c r="D22" s="2" t="str">
        <f>D21</f>
        <v>SRF</v>
      </c>
      <c r="E22" s="2" t="s">
        <v>19</v>
      </c>
      <c r="F22" s="4" t="str">
        <f>F21</f>
        <v>E009A24</v>
      </c>
      <c r="G22" s="4" t="str">
        <f>G21</f>
        <v>ER2411</v>
      </c>
      <c r="J22" s="2"/>
      <c r="K22" s="2"/>
      <c r="L22" s="2"/>
      <c r="M22" s="2"/>
      <c r="N22" s="2"/>
      <c r="O22" s="4"/>
      <c r="P22" s="4"/>
    </row>
    <row r="23" spans="1:16" x14ac:dyDescent="0.2">
      <c r="A23" s="2" t="s">
        <v>23</v>
      </c>
      <c r="B23" s="2" t="s">
        <v>55</v>
      </c>
      <c r="C23" s="2" t="s">
        <v>1076</v>
      </c>
      <c r="D23" s="2" t="s">
        <v>119</v>
      </c>
      <c r="E23" s="2" t="s">
        <v>3</v>
      </c>
      <c r="F23" s="4" t="s">
        <v>1562</v>
      </c>
      <c r="G23" s="4" t="s">
        <v>1474</v>
      </c>
      <c r="J23" s="2"/>
      <c r="K23" s="2"/>
      <c r="L23" s="2"/>
      <c r="M23" s="2"/>
      <c r="N23" s="2"/>
      <c r="O23" s="2"/>
      <c r="P23" s="2"/>
    </row>
    <row r="24" spans="1:16" x14ac:dyDescent="0.2">
      <c r="A24" s="2" t="str">
        <f>A23</f>
        <v>C</v>
      </c>
      <c r="B24" s="2" t="str">
        <f>B23</f>
        <v>ER 37</v>
      </c>
      <c r="C24" s="2" t="str">
        <f>CONCATENATE(LEFT(C23,6),"C",RIGHT(C23,2))</f>
        <v>24GE01C63</v>
      </c>
      <c r="D24" s="2" t="str">
        <f>D23</f>
        <v>MID</v>
      </c>
      <c r="E24" s="2" t="s">
        <v>1059</v>
      </c>
      <c r="F24" s="4" t="str">
        <f>F23</f>
        <v>E037A24</v>
      </c>
      <c r="G24" s="4" t="str">
        <f>G23</f>
        <v>ER2411</v>
      </c>
      <c r="J24" s="2"/>
      <c r="K24" s="2"/>
      <c r="L24" s="2"/>
      <c r="M24" s="2"/>
      <c r="N24" s="2"/>
      <c r="O24" s="2"/>
      <c r="P24" s="2"/>
    </row>
    <row r="25" spans="1:16" x14ac:dyDescent="0.2">
      <c r="A25" s="2" t="str">
        <f>A24</f>
        <v>C</v>
      </c>
      <c r="B25" s="2" t="str">
        <f>B24</f>
        <v>ER 37</v>
      </c>
      <c r="C25" s="2" t="str">
        <f>CONCATENATE(LEFT(C24,6),"D",RIGHT(C24,2))</f>
        <v>24GE01D63</v>
      </c>
      <c r="D25" s="2" t="str">
        <f>D24</f>
        <v>MID</v>
      </c>
      <c r="E25" s="2" t="s">
        <v>19</v>
      </c>
      <c r="F25" s="4" t="str">
        <f>F24</f>
        <v>E037A24</v>
      </c>
      <c r="G25" s="4" t="str">
        <f>G24</f>
        <v>ER2411</v>
      </c>
      <c r="J25" s="2"/>
      <c r="K25" s="2"/>
      <c r="L25" s="2"/>
      <c r="M25" s="2"/>
      <c r="N25" s="2"/>
      <c r="O25" s="2"/>
      <c r="P25" s="2"/>
    </row>
    <row r="26" spans="1:16" x14ac:dyDescent="0.2">
      <c r="A26" s="2" t="s">
        <v>61</v>
      </c>
      <c r="B26" s="2" t="s">
        <v>63</v>
      </c>
      <c r="C26" s="2" t="s">
        <v>1082</v>
      </c>
      <c r="D26" s="2" t="s">
        <v>6</v>
      </c>
      <c r="E26" s="2" t="s">
        <v>3</v>
      </c>
      <c r="F26" s="4" t="s">
        <v>1622</v>
      </c>
      <c r="G26" s="4" t="s">
        <v>1474</v>
      </c>
      <c r="J26" s="2"/>
      <c r="K26" s="2"/>
      <c r="L26" s="2"/>
      <c r="M26" s="2"/>
      <c r="N26" s="2"/>
      <c r="O26" s="2"/>
      <c r="P26" s="2"/>
    </row>
    <row r="27" spans="1:16" x14ac:dyDescent="0.2">
      <c r="A27" s="2" t="str">
        <f>A26</f>
        <v>W</v>
      </c>
      <c r="B27" s="2" t="str">
        <f>B26</f>
        <v>ER 59</v>
      </c>
      <c r="C27" s="2" t="str">
        <f>CONCATENATE(LEFT(C26,6),"C",RIGHT(C26,2))</f>
        <v>24GE03C11</v>
      </c>
      <c r="D27" s="2" t="str">
        <f>D26</f>
        <v>B-</v>
      </c>
      <c r="E27" s="2" t="s">
        <v>1059</v>
      </c>
      <c r="F27" s="4" t="str">
        <f>F26</f>
        <v>E059A24</v>
      </c>
      <c r="G27" s="4" t="str">
        <f>G26</f>
        <v>ER2411</v>
      </c>
      <c r="J27" s="2"/>
      <c r="K27" s="2"/>
      <c r="L27" s="2"/>
      <c r="M27" s="2"/>
      <c r="N27" s="2"/>
      <c r="O27" s="2"/>
      <c r="P27" s="2"/>
    </row>
    <row r="28" spans="1:16" x14ac:dyDescent="0.2">
      <c r="A28" s="2" t="str">
        <f>A27</f>
        <v>W</v>
      </c>
      <c r="B28" s="2" t="str">
        <f>B27</f>
        <v>ER 59</v>
      </c>
      <c r="C28" s="2" t="str">
        <f>CONCATENATE(LEFT(C27,6),"D",RIGHT(C27,2))</f>
        <v>24GE03D11</v>
      </c>
      <c r="D28" s="2" t="str">
        <f>D27</f>
        <v>B-</v>
      </c>
      <c r="E28" s="2" t="s">
        <v>19</v>
      </c>
      <c r="F28" s="4" t="str">
        <f>F27</f>
        <v>E059A24</v>
      </c>
      <c r="G28" s="4" t="str">
        <f>G27</f>
        <v>ER2411</v>
      </c>
      <c r="J28" s="2"/>
      <c r="K28" s="2"/>
      <c r="L28" s="2"/>
      <c r="M28" s="2"/>
      <c r="N28" s="2"/>
      <c r="O28" s="2"/>
      <c r="P28" s="2"/>
    </row>
    <row r="29" spans="1:16" x14ac:dyDescent="0.2">
      <c r="A29" s="2" t="s">
        <v>46</v>
      </c>
      <c r="B29" s="2" t="s">
        <v>71</v>
      </c>
      <c r="C29" s="2" t="s">
        <v>1112</v>
      </c>
      <c r="D29" s="2" t="s">
        <v>6</v>
      </c>
      <c r="E29" s="2" t="s">
        <v>3</v>
      </c>
      <c r="F29" s="4" t="s">
        <v>1716</v>
      </c>
      <c r="G29" s="4" t="s">
        <v>1674</v>
      </c>
      <c r="J29" s="2"/>
      <c r="K29" s="2"/>
      <c r="L29" s="2"/>
      <c r="M29" s="2"/>
      <c r="N29" s="2"/>
      <c r="O29" s="4"/>
      <c r="P29" s="4"/>
    </row>
    <row r="30" spans="1:16" x14ac:dyDescent="0.2">
      <c r="A30" s="2" t="str">
        <f>A29</f>
        <v>E</v>
      </c>
      <c r="B30" s="2" t="str">
        <f>B29</f>
        <v>ON 63</v>
      </c>
      <c r="C30" s="2" t="str">
        <f>CONCATENATE(LEFT(C29,6),"C",RIGHT(C29,2))</f>
        <v>24GO00C71</v>
      </c>
      <c r="D30" s="2" t="str">
        <f>D29</f>
        <v>B-</v>
      </c>
      <c r="E30" s="2" t="s">
        <v>1059</v>
      </c>
      <c r="F30" s="4" t="str">
        <f>F29</f>
        <v>O063A24</v>
      </c>
      <c r="G30" s="4" t="str">
        <f>G29</f>
        <v>ON2411</v>
      </c>
      <c r="J30" s="2"/>
      <c r="K30" s="2"/>
      <c r="L30" s="2"/>
      <c r="M30" s="2"/>
      <c r="N30" s="2"/>
      <c r="O30" s="4"/>
      <c r="P30" s="4"/>
    </row>
    <row r="31" spans="1:16" x14ac:dyDescent="0.2">
      <c r="A31" s="2" t="str">
        <f>A30</f>
        <v>E</v>
      </c>
      <c r="B31" s="2" t="str">
        <f>B30</f>
        <v>ON 63</v>
      </c>
      <c r="C31" s="2" t="str">
        <f>CONCATENATE(LEFT(C30,6),"D",RIGHT(C30,2))</f>
        <v>24GO00D71</v>
      </c>
      <c r="D31" s="2" t="str">
        <f>D30</f>
        <v>B-</v>
      </c>
      <c r="E31" s="2" t="s">
        <v>19</v>
      </c>
      <c r="F31" s="4" t="str">
        <f>F30</f>
        <v>O063A24</v>
      </c>
      <c r="G31" s="4" t="str">
        <f>G30</f>
        <v>ON2411</v>
      </c>
      <c r="J31" s="2"/>
      <c r="K31" s="2"/>
      <c r="L31" s="2"/>
      <c r="M31" s="2"/>
      <c r="N31" s="2"/>
      <c r="O31" s="4"/>
      <c r="P31" s="4"/>
    </row>
    <row r="32" spans="1:16" x14ac:dyDescent="0.2">
      <c r="A32" s="2" t="s">
        <v>61</v>
      </c>
      <c r="B32" s="2" t="s">
        <v>75</v>
      </c>
      <c r="C32" s="2" t="s">
        <v>1116</v>
      </c>
      <c r="D32" s="2" t="s">
        <v>119</v>
      </c>
      <c r="E32" s="2" t="s">
        <v>3</v>
      </c>
      <c r="F32" s="4" t="s">
        <v>1770</v>
      </c>
      <c r="G32" s="4" t="s">
        <v>1674</v>
      </c>
      <c r="J32" s="2"/>
      <c r="K32" s="2"/>
      <c r="L32" s="2"/>
      <c r="M32" s="2"/>
      <c r="N32" s="2"/>
      <c r="O32" s="2"/>
      <c r="P32" s="2"/>
    </row>
    <row r="33" spans="1:16" x14ac:dyDescent="0.2">
      <c r="A33" s="2" t="str">
        <f>A32</f>
        <v>W</v>
      </c>
      <c r="B33" s="2" t="str">
        <f>B32</f>
        <v>ON 41</v>
      </c>
      <c r="C33" s="2" t="str">
        <f>CONCATENATE(LEFT(C32,6),"C",RIGHT(C32,2))</f>
        <v>24GO01C43</v>
      </c>
      <c r="D33" s="2" t="str">
        <f>D32</f>
        <v>MID</v>
      </c>
      <c r="E33" s="2" t="s">
        <v>1059</v>
      </c>
      <c r="F33" s="4" t="str">
        <f>F32</f>
        <v>O041A24</v>
      </c>
      <c r="G33" s="4" t="str">
        <f>G32</f>
        <v>ON2411</v>
      </c>
      <c r="J33" s="2"/>
      <c r="K33" s="2"/>
      <c r="L33" s="2"/>
      <c r="M33" s="2"/>
      <c r="N33" s="2"/>
      <c r="O33" s="2"/>
      <c r="P33" s="2"/>
    </row>
    <row r="34" spans="1:16" x14ac:dyDescent="0.2">
      <c r="A34" s="2" t="str">
        <f>A33</f>
        <v>W</v>
      </c>
      <c r="B34" s="2" t="str">
        <f>B33</f>
        <v>ON 41</v>
      </c>
      <c r="C34" s="2" t="str">
        <f>CONCATENATE(LEFT(C33,6),"D",RIGHT(C33,2))</f>
        <v>24GO01D43</v>
      </c>
      <c r="D34" s="2" t="str">
        <f>D33</f>
        <v>MID</v>
      </c>
      <c r="E34" s="2" t="s">
        <v>19</v>
      </c>
      <c r="F34" s="4" t="str">
        <f>F33</f>
        <v>O041A24</v>
      </c>
      <c r="G34" s="4" t="str">
        <f>G33</f>
        <v>ON2411</v>
      </c>
      <c r="J34" s="2"/>
      <c r="K34" s="2"/>
      <c r="L34" s="2"/>
      <c r="M34" s="2"/>
      <c r="N34" s="2"/>
      <c r="O34" s="2"/>
      <c r="P34" s="2"/>
    </row>
    <row r="35" spans="1:16" x14ac:dyDescent="0.2">
      <c r="A35" s="2" t="s">
        <v>46</v>
      </c>
      <c r="B35" s="2" t="s">
        <v>76</v>
      </c>
      <c r="C35" s="2" t="s">
        <v>1120</v>
      </c>
      <c r="D35" s="2" t="s">
        <v>4</v>
      </c>
      <c r="E35" s="2" t="s">
        <v>3</v>
      </c>
      <c r="F35" s="4" t="s">
        <v>1782</v>
      </c>
      <c r="G35" s="4" t="s">
        <v>1783</v>
      </c>
      <c r="J35" s="2"/>
      <c r="K35" s="2"/>
      <c r="L35" s="2"/>
      <c r="M35" s="2"/>
      <c r="N35" s="2"/>
      <c r="O35" s="2"/>
      <c r="P35" s="2"/>
    </row>
    <row r="36" spans="1:16" x14ac:dyDescent="0.2">
      <c r="A36" s="2" t="str">
        <f>A35</f>
        <v>E</v>
      </c>
      <c r="B36" s="2" t="str">
        <f>B35</f>
        <v>SU 01M</v>
      </c>
      <c r="C36" s="2" t="str">
        <f>CONCATENATE(LEFT(C35,6),"C",RIGHT(C35,2))</f>
        <v>24GS00C03</v>
      </c>
      <c r="D36" s="2" t="str">
        <f>D35</f>
        <v>10M</v>
      </c>
      <c r="E36" s="2" t="s">
        <v>1059</v>
      </c>
      <c r="F36" s="4" t="str">
        <f>F35</f>
        <v>S01MA24</v>
      </c>
      <c r="G36" s="4" t="str">
        <f>G35</f>
        <v>SU2411</v>
      </c>
      <c r="J36" s="2"/>
      <c r="K36" s="2"/>
      <c r="L36" s="2"/>
      <c r="M36" s="2"/>
      <c r="N36" s="2"/>
      <c r="O36" s="2"/>
      <c r="P36" s="2"/>
    </row>
    <row r="37" spans="1:16" x14ac:dyDescent="0.2">
      <c r="A37" s="2" t="str">
        <f>A36</f>
        <v>E</v>
      </c>
      <c r="B37" s="2" t="str">
        <f>B36</f>
        <v>SU 01M</v>
      </c>
      <c r="C37" s="2" t="str">
        <f>CONCATENATE(LEFT(C36,6),"D",RIGHT(C36,2))</f>
        <v>24GS00D03</v>
      </c>
      <c r="D37" s="2" t="str">
        <f>D36</f>
        <v>10M</v>
      </c>
      <c r="E37" s="2" t="s">
        <v>19</v>
      </c>
      <c r="F37" s="4" t="str">
        <f>F36</f>
        <v>S01MA24</v>
      </c>
      <c r="G37" s="4" t="str">
        <f>G36</f>
        <v>SU2411</v>
      </c>
      <c r="J37" s="2"/>
      <c r="K37" s="2"/>
      <c r="L37" s="2"/>
      <c r="M37" s="2"/>
      <c r="N37" s="2"/>
      <c r="O37" s="2"/>
      <c r="P37" s="2"/>
    </row>
    <row r="38" spans="1:16" x14ac:dyDescent="0.2">
      <c r="A38" s="2" t="s">
        <v>23</v>
      </c>
      <c r="B38" s="2" t="s">
        <v>86</v>
      </c>
      <c r="C38" s="2" t="s">
        <v>1124</v>
      </c>
      <c r="D38" s="2" t="s">
        <v>6</v>
      </c>
      <c r="E38" s="2" t="s">
        <v>3</v>
      </c>
      <c r="F38" s="4" t="s">
        <v>1922</v>
      </c>
      <c r="G38" s="4" t="s">
        <v>1783</v>
      </c>
      <c r="J38" s="2"/>
      <c r="K38" s="2"/>
      <c r="L38" s="2"/>
      <c r="M38" s="2"/>
      <c r="N38" s="2"/>
      <c r="O38" s="4"/>
      <c r="P38" s="4"/>
    </row>
    <row r="39" spans="1:16" x14ac:dyDescent="0.2">
      <c r="A39" s="2" t="str">
        <f>A38</f>
        <v>C</v>
      </c>
      <c r="B39" s="2" t="str">
        <f>B38</f>
        <v>SU 11</v>
      </c>
      <c r="C39" s="2" t="str">
        <f>CONCATENATE(LEFT(C38,6),"C",RIGHT(C38,2))</f>
        <v>24GS02C11</v>
      </c>
      <c r="D39" s="2" t="str">
        <f>D38</f>
        <v>B-</v>
      </c>
      <c r="E39" s="2" t="s">
        <v>1059</v>
      </c>
      <c r="F39" s="4" t="str">
        <f>F38</f>
        <v>S011A24</v>
      </c>
      <c r="G39" s="4" t="str">
        <f>G38</f>
        <v>SU2411</v>
      </c>
      <c r="J39" s="2"/>
      <c r="K39" s="2"/>
      <c r="L39" s="2"/>
      <c r="M39" s="2"/>
      <c r="N39" s="2"/>
      <c r="O39" s="4"/>
      <c r="P39" s="4"/>
    </row>
    <row r="40" spans="1:16" x14ac:dyDescent="0.2">
      <c r="A40" s="2" t="str">
        <f>A39</f>
        <v>C</v>
      </c>
      <c r="B40" s="2" t="str">
        <f>B39</f>
        <v>SU 11</v>
      </c>
      <c r="C40" s="2" t="str">
        <f>CONCATENATE(LEFT(C39,6),"D",RIGHT(C39,2))</f>
        <v>24GS02D11</v>
      </c>
      <c r="D40" s="2" t="str">
        <f>D39</f>
        <v>B-</v>
      </c>
      <c r="E40" s="2" t="s">
        <v>19</v>
      </c>
      <c r="F40" s="4" t="str">
        <f>F39</f>
        <v>S011A24</v>
      </c>
      <c r="G40" s="4" t="str">
        <f>G39</f>
        <v>SU2411</v>
      </c>
      <c r="J40" s="2"/>
      <c r="K40" s="2"/>
      <c r="L40" s="2"/>
      <c r="M40" s="2"/>
      <c r="N40" s="2"/>
      <c r="O40" s="4"/>
      <c r="P40" s="4"/>
    </row>
    <row r="41" spans="1:16" x14ac:dyDescent="0.2">
      <c r="A41" s="2" t="s">
        <v>61</v>
      </c>
      <c r="B41" s="2" t="s">
        <v>94</v>
      </c>
      <c r="C41" s="2" t="s">
        <v>1128</v>
      </c>
      <c r="D41" s="2" t="s">
        <v>2</v>
      </c>
      <c r="E41" s="2" t="s">
        <v>3</v>
      </c>
      <c r="F41" s="4" t="s">
        <v>2031</v>
      </c>
      <c r="G41" s="4" t="s">
        <v>1783</v>
      </c>
      <c r="J41" s="2"/>
      <c r="K41" s="2"/>
      <c r="L41" s="2"/>
      <c r="M41" s="2"/>
      <c r="N41" s="2"/>
      <c r="O41" s="2"/>
      <c r="P41" s="2"/>
    </row>
    <row r="42" spans="1:16" x14ac:dyDescent="0.2">
      <c r="A42" s="2" t="str">
        <f>A41</f>
        <v>W</v>
      </c>
      <c r="B42" s="2" t="str">
        <f>B41</f>
        <v>SU 19</v>
      </c>
      <c r="C42" s="2" t="str">
        <f>CONCATENATE(LEFT(C41,6),"C",RIGHT(C41,2))</f>
        <v>24GS03C61</v>
      </c>
      <c r="D42" s="2" t="str">
        <f>D41</f>
        <v>SRF</v>
      </c>
      <c r="E42" s="2" t="s">
        <v>1059</v>
      </c>
      <c r="F42" s="4" t="str">
        <f>F41</f>
        <v>S019A24</v>
      </c>
      <c r="G42" s="4" t="str">
        <f>G41</f>
        <v>SU2411</v>
      </c>
      <c r="J42" s="2"/>
      <c r="K42" s="2"/>
      <c r="L42" s="2"/>
      <c r="M42" s="2"/>
      <c r="N42" s="2"/>
      <c r="O42" s="2"/>
      <c r="P42" s="2"/>
    </row>
    <row r="43" spans="1:16" x14ac:dyDescent="0.2">
      <c r="A43" s="2" t="str">
        <f>A42</f>
        <v>W</v>
      </c>
      <c r="B43" s="2" t="str">
        <f>B42</f>
        <v>SU 19</v>
      </c>
      <c r="C43" s="2" t="str">
        <f>CONCATENATE(LEFT(C42,6),"D",RIGHT(C42,2))</f>
        <v>24GS03D61</v>
      </c>
      <c r="D43" s="2" t="str">
        <f>D42</f>
        <v>SRF</v>
      </c>
      <c r="E43" s="2" t="s">
        <v>19</v>
      </c>
      <c r="F43" s="4" t="str">
        <f>F42</f>
        <v>S019A24</v>
      </c>
      <c r="G43" s="4" t="str">
        <f>G42</f>
        <v>SU2411</v>
      </c>
      <c r="J43" s="2"/>
      <c r="K43" s="2"/>
      <c r="L43" s="2"/>
      <c r="M43" s="2"/>
      <c r="N43" s="2"/>
      <c r="O43" s="4"/>
      <c r="P43" s="4"/>
    </row>
    <row r="44" spans="1:16" x14ac:dyDescent="0.2">
      <c r="A44" s="2"/>
      <c r="B44" s="2"/>
      <c r="C44" s="2"/>
      <c r="D44" s="2"/>
      <c r="E44" s="2"/>
      <c r="J44" s="2"/>
      <c r="K44" s="2"/>
      <c r="L44" s="2"/>
      <c r="M44" s="2"/>
      <c r="N44" s="2"/>
      <c r="O44" s="2"/>
      <c r="P44" s="2"/>
    </row>
    <row r="45" spans="1:16" x14ac:dyDescent="0.2">
      <c r="A45" s="2"/>
      <c r="B45" s="2"/>
      <c r="C45" s="2"/>
      <c r="D45" s="2"/>
      <c r="E45" s="2"/>
      <c r="J45" s="2"/>
      <c r="K45" s="2"/>
      <c r="L45" s="2"/>
      <c r="M45" s="2"/>
      <c r="N45" s="2"/>
      <c r="O45" s="2"/>
      <c r="P45" s="2"/>
    </row>
    <row r="46" spans="1:16" x14ac:dyDescent="0.2">
      <c r="A46" s="2"/>
      <c r="B46" s="2"/>
      <c r="C46" s="2"/>
      <c r="D46" s="2"/>
      <c r="E46" s="2"/>
      <c r="J46" s="2"/>
      <c r="K46" s="2"/>
      <c r="L46" s="2"/>
      <c r="M46" s="2"/>
      <c r="N46" s="2"/>
      <c r="O46" s="2"/>
      <c r="P46" s="2"/>
    </row>
    <row r="47" spans="1:16" x14ac:dyDescent="0.2">
      <c r="A47" s="2"/>
      <c r="B47" s="2"/>
      <c r="C47" s="2"/>
      <c r="D47" s="2"/>
      <c r="E47" s="2"/>
      <c r="J47" s="2"/>
      <c r="K47" s="2"/>
      <c r="L47" s="2"/>
      <c r="M47" s="2"/>
      <c r="N47" s="2"/>
      <c r="O47" s="2"/>
      <c r="P47" s="2"/>
    </row>
    <row r="48" spans="1:16" x14ac:dyDescent="0.2">
      <c r="A48" s="2"/>
      <c r="B48" s="2"/>
      <c r="C48" s="2"/>
      <c r="D48" s="2"/>
      <c r="E48" s="2"/>
      <c r="J48" s="2"/>
      <c r="K48" s="2"/>
      <c r="L48" s="2"/>
      <c r="M48" s="2"/>
      <c r="N48" s="2"/>
      <c r="O48" s="4"/>
      <c r="P48" s="4"/>
    </row>
    <row r="49" spans="1:16" x14ac:dyDescent="0.2">
      <c r="A49" s="2"/>
      <c r="B49" s="2"/>
      <c r="C49" s="2"/>
      <c r="D49" s="2"/>
      <c r="E49" s="2"/>
      <c r="J49" s="2"/>
      <c r="K49" s="2"/>
      <c r="L49" s="2"/>
      <c r="M49" s="2"/>
      <c r="N49" s="2"/>
      <c r="O49" s="2"/>
      <c r="P49" s="2"/>
    </row>
    <row r="50" spans="1:16" x14ac:dyDescent="0.2">
      <c r="A50" s="2"/>
      <c r="B50" s="2"/>
      <c r="C50" s="2"/>
      <c r="D50" s="2"/>
      <c r="E50" s="2"/>
      <c r="J50" s="2"/>
      <c r="K50" s="2"/>
      <c r="L50" s="2"/>
      <c r="M50" s="2"/>
      <c r="N50" s="2"/>
      <c r="O50" s="2"/>
      <c r="P50" s="2"/>
    </row>
    <row r="51" spans="1:16" x14ac:dyDescent="0.2">
      <c r="A51" s="2"/>
      <c r="B51" s="2"/>
      <c r="C51" s="2"/>
      <c r="D51" s="2"/>
      <c r="E51" s="2"/>
      <c r="J51" s="2"/>
      <c r="K51" s="2"/>
      <c r="L51" s="2"/>
      <c r="M51" s="2"/>
      <c r="N51" s="2"/>
      <c r="O51" s="4"/>
      <c r="P51" s="4"/>
    </row>
    <row r="52" spans="1:16" x14ac:dyDescent="0.2">
      <c r="A52" s="2"/>
      <c r="B52" s="2"/>
      <c r="C52" s="2"/>
      <c r="D52" s="2"/>
      <c r="E52" s="2"/>
      <c r="J52" s="2"/>
      <c r="K52" s="2"/>
      <c r="L52" s="2"/>
      <c r="M52" s="2"/>
      <c r="N52" s="2"/>
      <c r="O52" s="2"/>
      <c r="P52" s="2"/>
    </row>
    <row r="53" spans="1:16" x14ac:dyDescent="0.2">
      <c r="A53" s="2"/>
      <c r="B53" s="2"/>
      <c r="C53" s="2"/>
      <c r="D53" s="2"/>
      <c r="E53" s="2"/>
      <c r="J53" s="2"/>
      <c r="K53" s="2"/>
      <c r="L53" s="2"/>
      <c r="M53" s="2"/>
      <c r="N53" s="2"/>
      <c r="O53" s="2"/>
      <c r="P53" s="2"/>
    </row>
    <row r="54" spans="1:16" x14ac:dyDescent="0.2">
      <c r="A54" s="2"/>
      <c r="B54" s="2"/>
      <c r="C54" s="2"/>
      <c r="D54" s="2"/>
      <c r="E54" s="2"/>
      <c r="J54" s="2"/>
      <c r="K54" s="2"/>
      <c r="L54" s="2"/>
      <c r="M54" s="2"/>
      <c r="N54" s="2"/>
      <c r="O54" s="4"/>
      <c r="P54" s="4"/>
    </row>
    <row r="55" spans="1:16" x14ac:dyDescent="0.2">
      <c r="A55" s="2"/>
      <c r="B55" s="2"/>
      <c r="C55" s="2"/>
      <c r="D55" s="2"/>
      <c r="E55" s="2"/>
      <c r="J55" s="2"/>
      <c r="K55" s="2"/>
      <c r="L55" s="2"/>
      <c r="M55" s="2"/>
      <c r="N55" s="2"/>
      <c r="O55" s="2"/>
      <c r="P55" s="2"/>
    </row>
    <row r="56" spans="1:16" x14ac:dyDescent="0.2">
      <c r="A56" s="2"/>
      <c r="B56" s="2"/>
      <c r="C56" s="2"/>
      <c r="D56" s="2"/>
      <c r="E56" s="2"/>
      <c r="J56" s="2"/>
      <c r="K56" s="2"/>
      <c r="L56" s="2"/>
      <c r="M56" s="2"/>
      <c r="N56" s="2"/>
      <c r="O56" s="2"/>
      <c r="P56" s="2"/>
    </row>
    <row r="57" spans="1:16" x14ac:dyDescent="0.2">
      <c r="A57" s="2"/>
      <c r="B57" s="2"/>
      <c r="C57" s="2"/>
      <c r="D57" s="2"/>
      <c r="E57" s="2"/>
      <c r="J57" s="2"/>
      <c r="K57" s="2"/>
      <c r="L57" s="2"/>
      <c r="M57" s="2"/>
      <c r="N57" s="2"/>
      <c r="O57" s="4"/>
      <c r="P57" s="4"/>
    </row>
    <row r="58" spans="1:16" x14ac:dyDescent="0.2">
      <c r="A58" s="2"/>
      <c r="B58" s="2"/>
      <c r="C58" s="2"/>
      <c r="D58" s="2"/>
      <c r="E58" s="2"/>
      <c r="J58" s="2"/>
      <c r="K58" s="2"/>
      <c r="L58" s="2"/>
      <c r="M58" s="2"/>
      <c r="N58" s="2"/>
      <c r="O58" s="2"/>
      <c r="P58" s="2"/>
    </row>
    <row r="59" spans="1:16" x14ac:dyDescent="0.2">
      <c r="A59" s="2"/>
      <c r="B59" s="2"/>
      <c r="C59" s="2"/>
      <c r="D59" s="2"/>
      <c r="E59" s="2"/>
      <c r="J59" s="2"/>
      <c r="K59" s="2"/>
      <c r="L59" s="2"/>
      <c r="M59" s="2"/>
      <c r="N59" s="2"/>
      <c r="O59" s="2"/>
      <c r="P59" s="2"/>
    </row>
    <row r="60" spans="1:16" x14ac:dyDescent="0.2">
      <c r="A60" s="2"/>
      <c r="B60" s="2"/>
      <c r="C60" s="2"/>
      <c r="D60" s="2"/>
      <c r="E60" s="2"/>
    </row>
    <row r="61" spans="1:16" x14ac:dyDescent="0.2">
      <c r="A61" s="2"/>
      <c r="B61" s="2"/>
      <c r="C61" s="2"/>
      <c r="D61" s="2"/>
      <c r="E61" s="2"/>
    </row>
    <row r="62" spans="1:16" x14ac:dyDescent="0.2">
      <c r="A62" s="2"/>
      <c r="B62" s="2"/>
      <c r="C62" s="2"/>
      <c r="D62" s="2"/>
      <c r="E62" s="2"/>
    </row>
    <row r="63" spans="1:16" x14ac:dyDescent="0.2">
      <c r="A63" s="2"/>
      <c r="B63" s="2"/>
      <c r="C63" s="2"/>
      <c r="D63" s="2"/>
      <c r="E63" s="2"/>
    </row>
    <row r="64" spans="1:16" x14ac:dyDescent="0.2">
      <c r="A64" s="2"/>
      <c r="B64" s="2"/>
      <c r="C64" s="2"/>
      <c r="D64" s="2"/>
      <c r="E64" s="2"/>
    </row>
    <row r="65" spans="1:8" x14ac:dyDescent="0.2">
      <c r="A65" s="2"/>
      <c r="B65" s="2"/>
      <c r="C65" s="2"/>
      <c r="D65" s="2"/>
      <c r="E65" s="2"/>
    </row>
    <row r="66" spans="1:8" x14ac:dyDescent="0.2">
      <c r="A66" s="2"/>
      <c r="B66" s="2"/>
      <c r="C66" s="2"/>
      <c r="D66" s="2"/>
      <c r="E66" s="2"/>
    </row>
    <row r="67" spans="1:8" x14ac:dyDescent="0.2">
      <c r="A67" s="2"/>
      <c r="B67" s="2"/>
      <c r="C67" s="2"/>
      <c r="D67" s="2"/>
      <c r="E67" s="2"/>
    </row>
    <row r="68" spans="1:8" x14ac:dyDescent="0.2">
      <c r="A68" s="2"/>
      <c r="B68" s="2"/>
      <c r="C68" s="2"/>
      <c r="D68" s="2"/>
      <c r="E68" s="2"/>
    </row>
    <row r="69" spans="1:8" x14ac:dyDescent="0.2">
      <c r="A69" s="2"/>
      <c r="B69" s="2"/>
      <c r="C69" s="2"/>
      <c r="D69" s="2"/>
      <c r="E69" s="2"/>
    </row>
    <row r="70" spans="1:8" x14ac:dyDescent="0.2">
      <c r="A70" s="2"/>
      <c r="B70" s="2"/>
      <c r="C70" s="2"/>
      <c r="D70" s="2"/>
      <c r="E70" s="2"/>
    </row>
    <row r="71" spans="1:8" x14ac:dyDescent="0.2">
      <c r="A71" s="2"/>
      <c r="B71" s="2"/>
      <c r="C71" s="2"/>
      <c r="D71" s="2"/>
      <c r="E71" s="2"/>
    </row>
    <row r="72" spans="1:8" x14ac:dyDescent="0.2">
      <c r="A72" s="2"/>
      <c r="B72" s="2"/>
      <c r="C72" s="2"/>
      <c r="D72" s="2"/>
      <c r="E72" s="2"/>
    </row>
    <row r="73" spans="1:8" x14ac:dyDescent="0.2">
      <c r="A73" s="2"/>
      <c r="B73" s="2"/>
      <c r="C73" s="2"/>
      <c r="D73" s="2"/>
      <c r="E73" s="2"/>
    </row>
    <row r="74" spans="1:8" x14ac:dyDescent="0.2">
      <c r="A74" s="2"/>
      <c r="B74" s="2"/>
      <c r="C74" s="2"/>
      <c r="D74" s="2"/>
      <c r="E74" s="2"/>
      <c r="H74" s="2"/>
    </row>
    <row r="75" spans="1:8" x14ac:dyDescent="0.2">
      <c r="A75" s="2"/>
      <c r="B75" s="2"/>
      <c r="C75" s="2"/>
      <c r="D75" s="2"/>
      <c r="E75" s="2"/>
      <c r="H75" s="2"/>
    </row>
    <row r="76" spans="1:8" x14ac:dyDescent="0.2">
      <c r="A76" s="2"/>
      <c r="B76" s="2"/>
      <c r="C76" s="2"/>
      <c r="D76" s="2"/>
      <c r="E76" s="2"/>
      <c r="H76" s="2"/>
    </row>
    <row r="77" spans="1:8" x14ac:dyDescent="0.2">
      <c r="A77" s="2"/>
      <c r="B77" s="2"/>
      <c r="C77" s="2"/>
      <c r="D77" s="2"/>
      <c r="E77" s="2"/>
      <c r="H77" s="2"/>
    </row>
    <row r="78" spans="1:8" x14ac:dyDescent="0.2">
      <c r="A78" s="2"/>
      <c r="B78" s="2"/>
      <c r="C78" s="2"/>
      <c r="D78" s="2"/>
      <c r="E78" s="2"/>
      <c r="H78" s="2"/>
    </row>
    <row r="79" spans="1:8" x14ac:dyDescent="0.2">
      <c r="A79" s="2"/>
      <c r="B79" s="2"/>
      <c r="C79" s="2"/>
      <c r="D79" s="2"/>
      <c r="E79" s="2"/>
      <c r="H79" s="2"/>
    </row>
    <row r="80" spans="1:8" x14ac:dyDescent="0.2">
      <c r="A80" s="2"/>
      <c r="B80" s="2"/>
      <c r="C80" s="2"/>
      <c r="D80" s="2"/>
      <c r="E80" s="2"/>
      <c r="H80" s="2"/>
    </row>
    <row r="81" spans="1:8" x14ac:dyDescent="0.2">
      <c r="A81" s="2"/>
      <c r="B81" s="2"/>
      <c r="C81" s="2"/>
      <c r="D81" s="2"/>
      <c r="E81" s="2"/>
      <c r="H81" s="2"/>
    </row>
    <row r="82" spans="1:8" x14ac:dyDescent="0.2">
      <c r="A82" s="2"/>
      <c r="B82" s="2"/>
      <c r="C82" s="2"/>
      <c r="D82" s="2"/>
      <c r="E82" s="2"/>
      <c r="H82" s="4"/>
    </row>
    <row r="83" spans="1:8" x14ac:dyDescent="0.2">
      <c r="A83" s="2"/>
      <c r="B83" s="2"/>
      <c r="C83" s="2"/>
      <c r="D83" s="2"/>
      <c r="E83" s="2"/>
      <c r="H83" s="4"/>
    </row>
    <row r="84" spans="1:8" x14ac:dyDescent="0.2">
      <c r="A84" s="2"/>
      <c r="B84" s="2"/>
      <c r="C84" s="2"/>
      <c r="D84" s="2"/>
      <c r="E84" s="2"/>
      <c r="H84" s="4"/>
    </row>
    <row r="85" spans="1:8" x14ac:dyDescent="0.2">
      <c r="A85" s="2"/>
      <c r="B85" s="2"/>
      <c r="C85" s="2"/>
      <c r="D85" s="2"/>
      <c r="E85" s="2"/>
      <c r="H85" s="4"/>
    </row>
    <row r="86" spans="1:8" x14ac:dyDescent="0.2">
      <c r="A86" s="2"/>
      <c r="B86" s="2"/>
      <c r="C86" s="2"/>
      <c r="D86" s="2"/>
      <c r="E86" s="2"/>
      <c r="H86" s="4"/>
    </row>
    <row r="87" spans="1:8" x14ac:dyDescent="0.2">
      <c r="A87" s="2"/>
      <c r="B87" s="2"/>
      <c r="C87" s="2"/>
      <c r="D87" s="2"/>
      <c r="E87" s="2"/>
      <c r="H87" s="4"/>
    </row>
    <row r="88" spans="1:8" x14ac:dyDescent="0.2">
      <c r="A88" s="2"/>
      <c r="B88" s="2"/>
      <c r="C88" s="2"/>
      <c r="D88" s="2"/>
      <c r="E88" s="2"/>
      <c r="H88" s="4"/>
    </row>
    <row r="89" spans="1:8" x14ac:dyDescent="0.2">
      <c r="A89" s="2"/>
      <c r="B89" s="2"/>
      <c r="C89" s="2"/>
      <c r="D89" s="2"/>
      <c r="E89" s="2"/>
      <c r="H89" s="4"/>
    </row>
    <row r="90" spans="1:8" x14ac:dyDescent="0.2">
      <c r="A90" s="2"/>
      <c r="B90" s="2"/>
      <c r="C90" s="2"/>
      <c r="D90" s="2"/>
      <c r="E90" s="2"/>
      <c r="H90" s="4"/>
    </row>
    <row r="91" spans="1:8" x14ac:dyDescent="0.2">
      <c r="H91" s="4"/>
    </row>
    <row r="92" spans="1:8" x14ac:dyDescent="0.2">
      <c r="H92" s="4"/>
    </row>
    <row r="93" spans="1:8" x14ac:dyDescent="0.2">
      <c r="H93" s="4"/>
    </row>
    <row r="94" spans="1:8" x14ac:dyDescent="0.2">
      <c r="H94" s="4"/>
    </row>
    <row r="95" spans="1:8" x14ac:dyDescent="0.2">
      <c r="H95" s="4"/>
    </row>
    <row r="96" spans="1:8" x14ac:dyDescent="0.2">
      <c r="H96" s="4"/>
    </row>
    <row r="97" spans="8:8" x14ac:dyDescent="0.2">
      <c r="H97" s="4"/>
    </row>
  </sheetData>
  <autoFilter ref="A1:G110" xr:uid="{0EF6535E-EC62-4F2D-996A-19305860309E}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4"/>
  <dimension ref="A1:I78"/>
  <sheetViews>
    <sheetView topLeftCell="A7" workbookViewId="0">
      <selection activeCell="M19" sqref="M19"/>
    </sheetView>
  </sheetViews>
  <sheetFormatPr defaultRowHeight="12.75" x14ac:dyDescent="0.2"/>
  <cols>
    <col min="1" max="9" width="8.42578125" customWidth="1"/>
  </cols>
  <sheetData>
    <row r="1" spans="1:9" x14ac:dyDescent="0.2">
      <c r="A1" t="s">
        <v>122</v>
      </c>
      <c r="C1" t="s">
        <v>133</v>
      </c>
      <c r="D1" s="18"/>
      <c r="E1" t="s">
        <v>149</v>
      </c>
      <c r="G1" t="s">
        <v>168</v>
      </c>
      <c r="I1" t="s">
        <v>176</v>
      </c>
    </row>
    <row r="2" spans="1:9" x14ac:dyDescent="0.2">
      <c r="A2" t="s">
        <v>123</v>
      </c>
      <c r="C2" t="s">
        <v>134</v>
      </c>
      <c r="D2" s="18"/>
      <c r="E2" t="s">
        <v>147</v>
      </c>
      <c r="G2" t="s">
        <v>167</v>
      </c>
      <c r="I2" t="s">
        <v>177</v>
      </c>
    </row>
    <row r="3" spans="1:9" x14ac:dyDescent="0.2">
      <c r="A3" t="s">
        <v>210</v>
      </c>
      <c r="C3" t="s">
        <v>135</v>
      </c>
      <c r="D3" s="18"/>
      <c r="E3" t="s">
        <v>150</v>
      </c>
      <c r="G3" t="s">
        <v>169</v>
      </c>
      <c r="I3" t="s">
        <v>178</v>
      </c>
    </row>
    <row r="4" spans="1:9" x14ac:dyDescent="0.2">
      <c r="A4" t="s">
        <v>125</v>
      </c>
      <c r="C4" t="s">
        <v>136</v>
      </c>
      <c r="D4" s="18"/>
      <c r="E4" t="s">
        <v>148</v>
      </c>
      <c r="G4" t="s">
        <v>170</v>
      </c>
      <c r="I4" t="s">
        <v>175</v>
      </c>
    </row>
    <row r="5" spans="1:9" x14ac:dyDescent="0.2">
      <c r="A5" t="s">
        <v>124</v>
      </c>
      <c r="C5" t="s">
        <v>209</v>
      </c>
      <c r="D5" s="18"/>
      <c r="E5" t="s">
        <v>208</v>
      </c>
      <c r="G5" t="s">
        <v>171</v>
      </c>
      <c r="I5" t="s">
        <v>179</v>
      </c>
    </row>
    <row r="6" spans="1:9" x14ac:dyDescent="0.2">
      <c r="A6" t="s">
        <v>126</v>
      </c>
      <c r="C6" t="s">
        <v>137</v>
      </c>
      <c r="D6" s="18"/>
      <c r="E6" t="s">
        <v>151</v>
      </c>
      <c r="G6" t="s">
        <v>172</v>
      </c>
      <c r="I6" t="s">
        <v>180</v>
      </c>
    </row>
    <row r="7" spans="1:9" x14ac:dyDescent="0.2">
      <c r="A7" t="s">
        <v>129</v>
      </c>
      <c r="C7" t="s">
        <v>138</v>
      </c>
      <c r="D7" s="18"/>
      <c r="E7" t="s">
        <v>152</v>
      </c>
      <c r="G7" t="s">
        <v>211</v>
      </c>
      <c r="I7" t="s">
        <v>181</v>
      </c>
    </row>
    <row r="8" spans="1:9" x14ac:dyDescent="0.2">
      <c r="A8" t="s">
        <v>130</v>
      </c>
      <c r="C8" t="s">
        <v>139</v>
      </c>
      <c r="D8" s="18"/>
      <c r="E8" t="s">
        <v>154</v>
      </c>
      <c r="G8" t="s">
        <v>173</v>
      </c>
      <c r="I8" t="s">
        <v>182</v>
      </c>
    </row>
    <row r="9" spans="1:9" x14ac:dyDescent="0.2">
      <c r="A9" t="s">
        <v>128</v>
      </c>
      <c r="C9" t="s">
        <v>140</v>
      </c>
      <c r="D9" s="18"/>
      <c r="E9" t="s">
        <v>153</v>
      </c>
      <c r="G9" t="s">
        <v>174</v>
      </c>
      <c r="I9" t="s">
        <v>183</v>
      </c>
    </row>
    <row r="10" spans="1:9" x14ac:dyDescent="0.2">
      <c r="A10" t="s">
        <v>131</v>
      </c>
      <c r="C10" t="s">
        <v>141</v>
      </c>
      <c r="D10" s="18"/>
      <c r="E10" t="s">
        <v>155</v>
      </c>
      <c r="I10" t="s">
        <v>184</v>
      </c>
    </row>
    <row r="11" spans="1:9" x14ac:dyDescent="0.2">
      <c r="A11" t="s">
        <v>127</v>
      </c>
      <c r="C11" t="s">
        <v>144</v>
      </c>
      <c r="D11" s="18"/>
      <c r="E11" t="s">
        <v>156</v>
      </c>
      <c r="I11" t="s">
        <v>187</v>
      </c>
    </row>
    <row r="12" spans="1:9" x14ac:dyDescent="0.2">
      <c r="A12" t="s">
        <v>132</v>
      </c>
      <c r="C12" t="s">
        <v>143</v>
      </c>
      <c r="D12" s="18"/>
      <c r="E12" t="s">
        <v>158</v>
      </c>
      <c r="I12" t="s">
        <v>185</v>
      </c>
    </row>
    <row r="13" spans="1:9" x14ac:dyDescent="0.2">
      <c r="C13" t="s">
        <v>145</v>
      </c>
      <c r="D13" s="18"/>
      <c r="E13" t="s">
        <v>159</v>
      </c>
      <c r="I13" t="s">
        <v>212</v>
      </c>
    </row>
    <row r="14" spans="1:9" x14ac:dyDescent="0.2">
      <c r="C14" t="s">
        <v>146</v>
      </c>
      <c r="D14" s="18"/>
      <c r="E14" t="s">
        <v>160</v>
      </c>
      <c r="I14" t="s">
        <v>188</v>
      </c>
    </row>
    <row r="15" spans="1:9" x14ac:dyDescent="0.2">
      <c r="C15" t="s">
        <v>142</v>
      </c>
      <c r="D15" s="18"/>
      <c r="E15" t="s">
        <v>161</v>
      </c>
      <c r="I15" t="s">
        <v>186</v>
      </c>
    </row>
    <row r="16" spans="1:9" x14ac:dyDescent="0.2">
      <c r="D16" s="17"/>
      <c r="E16" t="s">
        <v>157</v>
      </c>
      <c r="I16" t="s">
        <v>189</v>
      </c>
    </row>
    <row r="17" spans="4:9" x14ac:dyDescent="0.2">
      <c r="D17" s="17"/>
      <c r="E17" t="s">
        <v>162</v>
      </c>
      <c r="I17" t="s">
        <v>190</v>
      </c>
    </row>
    <row r="18" spans="4:9" x14ac:dyDescent="0.2">
      <c r="D18" s="17"/>
      <c r="E18" t="s">
        <v>164</v>
      </c>
      <c r="I18" t="s">
        <v>191</v>
      </c>
    </row>
    <row r="19" spans="4:9" x14ac:dyDescent="0.2">
      <c r="D19" s="17"/>
      <c r="E19" t="s">
        <v>163</v>
      </c>
      <c r="I19" t="s">
        <v>192</v>
      </c>
    </row>
    <row r="20" spans="4:9" x14ac:dyDescent="0.2">
      <c r="D20" s="17"/>
      <c r="E20" s="17" t="s">
        <v>165</v>
      </c>
      <c r="I20" t="s">
        <v>193</v>
      </c>
    </row>
    <row r="21" spans="4:9" x14ac:dyDescent="0.2">
      <c r="D21" s="17"/>
      <c r="E21" t="s">
        <v>166</v>
      </c>
    </row>
    <row r="22" spans="4:9" x14ac:dyDescent="0.2">
      <c r="D22" s="17"/>
      <c r="E22" s="18"/>
    </row>
    <row r="23" spans="4:9" x14ac:dyDescent="0.2">
      <c r="D23" s="17"/>
      <c r="E23" s="18"/>
    </row>
    <row r="24" spans="4:9" x14ac:dyDescent="0.2">
      <c r="D24" s="17"/>
      <c r="E24" s="18"/>
    </row>
    <row r="25" spans="4:9" x14ac:dyDescent="0.2">
      <c r="D25" s="17"/>
      <c r="E25" s="18"/>
    </row>
    <row r="26" spans="4:9" x14ac:dyDescent="0.2">
      <c r="D26" s="17"/>
      <c r="E26" s="18"/>
    </row>
    <row r="27" spans="4:9" x14ac:dyDescent="0.2">
      <c r="D27" s="17"/>
      <c r="E27" s="18"/>
    </row>
    <row r="28" spans="4:9" x14ac:dyDescent="0.2">
      <c r="D28" s="17"/>
      <c r="E28" s="18"/>
    </row>
    <row r="29" spans="4:9" x14ac:dyDescent="0.2">
      <c r="D29" s="17"/>
      <c r="E29" s="18"/>
    </row>
    <row r="30" spans="4:9" x14ac:dyDescent="0.2">
      <c r="D30" s="17"/>
      <c r="E30" s="18"/>
    </row>
    <row r="31" spans="4:9" x14ac:dyDescent="0.2">
      <c r="D31" s="17"/>
      <c r="E31" s="18"/>
    </row>
    <row r="32" spans="4:9" x14ac:dyDescent="0.2">
      <c r="D32" s="17"/>
      <c r="E32" s="18"/>
    </row>
    <row r="33" spans="4:5" x14ac:dyDescent="0.2">
      <c r="D33" s="17"/>
      <c r="E33" s="18"/>
    </row>
    <row r="34" spans="4:5" x14ac:dyDescent="0.2">
      <c r="D34" s="17"/>
      <c r="E34" s="18"/>
    </row>
    <row r="35" spans="4:5" x14ac:dyDescent="0.2">
      <c r="D35" s="17"/>
      <c r="E35" s="18"/>
    </row>
    <row r="36" spans="4:5" x14ac:dyDescent="0.2">
      <c r="D36" s="17"/>
      <c r="E36" s="18"/>
    </row>
    <row r="37" spans="4:5" x14ac:dyDescent="0.2">
      <c r="D37" s="17"/>
      <c r="E37" s="18"/>
    </row>
    <row r="38" spans="4:5" x14ac:dyDescent="0.2">
      <c r="D38" s="17"/>
      <c r="E38" s="18"/>
    </row>
    <row r="39" spans="4:5" x14ac:dyDescent="0.2">
      <c r="D39" s="17"/>
      <c r="E39" s="18"/>
    </row>
    <row r="40" spans="4:5" x14ac:dyDescent="0.2">
      <c r="D40" s="17"/>
      <c r="E40" s="18"/>
    </row>
    <row r="41" spans="4:5" x14ac:dyDescent="0.2">
      <c r="D41" s="17"/>
      <c r="E41" s="18"/>
    </row>
    <row r="42" spans="4:5" x14ac:dyDescent="0.2">
      <c r="D42" s="17"/>
      <c r="E42" s="18"/>
    </row>
    <row r="43" spans="4:5" x14ac:dyDescent="0.2">
      <c r="D43" s="17"/>
      <c r="E43" s="18"/>
    </row>
    <row r="44" spans="4:5" x14ac:dyDescent="0.2">
      <c r="D44" s="17"/>
      <c r="E44" s="18"/>
    </row>
    <row r="45" spans="4:5" x14ac:dyDescent="0.2">
      <c r="D45" s="17"/>
      <c r="E45" s="18"/>
    </row>
    <row r="46" spans="4:5" x14ac:dyDescent="0.2">
      <c r="D46" s="17"/>
      <c r="E46" s="18"/>
    </row>
    <row r="47" spans="4:5" x14ac:dyDescent="0.2">
      <c r="D47" s="17"/>
      <c r="E47" s="18"/>
    </row>
    <row r="48" spans="4:5" x14ac:dyDescent="0.2">
      <c r="D48" s="17"/>
      <c r="E48" s="18"/>
    </row>
    <row r="49" spans="4:5" x14ac:dyDescent="0.2">
      <c r="D49" s="17"/>
      <c r="E49" s="18"/>
    </row>
    <row r="50" spans="4:5" x14ac:dyDescent="0.2">
      <c r="D50" s="17"/>
      <c r="E50" s="18"/>
    </row>
    <row r="51" spans="4:5" x14ac:dyDescent="0.2">
      <c r="D51" s="17"/>
      <c r="E51" s="18"/>
    </row>
    <row r="52" spans="4:5" x14ac:dyDescent="0.2">
      <c r="D52" s="17"/>
      <c r="E52" s="18"/>
    </row>
    <row r="53" spans="4:5" x14ac:dyDescent="0.2">
      <c r="D53" s="17"/>
      <c r="E53" s="18"/>
    </row>
    <row r="54" spans="4:5" x14ac:dyDescent="0.2">
      <c r="D54" s="17"/>
      <c r="E54" s="18"/>
    </row>
    <row r="55" spans="4:5" x14ac:dyDescent="0.2">
      <c r="D55" s="17"/>
      <c r="E55" s="18"/>
    </row>
    <row r="56" spans="4:5" x14ac:dyDescent="0.2">
      <c r="D56" s="17"/>
      <c r="E56" s="18"/>
    </row>
    <row r="57" spans="4:5" x14ac:dyDescent="0.2">
      <c r="D57" s="17"/>
      <c r="E57" s="18"/>
    </row>
    <row r="58" spans="4:5" x14ac:dyDescent="0.2">
      <c r="D58" s="17"/>
      <c r="E58" s="18"/>
    </row>
    <row r="59" spans="4:5" x14ac:dyDescent="0.2">
      <c r="D59" s="17"/>
      <c r="E59" s="18"/>
    </row>
    <row r="60" spans="4:5" x14ac:dyDescent="0.2">
      <c r="D60" s="17"/>
      <c r="E60" s="18"/>
    </row>
    <row r="61" spans="4:5" x14ac:dyDescent="0.2">
      <c r="D61" s="17"/>
      <c r="E61" s="18"/>
    </row>
    <row r="62" spans="4:5" x14ac:dyDescent="0.2">
      <c r="D62" s="17"/>
      <c r="E62" s="18"/>
    </row>
    <row r="63" spans="4:5" x14ac:dyDescent="0.2">
      <c r="D63" s="17"/>
      <c r="E63" s="18"/>
    </row>
    <row r="64" spans="4:5" x14ac:dyDescent="0.2">
      <c r="D64" s="17"/>
      <c r="E64" s="18"/>
    </row>
    <row r="65" spans="4:5" x14ac:dyDescent="0.2">
      <c r="D65" s="17"/>
      <c r="E65" s="18"/>
    </row>
    <row r="66" spans="4:5" x14ac:dyDescent="0.2">
      <c r="D66" s="17"/>
      <c r="E66" s="18"/>
    </row>
    <row r="67" spans="4:5" x14ac:dyDescent="0.2">
      <c r="D67" s="17"/>
      <c r="E67" s="18"/>
    </row>
    <row r="68" spans="4:5" x14ac:dyDescent="0.2">
      <c r="D68" s="17"/>
      <c r="E68" s="18"/>
    </row>
    <row r="69" spans="4:5" x14ac:dyDescent="0.2">
      <c r="D69" s="17"/>
      <c r="E69" s="18"/>
    </row>
    <row r="70" spans="4:5" x14ac:dyDescent="0.2">
      <c r="D70" s="17"/>
      <c r="E70" s="18"/>
    </row>
    <row r="71" spans="4:5" x14ac:dyDescent="0.2">
      <c r="D71" s="17"/>
      <c r="E71" s="18"/>
    </row>
    <row r="72" spans="4:5" x14ac:dyDescent="0.2">
      <c r="D72" s="17"/>
      <c r="E72" s="18"/>
    </row>
    <row r="73" spans="4:5" x14ac:dyDescent="0.2">
      <c r="D73" s="17"/>
      <c r="E73" s="18"/>
    </row>
    <row r="74" spans="4:5" x14ac:dyDescent="0.2">
      <c r="D74" s="17"/>
      <c r="E74" s="18"/>
    </row>
    <row r="75" spans="4:5" x14ac:dyDescent="0.2">
      <c r="D75" s="17"/>
      <c r="E75" s="18"/>
    </row>
    <row r="76" spans="4:5" x14ac:dyDescent="0.2">
      <c r="D76" s="17"/>
      <c r="E76" s="18"/>
    </row>
    <row r="77" spans="4:5" x14ac:dyDescent="0.2">
      <c r="D77" s="17"/>
      <c r="E77" s="18"/>
    </row>
    <row r="78" spans="4:5" x14ac:dyDescent="0.2">
      <c r="E78" s="18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QA Table</vt:lpstr>
      <vt:lpstr>Station Depth Averages</vt:lpstr>
      <vt:lpstr>Bottle_Jug Count</vt:lpstr>
      <vt:lpstr>Benthos</vt:lpstr>
      <vt:lpstr>All Sample IDs</vt:lpstr>
      <vt:lpstr>Particulates</vt:lpstr>
      <vt:lpstr>Sediment</vt:lpstr>
      <vt:lpstr>Mysis</vt:lpstr>
      <vt:lpstr>Zooplankton</vt:lpstr>
      <vt:lpstr>Phytoplankton</vt:lpstr>
      <vt:lpstr>Dissolved Oxygen</vt:lpstr>
      <vt:lpstr>Sampling Sequence</vt:lpstr>
      <vt:lpstr>'Bottle_Jug Count'!Print_Area</vt:lpstr>
      <vt:lpstr>'Sampling Sequence'!Print_Area</vt:lpstr>
    </vt:vector>
  </TitlesOfParts>
  <Company>US-EPA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U.S. EPA</dc:creator>
  <cp:lastModifiedBy>Christopher C. Marshall</cp:lastModifiedBy>
  <cp:lastPrinted>2021-05-04T14:43:15Z</cp:lastPrinted>
  <dcterms:created xsi:type="dcterms:W3CDTF">2011-10-25T17:50:28Z</dcterms:created>
  <dcterms:modified xsi:type="dcterms:W3CDTF">2026-04-23T16:38:49Z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6dac4a029c8744f0a0831b2c9c987aa5</vt:lpwstr>
  </property>
</Properties>
</file>